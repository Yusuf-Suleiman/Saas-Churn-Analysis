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 Portfolio\"/>
    </mc:Choice>
  </mc:AlternateContent>
  <xr:revisionPtr revIDLastSave="0" documentId="8_{07874A33-F51A-49C1-98BF-A5FDF36C402B}" xr6:coauthVersionLast="47" xr6:coauthVersionMax="47" xr10:uidLastSave="{00000000-0000-0000-0000-000000000000}"/>
  <bookViews>
    <workbookView xWindow="-110" yWindow="-110" windowWidth="19420" windowHeight="10300" xr2:uid="{6ADBC9CF-CBD1-4ED1-917A-C73C89460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<sst xmlns="http://schemas.openxmlformats.org/spreadsheetml/2006/main" count="88" uniqueCount="79">
  <si>
    <t>Customer_ID</t>
  </si>
  <si>
    <t>Duplicates</t>
  </si>
  <si>
    <t>Used conditional formatting to highlight the duplicates for inspection before removing them</t>
  </si>
  <si>
    <t>Each rows now have a unique ID</t>
  </si>
  <si>
    <t>2</t>
  </si>
  <si>
    <t>Blanks</t>
  </si>
  <si>
    <t>Generated fake IDs for the 45 rows with: =IF([@[Customer_ID]] = "", "GEN_" &amp; TEXT(ROW(), "0000"), [@[Customer_ID]])
 GEN_418</t>
  </si>
  <si>
    <t>Each blanks now have unique IDs</t>
  </si>
  <si>
    <t>3</t>
  </si>
  <si>
    <t>Subscription_Type</t>
  </si>
  <si>
    <t>Wrong spelling</t>
  </si>
  <si>
    <t>Find and Replace was used to correct the misspelled words "standrd"</t>
  </si>
  <si>
    <t>4</t>
  </si>
  <si>
    <t>Monthly_Fee</t>
  </si>
  <si>
    <t>Symbol, inconsistent data type</t>
  </si>
  <si>
    <t>56 rows out of the 179 had $, =VALUE(SUBSTITUTE(I2, "$", "")) was used to remove the symbol and converted from 
text to number</t>
  </si>
  <si>
    <t>The montly fee column now has consistent data type</t>
  </si>
  <si>
    <t>5</t>
  </si>
  <si>
    <t>Mismatch</t>
  </si>
  <si>
    <t>284</t>
  </si>
  <si>
    <t>A helper column was created to flag the plans that didn't correspond with their monthly fee using; 
=IF(OR(AND([@[Subscription_Type]] = "Basic", [@[Monthly_Fee]] &lt;&gt; 8.99),
               AND([@[Subscription_Type]] = "Standard", [@[Monthly_Fee]] &lt;&gt; 13.99),
               AND([@[Subscription_Type]] = "Premium", [@[Monthly_Fee]] &lt;&gt; 17.99)),
               "Mismatch", "Ok")</t>
  </si>
  <si>
    <t>A mismatched flagged column to easily identify rows with issues</t>
  </si>
  <si>
    <t>6</t>
  </si>
  <si>
    <t>#VALUE</t>
  </si>
  <si>
    <t>53</t>
  </si>
  <si>
    <t xml:space="preserve">Validated subscription column to monthly fee using; =IFS(I2 =8.99, "Basic", I2 = 13.99, "Standard", I2 = 17.99, "Premium"), then copy and paste as value on the subscription type column </t>
  </si>
  <si>
    <t>No more #value all rows now have subscription type corresponding to their monthly fee</t>
  </si>
  <si>
    <t>7</t>
  </si>
  <si>
    <t>Last_Login_Days</t>
  </si>
  <si>
    <t>Negative last login days</t>
  </si>
  <si>
    <t>The negative last login days were flagged invalid using; =IF([@[Last_Login_Days]] &lt; 0, "Invalid", "Ok") and deleted because negative last login days are impossible</t>
  </si>
  <si>
    <t>The Last_Login_Days column now valid last login days</t>
  </si>
  <si>
    <t>8</t>
  </si>
  <si>
    <t>Avg_Watch_Time_Per_Day</t>
  </si>
  <si>
    <t>Inconsitstent data type</t>
  </si>
  <si>
    <t xml:space="preserve">
171 </t>
  </si>
  <si>
    <t>Text rows were convered to numbers using =VALUE(SUBSTITUTE(K2, "five", "5"))</t>
  </si>
  <si>
    <t>Consistent data type</t>
  </si>
  <si>
    <t>9</t>
  </si>
  <si>
    <t xml:space="preserve"> Negative values</t>
  </si>
  <si>
    <t>185</t>
  </si>
  <si>
    <t>Invalid avg watch time per day were converted to blank using =IF(OR(K2&lt;0, K2&gt;24), "", K2) and filled with using median =IF(K2 = "", $Q$2, K2)</t>
  </si>
  <si>
    <t>No invalid avg watch time per day</t>
  </si>
  <si>
    <t>10</t>
  </si>
  <si>
    <t>Churned</t>
  </si>
  <si>
    <t>145</t>
  </si>
  <si>
    <t>The text rows were converted to number using =IF(L2 = "no", 0, IF(L2 = "yes", 1, L2))</t>
  </si>
  <si>
    <t>No more inconsistent data types and missing churned values</t>
  </si>
  <si>
    <t>11</t>
  </si>
  <si>
    <t>50</t>
  </si>
  <si>
    <t>A helper column was created to flag the churned status column using =IF(L2 = 0, "Active", IF(L2 = 1, "Churn", L2)) and the missing churned values were removed</t>
  </si>
  <si>
    <t>No more missing churns</t>
  </si>
  <si>
    <t>12</t>
  </si>
  <si>
    <t>Age</t>
  </si>
  <si>
    <t>Continuous variable, hard to analyze</t>
  </si>
  <si>
    <t>Created Age_Group categories: Young Adult, Middle Adulthood Old. Using 
=IFS([@Age]&lt;= 34, "Young Adult",
          [@Age]&lt;= 54, "Middle Adulthood",
          [@Age]&gt;= 55, "Old")</t>
  </si>
  <si>
    <t>No more continuous variables but categories to make easy analysis</t>
  </si>
  <si>
    <t>Issue</t>
  </si>
  <si>
    <t>Rows Affected</t>
  </si>
  <si>
    <t>% Impact( of 5011)</t>
  </si>
  <si>
    <t>Action Taken</t>
  </si>
  <si>
    <t>Duplicate Reords</t>
  </si>
  <si>
    <t>Removed duplicates</t>
  </si>
  <si>
    <t>Nagetive Last_Login_Days</t>
  </si>
  <si>
    <t>Removed invalid rows</t>
  </si>
  <si>
    <t>Missing Churn Values</t>
  </si>
  <si>
    <t>Removed rows</t>
  </si>
  <si>
    <t>Total Rows Removed</t>
  </si>
  <si>
    <t>Dataset cleaned</t>
  </si>
  <si>
    <t>Column1</t>
  </si>
  <si>
    <t>Column2</t>
  </si>
  <si>
    <t>Total Rows</t>
  </si>
  <si>
    <t>Final Dataset</t>
  </si>
  <si>
    <t>Steps</t>
  </si>
  <si>
    <t>Column</t>
  </si>
  <si>
    <t>Rows</t>
  </si>
  <si>
    <t>% Impact</t>
  </si>
  <si>
    <t>Solution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</si>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</sst>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0" fontId="2" fillId="0" borderId="0" xfId="0" applyFont="1"/>
    <xf numFmtId="10" fontId="2" fillId="0" borderId="0" xfId="1" applyNumberFormat="1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0" fontId="2" fillId="0" borderId="0" xfId="1" applyNumberFormat="1" applyFont="1" applyAlignment="1">
      <alignment wrapText="1"/>
    </xf>
    <xf numFmtId="49" fontId="0" fillId="0" borderId="0" xfId="0" applyNumberFormat="1"/>
    <xf numFmtId="10" fontId="2" fillId="0" borderId="0" xfId="0" applyNumberFormat="1" applyFont="1"/>
  </cellXfs>
  <cellStyles count="2">
    <cellStyle name="Normal" xfId="0" builtinId="0"/>
    <cellStyle name="Percent" xfId="1" builtinId="5"/>
  </cellStyles>
  <dxfs count="18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1" defaultTableStyle="TableStyleMedium2" defaultPivotStyle="PivotStyleLight16">
    <tableStyle name="Invisible" pivot="0" table="0" count="0" xr9:uid="{68D73EAA-FFA2-45E2-9544-148160B74D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ECAA38-31E9-4C47-B4C5-6DF5347A6031}" name="Table6" displayName="Table6" ref="A1:G13" totalsRowShown="0" headerRowDxfId="17" dataDxfId="16">
  <autoFilter ref="A1:G13" xr:uid="{51ECAA38-31E9-4C47-B4C5-6DF5347A6031}"/>
  <tableColumns count="7">
    <tableColumn id="1" xr3:uid="{18B071BF-6483-4C6C-8CF7-EE8CC1A11B8B}" name="Steps" dataDxfId="15"/>
    <tableColumn id="5" xr3:uid="{2D737635-B35D-49BC-9493-DC49B78C05D5}" name="Column" dataDxfId="14"/>
    <tableColumn id="2" xr3:uid="{E74C25E1-57BC-45C7-A50E-09200F6E9B84}" name="Issue" dataDxfId="13"/>
    <tableColumn id="3" xr3:uid="{C402CBC8-ED29-47E3-8962-FD64C3324CC2}" name="Rows" dataDxfId="12"/>
    <tableColumn id="8" xr3:uid="{CBEA26B7-DFBA-4020-81A9-704849910167}" name="% Impact" dataDxfId="11" dataCellStyle="Percent">
      <calculatedColumnFormula>11/5011</calculatedColumnFormula>
    </tableColumn>
    <tableColumn id="4" xr3:uid="{BDB7CD28-2F6C-49E2-96A2-D85DB75C356D}" name="Solution" dataDxfId="10"/>
    <tableColumn id="6" xr3:uid="{FF50B617-5376-4E65-9ECC-B857827B85B9}" name="Resul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822EF2-40E4-4A6A-8A77-3DA3D90414BC}" name="Table4" displayName="Table4" ref="A23:B26" totalsRowShown="0" dataDxfId="8">
  <autoFilter ref="A23:B26" xr:uid="{F9822EF2-40E4-4A6A-8A77-3DA3D90414BC}"/>
  <tableColumns count="2">
    <tableColumn id="1" xr3:uid="{58EB44D0-5596-4751-B53E-6470D5AB8B54}" name="Column1" dataDxfId="7"/>
    <tableColumn id="2" xr3:uid="{7525EF9D-4911-4ADE-ADB2-08DA66A35B0F}" name="Column2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A8887-2B51-4F61-864F-C67E334684BF}" name="Table5" displayName="Table5" ref="A16:D20" totalsRowShown="0" headerRowDxfId="5" dataDxfId="4">
  <autoFilter ref="A16:D20" xr:uid="{D95A8887-2B51-4F61-864F-C67E334684BF}"/>
  <tableColumns count="4">
    <tableColumn id="1" xr3:uid="{D28114DA-2766-4614-82B8-1F86D3F5D903}" name="Issue" dataDxfId="3"/>
    <tableColumn id="2" xr3:uid="{75328B9C-DD4D-4FC6-AA81-22096D06DED1}" name="Rows Affected" dataDxfId="2"/>
    <tableColumn id="3" xr3:uid="{B67B2DEF-EADA-4D17-BEFE-3ACA83496EFE}" name="% Impact( of 5011)" dataDxfId="1"/>
    <tableColumn id="4" xr3:uid="{73FB6B60-1A99-4B8C-BB07-CF951DCC5103}" name="Action Tak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07CD-2880-4271-ADAB-61391DEF7FB6}">
  <dimension ref="A1:G28"/>
  <sheetViews>
    <sheetView tabSelected="1" topLeftCell="B1" zoomScale="50" zoomScaleNormal="50" workbookViewId="0">
      <selection activeCell="E37" sqref="E37"/>
    </sheetView>
  </sheetViews>
  <sheetFormatPr defaultRowHeight="14.5" x14ac:dyDescent="0.35"/>
  <cols>
    <col min="1" max="1" width="28.6328125" bestFit="1" customWidth="1"/>
    <col min="2" max="2" width="29.6328125" bestFit="1" customWidth="1"/>
    <col min="3" max="3" width="38.54296875" bestFit="1" customWidth="1"/>
    <col min="4" max="4" width="23.6328125" bestFit="1" customWidth="1"/>
    <col min="5" max="5" width="21.54296875" bestFit="1" customWidth="1"/>
    <col min="6" max="6" width="95.26953125" bestFit="1" customWidth="1"/>
    <col min="7" max="7" width="69.26953125" bestFit="1" customWidth="1"/>
  </cols>
  <sheetData>
    <row r="1" spans="1:7" ht="18" x14ac:dyDescent="0.4">
      <c r="A1" s="1" t="s">
        <v>73</v>
      </c>
      <c r="B1" s="2" t="s">
        <v>74</v>
      </c>
      <c r="C1" s="2" t="s">
        <v>57</v>
      </c>
      <c r="D1" s="2" t="s">
        <v>75</v>
      </c>
      <c r="E1" s="2" t="s">
        <v>76</v>
      </c>
      <c r="F1" s="2" t="s">
        <v>77</v>
      </c>
      <c r="G1" s="2" t="s">
        <v>78</v>
      </c>
    </row>
    <row r="2" spans="1:7" ht="18" x14ac:dyDescent="0.4">
      <c r="A2" s="1">
        <v>1</v>
      </c>
      <c r="B2" s="2" t="s">
        <v>0</v>
      </c>
      <c r="C2" s="2" t="s">
        <v>1</v>
      </c>
      <c r="D2" s="1">
        <v>11</v>
      </c>
      <c r="E2" s="3">
        <f>11/5011</f>
        <v>2.195170624625823E-3</v>
      </c>
      <c r="F2" s="2" t="s">
        <v>2</v>
      </c>
      <c r="G2" s="2" t="s">
        <v>3</v>
      </c>
    </row>
    <row r="3" spans="1:7" ht="54" x14ac:dyDescent="0.4">
      <c r="A3" s="1" t="s">
        <v>4</v>
      </c>
      <c r="B3" s="2" t="s">
        <v>0</v>
      </c>
      <c r="C3" s="2" t="s">
        <v>5</v>
      </c>
      <c r="D3" s="1">
        <v>45</v>
      </c>
      <c r="E3" s="3">
        <f>45/5011</f>
        <v>8.980243464378368E-3</v>
      </c>
      <c r="F3" s="4" t="s">
        <v>6</v>
      </c>
      <c r="G3" s="2" t="s">
        <v>7</v>
      </c>
    </row>
    <row r="4" spans="1:7" ht="18" x14ac:dyDescent="0.4">
      <c r="A4" s="1" t="s">
        <v>8</v>
      </c>
      <c r="B4" s="2" t="s">
        <v>9</v>
      </c>
      <c r="C4" s="2" t="s">
        <v>10</v>
      </c>
      <c r="D4" s="1">
        <v>63</v>
      </c>
      <c r="E4" s="3">
        <f>65/5011</f>
        <v>1.2971462781879864E-2</v>
      </c>
      <c r="F4" s="2" t="s">
        <v>11</v>
      </c>
      <c r="G4" s="2"/>
    </row>
    <row r="5" spans="1:7" ht="54" x14ac:dyDescent="0.4">
      <c r="A5" s="1" t="s">
        <v>12</v>
      </c>
      <c r="B5" s="2" t="s">
        <v>13</v>
      </c>
      <c r="C5" s="2" t="s">
        <v>14</v>
      </c>
      <c r="D5" s="1">
        <v>179</v>
      </c>
      <c r="E5" s="3">
        <f>179/5011</f>
        <v>3.5721412891638396E-2</v>
      </c>
      <c r="F5" s="4" t="s">
        <v>15</v>
      </c>
      <c r="G5" s="2" t="s">
        <v>16</v>
      </c>
    </row>
    <row r="6" spans="1:7" ht="108" x14ac:dyDescent="0.4">
      <c r="A6" s="1" t="s">
        <v>17</v>
      </c>
      <c r="B6" s="2" t="s">
        <v>9</v>
      </c>
      <c r="C6" s="2" t="s">
        <v>18</v>
      </c>
      <c r="D6" s="5" t="s">
        <v>19</v>
      </c>
      <c r="E6" s="6">
        <f>284/5011</f>
        <v>5.6675314308521255E-2</v>
      </c>
      <c r="F6" s="4" t="s">
        <v>20</v>
      </c>
      <c r="G6" s="4" t="s">
        <v>21</v>
      </c>
    </row>
    <row r="7" spans="1:7" ht="54" x14ac:dyDescent="0.4">
      <c r="A7" s="1" t="s">
        <v>22</v>
      </c>
      <c r="B7" s="2" t="s">
        <v>9</v>
      </c>
      <c r="C7" s="2" t="s">
        <v>23</v>
      </c>
      <c r="D7" s="5" t="s">
        <v>24</v>
      </c>
      <c r="E7" s="6">
        <f>53/5011</f>
        <v>1.0576731191378965E-2</v>
      </c>
      <c r="F7" s="4" t="s">
        <v>25</v>
      </c>
      <c r="G7" s="4" t="s">
        <v>26</v>
      </c>
    </row>
    <row r="8" spans="1:7" ht="36" x14ac:dyDescent="0.4">
      <c r="A8" s="1" t="s">
        <v>27</v>
      </c>
      <c r="B8" s="2" t="s">
        <v>28</v>
      </c>
      <c r="C8" s="2" t="s">
        <v>29</v>
      </c>
      <c r="D8" s="1">
        <v>84</v>
      </c>
      <c r="E8" s="3">
        <f>84/5011</f>
        <v>1.6763121133506285E-2</v>
      </c>
      <c r="F8" s="4" t="s">
        <v>30</v>
      </c>
      <c r="G8" s="2" t="s">
        <v>31</v>
      </c>
    </row>
    <row r="9" spans="1:7" ht="36" x14ac:dyDescent="0.4">
      <c r="A9" s="1" t="s">
        <v>32</v>
      </c>
      <c r="B9" s="2" t="s">
        <v>33</v>
      </c>
      <c r="C9" s="2" t="s">
        <v>34</v>
      </c>
      <c r="D9" s="5" t="s">
        <v>35</v>
      </c>
      <c r="E9" s="6">
        <f>171/5011</f>
        <v>3.4124925164637797E-2</v>
      </c>
      <c r="F9" s="4" t="s">
        <v>36</v>
      </c>
      <c r="G9" s="2" t="s">
        <v>37</v>
      </c>
    </row>
    <row r="10" spans="1:7" ht="36" x14ac:dyDescent="0.4">
      <c r="A10" s="1" t="s">
        <v>38</v>
      </c>
      <c r="B10" s="2" t="s">
        <v>33</v>
      </c>
      <c r="C10" s="2" t="s">
        <v>39</v>
      </c>
      <c r="D10" s="5" t="s">
        <v>40</v>
      </c>
      <c r="E10" s="6">
        <f>185/5011</f>
        <v>3.6918778686888844E-2</v>
      </c>
      <c r="F10" s="4" t="s">
        <v>41</v>
      </c>
      <c r="G10" s="2" t="s">
        <v>42</v>
      </c>
    </row>
    <row r="11" spans="1:7" ht="18" x14ac:dyDescent="0.4">
      <c r="A11" s="1" t="s">
        <v>43</v>
      </c>
      <c r="B11" s="2" t="s">
        <v>44</v>
      </c>
      <c r="C11" s="2" t="s">
        <v>34</v>
      </c>
      <c r="D11" s="5" t="s">
        <v>45</v>
      </c>
      <c r="E11" s="6">
        <f>145/5011</f>
        <v>2.8936340051885851E-2</v>
      </c>
      <c r="F11" s="4" t="s">
        <v>46</v>
      </c>
      <c r="G11" s="2" t="s">
        <v>47</v>
      </c>
    </row>
    <row r="12" spans="1:7" ht="36" x14ac:dyDescent="0.4">
      <c r="A12" s="1" t="s">
        <v>48</v>
      </c>
      <c r="B12" s="2" t="s">
        <v>44</v>
      </c>
      <c r="C12" s="2" t="s">
        <v>5</v>
      </c>
      <c r="D12" s="1" t="s">
        <v>49</v>
      </c>
      <c r="E12" s="3">
        <f>50/5011</f>
        <v>9.9780482937537416E-3</v>
      </c>
      <c r="F12" s="4" t="s">
        <v>50</v>
      </c>
      <c r="G12" s="2" t="s">
        <v>51</v>
      </c>
    </row>
    <row r="13" spans="1:7" ht="72" x14ac:dyDescent="0.4">
      <c r="A13" s="1" t="s">
        <v>52</v>
      </c>
      <c r="B13" s="2" t="s">
        <v>53</v>
      </c>
      <c r="C13" s="2" t="s">
        <v>54</v>
      </c>
      <c r="D13" s="1"/>
      <c r="E13" s="6"/>
      <c r="F13" s="4" t="s">
        <v>55</v>
      </c>
      <c r="G13" s="2" t="s">
        <v>56</v>
      </c>
    </row>
    <row r="14" spans="1:7" x14ac:dyDescent="0.35">
      <c r="A14" s="7"/>
    </row>
    <row r="15" spans="1:7" x14ac:dyDescent="0.35">
      <c r="A15" s="7"/>
    </row>
    <row r="16" spans="1:7" ht="18" x14ac:dyDescent="0.4">
      <c r="A16" s="1" t="s">
        <v>57</v>
      </c>
      <c r="B16" s="2" t="s">
        <v>58</v>
      </c>
      <c r="C16" s="2" t="s">
        <v>59</v>
      </c>
      <c r="D16" s="2" t="s">
        <v>60</v>
      </c>
    </row>
    <row r="17" spans="1:4" ht="18" x14ac:dyDescent="0.4">
      <c r="A17" s="1" t="s">
        <v>61</v>
      </c>
      <c r="B17" s="2">
        <v>11</v>
      </c>
      <c r="C17" s="8">
        <v>2.2000000000000001E-3</v>
      </c>
      <c r="D17" s="2" t="s">
        <v>62</v>
      </c>
    </row>
    <row r="18" spans="1:4" ht="18" x14ac:dyDescent="0.4">
      <c r="A18" s="1" t="s">
        <v>63</v>
      </c>
      <c r="B18" s="2">
        <v>84</v>
      </c>
      <c r="C18" s="8">
        <v>1.6799999999999999E-2</v>
      </c>
      <c r="D18" s="2" t="s">
        <v>64</v>
      </c>
    </row>
    <row r="19" spans="1:4" ht="18" x14ac:dyDescent="0.4">
      <c r="A19" s="1" t="s">
        <v>65</v>
      </c>
      <c r="B19" s="2">
        <v>50</v>
      </c>
      <c r="C19" s="8">
        <v>0.01</v>
      </c>
      <c r="D19" s="2" t="s">
        <v>66</v>
      </c>
    </row>
    <row r="20" spans="1:4" ht="18" x14ac:dyDescent="0.4">
      <c r="A20" s="1" t="s">
        <v>67</v>
      </c>
      <c r="B20" s="2">
        <v>145</v>
      </c>
      <c r="C20" s="8">
        <v>2.8899999999999999E-2</v>
      </c>
      <c r="D20" s="2" t="s">
        <v>68</v>
      </c>
    </row>
    <row r="21" spans="1:4" x14ac:dyDescent="0.35">
      <c r="A21" s="7"/>
    </row>
    <row r="22" spans="1:4" x14ac:dyDescent="0.35">
      <c r="A22" s="7"/>
    </row>
    <row r="23" spans="1:4" x14ac:dyDescent="0.35">
      <c r="A23" s="7" t="s">
        <v>69</v>
      </c>
      <c r="B23" t="s">
        <v>70</v>
      </c>
    </row>
    <row r="24" spans="1:4" ht="18" x14ac:dyDescent="0.4">
      <c r="A24" s="1" t="s">
        <v>71</v>
      </c>
      <c r="B24" s="2">
        <v>5011</v>
      </c>
    </row>
    <row r="25" spans="1:4" ht="18" x14ac:dyDescent="0.4">
      <c r="A25" s="1" t="s">
        <v>67</v>
      </c>
      <c r="B25" s="2">
        <v>145</v>
      </c>
    </row>
    <row r="26" spans="1:4" ht="18" x14ac:dyDescent="0.4">
      <c r="A26" s="1" t="s">
        <v>72</v>
      </c>
      <c r="B26" s="2">
        <v>4866</v>
      </c>
    </row>
    <row r="27" spans="1:4" x14ac:dyDescent="0.35">
      <c r="A27" s="7"/>
    </row>
    <row r="28" spans="1:4" x14ac:dyDescent="0.35">
      <c r="A28" s="7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Suleiman Yusuf</dc:creator>
  <cp:lastModifiedBy>Suleiman Yusuf</cp:lastModifiedBy>
  <dcterms:created xsi:type="dcterms:W3CDTF">2026-03-12T09:59:57Z</dcterms:created>
  <dcterms:modified xsi:type="dcterms:W3CDTF">2026-03-12T10:02:58Z</dcterms:modified>
</cp:coreProperties>
</file>