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3.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4.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5.xml" ContentType="application/vnd.openxmlformats-officedocument.spreadsheetml.pivotTable+xml"/>
  <Override PartName="/xl/drawings/drawing10.xml" ContentType="application/vnd.openxmlformats-officedocument.drawing+xml"/>
  <Override PartName="/xl/slicers/slicer1.xml" ContentType="application/vnd.ms-excel.slicer+xml"/>
  <Override PartName="/xl/pivotTables/pivotTable16.xml" ContentType="application/vnd.openxmlformats-officedocument.spreadsheetml.pivotTable+xml"/>
  <Override PartName="/xl/drawings/drawing11.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User\Documents\Excel Portfolio\"/>
    </mc:Choice>
  </mc:AlternateContent>
  <xr:revisionPtr revIDLastSave="0" documentId="13_ncr:1_{9B846EE6-56EA-44B6-AA8E-FA47D3E50403}" xr6:coauthVersionLast="47" xr6:coauthVersionMax="47" xr10:uidLastSave="{00000000-0000-0000-0000-000000000000}"/>
  <bookViews>
    <workbookView xWindow="-110" yWindow="-110" windowWidth="19420" windowHeight="10300" firstSheet="15" activeTab="17" xr2:uid="{E7968657-3D73-4A84-BDC2-5ADADC31F53E}"/>
  </bookViews>
  <sheets>
    <sheet name="Working_Clean" sheetId="10" r:id="rId1"/>
    <sheet name="Total Users" sheetId="11" r:id="rId2"/>
    <sheet name="Retention Rate" sheetId="14" r:id="rId3"/>
    <sheet name="Churn Count" sheetId="28" r:id="rId4"/>
    <sheet name="Churn Rate" sheetId="27" r:id="rId5"/>
    <sheet name="Lost Revenue" sheetId="15" r:id="rId6"/>
    <sheet name="Churn by plan" sheetId="16" r:id="rId7"/>
    <sheet name="Revenue lost by plan" sheetId="17" r:id="rId8"/>
    <sheet name="Retention rate by plan" sheetId="18" r:id="rId9"/>
    <sheet name="Age group plan churn" sheetId="19" r:id="rId10"/>
    <sheet name="Genderplan churn" sheetId="20" r:id="rId11"/>
    <sheet name="churn by device" sheetId="22" r:id="rId12"/>
    <sheet name="churn by region" sheetId="23" r:id="rId13"/>
    <sheet name="avg watch btw churn &amp; active" sheetId="24" r:id="rId14"/>
    <sheet name="churn by favorite genre" sheetId="25" r:id="rId15"/>
    <sheet name="Remaining Revenue" sheetId="29" r:id="rId16"/>
    <sheet name="ARPU" sheetId="33" r:id="rId17"/>
    <sheet name="Dashboard" sheetId="26" r:id="rId18"/>
  </sheets>
  <definedNames>
    <definedName name="_xlcn.WorksheetConnection_bbbbbbbb.xlsxTable2421" hidden="1">Table242[]</definedName>
    <definedName name="Slicer_Gender">#N/A</definedName>
  </definedNames>
  <calcPr calcId="191029"/>
  <pivotCaches>
    <pivotCache cacheId="839" r:id="rId19"/>
    <pivotCache cacheId="842" r:id="rId20"/>
    <pivotCache cacheId="845" r:id="rId21"/>
    <pivotCache cacheId="848" r:id="rId22"/>
    <pivotCache cacheId="851" r:id="rId23"/>
    <pivotCache cacheId="854" r:id="rId24"/>
    <pivotCache cacheId="857" r:id="rId25"/>
    <pivotCache cacheId="860" r:id="rId26"/>
    <pivotCache cacheId="863" r:id="rId27"/>
    <pivotCache cacheId="866" r:id="rId28"/>
    <pivotCache cacheId="869" r:id="rId29"/>
    <pivotCache cacheId="872" r:id="rId30"/>
    <pivotCache cacheId="875" r:id="rId31"/>
    <pivotCache cacheId="878" r:id="rId32"/>
    <pivotCache cacheId="881" r:id="rId33"/>
    <pivotCache cacheId="884" r:id="rId34"/>
  </pivotCaches>
  <extLst>
    <ext xmlns:x14="http://schemas.microsoft.com/office/spreadsheetml/2009/9/main" uri="{876F7934-8845-4945-9796-88D515C7AA90}">
      <x14:pivotCaches>
        <pivotCache cacheId="16" r:id="rId35"/>
      </x14:pivotCaches>
    </ext>
    <ext xmlns:x14="http://schemas.microsoft.com/office/spreadsheetml/2009/9/main" uri="{BBE1A952-AA13-448e-AADC-164F8A28A991}">
      <x14:slicerCaches>
        <x14:slicerCache r:id="rId3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242" name="Table242" connection="WorksheetConnection_bbbbbbbb .xlsx!Table24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0" l="1"/>
  <c r="B2" i="33"/>
  <c r="B3" i="29"/>
  <c r="B3" i="28"/>
  <c r="B2" i="14"/>
  <c r="B4" i="11"/>
  <c r="B3" i="27"/>
  <c r="B3"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7E3A3CB-D523-41B2-9ED6-6515C9500DE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A7B2A54-858B-4BFD-B72D-D9B838955971}" name="WorksheetConnection_bbbbbbbb .xlsx!Table242" type="102" refreshedVersion="8" minRefreshableVersion="5">
    <extLst>
      <ext xmlns:x15="http://schemas.microsoft.com/office/spreadsheetml/2010/11/main" uri="{DE250136-89BD-433C-8126-D09CA5730AF9}">
        <x15:connection id="Table242" autoDelete="1">
          <x15:rangePr sourceName="_xlcn.WorksheetConnection_bbbbbbbb.xlsxTable2421"/>
        </x15:connection>
      </ext>
    </extLst>
  </connection>
</connections>
</file>

<file path=xl/sharedStrings.xml><?xml version="1.0" encoding="utf-8"?>
<sst xmlns="http://schemas.openxmlformats.org/spreadsheetml/2006/main" count="39088" uniqueCount="4918">
  <si>
    <t>Customer_ID</t>
  </si>
  <si>
    <t>Age</t>
  </si>
  <si>
    <t>Gender</t>
  </si>
  <si>
    <t>Subscription_Type</t>
  </si>
  <si>
    <t>Watch_Hours</t>
  </si>
  <si>
    <t>Last_Login_Days</t>
  </si>
  <si>
    <t>Region</t>
  </si>
  <si>
    <t>Device</t>
  </si>
  <si>
    <t>Monthly_Fee</t>
  </si>
  <si>
    <t>Number_Of_Profiles</t>
  </si>
  <si>
    <t>Avg_Watch_Time_Per_Day</t>
  </si>
  <si>
    <t>Churned</t>
  </si>
  <si>
    <t>Favorite_Genre</t>
  </si>
  <si>
    <t>Standard</t>
  </si>
  <si>
    <t>Basic</t>
  </si>
  <si>
    <t>Premium</t>
  </si>
  <si>
    <t>CUST0001</t>
  </si>
  <si>
    <t>CUST0002</t>
  </si>
  <si>
    <t>CUST0003</t>
  </si>
  <si>
    <t>CUST0004</t>
  </si>
  <si>
    <t>CUST0005</t>
  </si>
  <si>
    <t>CUST0006</t>
  </si>
  <si>
    <t>CUST0007</t>
  </si>
  <si>
    <t>CUST0008</t>
  </si>
  <si>
    <t>CUST0009</t>
  </si>
  <si>
    <t>CUST0010</t>
  </si>
  <si>
    <t>CUST0011</t>
  </si>
  <si>
    <t>CUST0012</t>
  </si>
  <si>
    <t>CUST0014</t>
  </si>
  <si>
    <t>CUST0015</t>
  </si>
  <si>
    <t>CUST0016</t>
  </si>
  <si>
    <t>CUST0017</t>
  </si>
  <si>
    <t>CUST0018</t>
  </si>
  <si>
    <t>CUST0019</t>
  </si>
  <si>
    <t>CUST0020</t>
  </si>
  <si>
    <t>CUST0021</t>
  </si>
  <si>
    <t>CUST0022</t>
  </si>
  <si>
    <t>CUST0023</t>
  </si>
  <si>
    <t>CUST0024</t>
  </si>
  <si>
    <t>CUST0025</t>
  </si>
  <si>
    <t>CUST0026</t>
  </si>
  <si>
    <t>CUST0027</t>
  </si>
  <si>
    <t>CUST0029</t>
  </si>
  <si>
    <t>CUST0030</t>
  </si>
  <si>
    <t>CUST0031</t>
  </si>
  <si>
    <t>CUST0032</t>
  </si>
  <si>
    <t>CUST0033</t>
  </si>
  <si>
    <t>CUST0034</t>
  </si>
  <si>
    <t>CUST0035</t>
  </si>
  <si>
    <t>CUST0036</t>
  </si>
  <si>
    <t>CUST0037</t>
  </si>
  <si>
    <t>CUST0039</t>
  </si>
  <si>
    <t>CUST0040</t>
  </si>
  <si>
    <t>CUST0041</t>
  </si>
  <si>
    <t>CUST0042</t>
  </si>
  <si>
    <t>CUST0043</t>
  </si>
  <si>
    <t>CUST0044</t>
  </si>
  <si>
    <t>CUST0045</t>
  </si>
  <si>
    <t>CUST0046</t>
  </si>
  <si>
    <t>CUST0047</t>
  </si>
  <si>
    <t>CUST0048</t>
  </si>
  <si>
    <t>CUST0049</t>
  </si>
  <si>
    <t>CUST0050</t>
  </si>
  <si>
    <t>CUST0052</t>
  </si>
  <si>
    <t>CUST0053</t>
  </si>
  <si>
    <t>CUST0054</t>
  </si>
  <si>
    <t>CUST0055</t>
  </si>
  <si>
    <t>CUST0056</t>
  </si>
  <si>
    <t>CUST0057</t>
  </si>
  <si>
    <t>CUST0058</t>
  </si>
  <si>
    <t>CUST0059</t>
  </si>
  <si>
    <t>CUST0060</t>
  </si>
  <si>
    <t>CUST0061</t>
  </si>
  <si>
    <t>CUST0062</t>
  </si>
  <si>
    <t>CUST0063</t>
  </si>
  <si>
    <t>CUST0064</t>
  </si>
  <si>
    <t>CUST0065</t>
  </si>
  <si>
    <t>CUST0066</t>
  </si>
  <si>
    <t>CUST0067</t>
  </si>
  <si>
    <t>CUST0068</t>
  </si>
  <si>
    <t>CUST0069</t>
  </si>
  <si>
    <t>CUST0070</t>
  </si>
  <si>
    <t>CUST0071</t>
  </si>
  <si>
    <t>CUST0072</t>
  </si>
  <si>
    <t>CUST0073</t>
  </si>
  <si>
    <t>CUST0074</t>
  </si>
  <si>
    <t>CUST0075</t>
  </si>
  <si>
    <t>CUST0076</t>
  </si>
  <si>
    <t>CUST0077</t>
  </si>
  <si>
    <t>CUST0078</t>
  </si>
  <si>
    <t>CUST0079</t>
  </si>
  <si>
    <t>CUST0081</t>
  </si>
  <si>
    <t>CUST0082</t>
  </si>
  <si>
    <t>CUST0083</t>
  </si>
  <si>
    <t>CUST0084</t>
  </si>
  <si>
    <t>CUST0085</t>
  </si>
  <si>
    <t>CUST0086</t>
  </si>
  <si>
    <t>CUST0087</t>
  </si>
  <si>
    <t>CUST0088</t>
  </si>
  <si>
    <t>CUST0089</t>
  </si>
  <si>
    <t>CUST0090</t>
  </si>
  <si>
    <t>CUST0091</t>
  </si>
  <si>
    <t>CUST0092</t>
  </si>
  <si>
    <t>CUST0093</t>
  </si>
  <si>
    <t>CUST0094</t>
  </si>
  <si>
    <t>CUST0095</t>
  </si>
  <si>
    <t>CUST0096</t>
  </si>
  <si>
    <t>CUST0097</t>
  </si>
  <si>
    <t>CUST0098</t>
  </si>
  <si>
    <t>CUST0099</t>
  </si>
  <si>
    <t>CUST0100</t>
  </si>
  <si>
    <t>CUST0101</t>
  </si>
  <si>
    <t>CUST0102</t>
  </si>
  <si>
    <t>CUST0103</t>
  </si>
  <si>
    <t>CUST0104</t>
  </si>
  <si>
    <t>CUST0105</t>
  </si>
  <si>
    <t>CUST0106</t>
  </si>
  <si>
    <t>CUST0107</t>
  </si>
  <si>
    <t>CUST0108</t>
  </si>
  <si>
    <t>CUST0109</t>
  </si>
  <si>
    <t>CUST0110</t>
  </si>
  <si>
    <t>CUST0111</t>
  </si>
  <si>
    <t>CUST0112</t>
  </si>
  <si>
    <t>CUST0113</t>
  </si>
  <si>
    <t>CUST0114</t>
  </si>
  <si>
    <t>CUST0115</t>
  </si>
  <si>
    <t>CUST0116</t>
  </si>
  <si>
    <t>CUST0117</t>
  </si>
  <si>
    <t>CUST0118</t>
  </si>
  <si>
    <t>CUST0119</t>
  </si>
  <si>
    <t>CUST0120</t>
  </si>
  <si>
    <t>CUST0121</t>
  </si>
  <si>
    <t>CUST0122</t>
  </si>
  <si>
    <t>CUST0123</t>
  </si>
  <si>
    <t>CUST0124</t>
  </si>
  <si>
    <t>CUST0125</t>
  </si>
  <si>
    <t>CUST0126</t>
  </si>
  <si>
    <t>CUST0127</t>
  </si>
  <si>
    <t>CUST0128</t>
  </si>
  <si>
    <t>CUST0129</t>
  </si>
  <si>
    <t>CUST0130</t>
  </si>
  <si>
    <t>CUST0131</t>
  </si>
  <si>
    <t>CUST0132</t>
  </si>
  <si>
    <t>CUST0133</t>
  </si>
  <si>
    <t>CUST0134</t>
  </si>
  <si>
    <t>CUST0135</t>
  </si>
  <si>
    <t>CUST0136</t>
  </si>
  <si>
    <t>CUST0137</t>
  </si>
  <si>
    <t>CUST0138</t>
  </si>
  <si>
    <t>CUST0139</t>
  </si>
  <si>
    <t>CUST0140</t>
  </si>
  <si>
    <t>CUST0141</t>
  </si>
  <si>
    <t>CUST0142</t>
  </si>
  <si>
    <t>CUST0143</t>
  </si>
  <si>
    <t>CUST0144</t>
  </si>
  <si>
    <t>CUST0145</t>
  </si>
  <si>
    <t>CUST0146</t>
  </si>
  <si>
    <t>CUST0147</t>
  </si>
  <si>
    <t>CUST0148</t>
  </si>
  <si>
    <t>CUST0149</t>
  </si>
  <si>
    <t>CUST0150</t>
  </si>
  <si>
    <t>CUST0151</t>
  </si>
  <si>
    <t>CUST0152</t>
  </si>
  <si>
    <t>CUST0153</t>
  </si>
  <si>
    <t>CUST0154</t>
  </si>
  <si>
    <t>CUST0155</t>
  </si>
  <si>
    <t>CUST0157</t>
  </si>
  <si>
    <t>CUST0158</t>
  </si>
  <si>
    <t>CUST0159</t>
  </si>
  <si>
    <t>CUST0160</t>
  </si>
  <si>
    <t>CUST0161</t>
  </si>
  <si>
    <t>CUST0162</t>
  </si>
  <si>
    <t>CUST0163</t>
  </si>
  <si>
    <t>CUST0164</t>
  </si>
  <si>
    <t>CUST0165</t>
  </si>
  <si>
    <t>CUST0166</t>
  </si>
  <si>
    <t>CUST0167</t>
  </si>
  <si>
    <t>CUST0169</t>
  </si>
  <si>
    <t>CUST0170</t>
  </si>
  <si>
    <t>CUST0171</t>
  </si>
  <si>
    <t>CUST0172</t>
  </si>
  <si>
    <t>CUST0173</t>
  </si>
  <si>
    <t>CUST0174</t>
  </si>
  <si>
    <t>CUST0175</t>
  </si>
  <si>
    <t>CUST0176</t>
  </si>
  <si>
    <t>CUST0177</t>
  </si>
  <si>
    <t>CUST0178</t>
  </si>
  <si>
    <t>CUST0179</t>
  </si>
  <si>
    <t>CUST0180</t>
  </si>
  <si>
    <t>CUST0181</t>
  </si>
  <si>
    <t>CUST0182</t>
  </si>
  <si>
    <t>CUST0183</t>
  </si>
  <si>
    <t>CUST0184</t>
  </si>
  <si>
    <t>CUST0185</t>
  </si>
  <si>
    <t>CUST0186</t>
  </si>
  <si>
    <t>CUST0187</t>
  </si>
  <si>
    <t>CUST0188</t>
  </si>
  <si>
    <t>CUST0189</t>
  </si>
  <si>
    <t>CUST0190</t>
  </si>
  <si>
    <t>CUST0191</t>
  </si>
  <si>
    <t>CUST0192</t>
  </si>
  <si>
    <t>CUST0193</t>
  </si>
  <si>
    <t>CUST0194</t>
  </si>
  <si>
    <t>CUST0195</t>
  </si>
  <si>
    <t>CUST0196</t>
  </si>
  <si>
    <t>CUST0197</t>
  </si>
  <si>
    <t>CUST0198</t>
  </si>
  <si>
    <t>CUST0199</t>
  </si>
  <si>
    <t>CUST0200</t>
  </si>
  <si>
    <t>CUST0201</t>
  </si>
  <si>
    <t>CUST0202</t>
  </si>
  <si>
    <t>CUST0203</t>
  </si>
  <si>
    <t>CUST0204</t>
  </si>
  <si>
    <t>CUST0205</t>
  </si>
  <si>
    <t>CUST0206</t>
  </si>
  <si>
    <t>CUST0207</t>
  </si>
  <si>
    <t>CUST0208</t>
  </si>
  <si>
    <t>CUST0209</t>
  </si>
  <si>
    <t>CUST0210</t>
  </si>
  <si>
    <t>CUST0211</t>
  </si>
  <si>
    <t>CUST0212</t>
  </si>
  <si>
    <t>CUST0213</t>
  </si>
  <si>
    <t>CUST0214</t>
  </si>
  <si>
    <t>CUST0215</t>
  </si>
  <si>
    <t>CUST0216</t>
  </si>
  <si>
    <t>CUST0217</t>
  </si>
  <si>
    <t>CUST0218</t>
  </si>
  <si>
    <t>CUST0219</t>
  </si>
  <si>
    <t>CUST0220</t>
  </si>
  <si>
    <t>CUST0221</t>
  </si>
  <si>
    <t>CUST0222</t>
  </si>
  <si>
    <t>CUST0223</t>
  </si>
  <si>
    <t>CUST0224</t>
  </si>
  <si>
    <t>CUST0225</t>
  </si>
  <si>
    <t>CUST0226</t>
  </si>
  <si>
    <t>CUST0227</t>
  </si>
  <si>
    <t>CUST0228</t>
  </si>
  <si>
    <t>CUST0229</t>
  </si>
  <si>
    <t>CUST0230</t>
  </si>
  <si>
    <t>CUST0231</t>
  </si>
  <si>
    <t>CUST0232</t>
  </si>
  <si>
    <t>CUST0233</t>
  </si>
  <si>
    <t>CUST0234</t>
  </si>
  <si>
    <t>CUST0235</t>
  </si>
  <si>
    <t>CUST0236</t>
  </si>
  <si>
    <t>CUST0237</t>
  </si>
  <si>
    <t>CUST0238</t>
  </si>
  <si>
    <t>CUST0239</t>
  </si>
  <si>
    <t>CUST0240</t>
  </si>
  <si>
    <t>CUST0241</t>
  </si>
  <si>
    <t>CUST0242</t>
  </si>
  <si>
    <t>CUST0243</t>
  </si>
  <si>
    <t>CUST0244</t>
  </si>
  <si>
    <t>CUST0245</t>
  </si>
  <si>
    <t>CUST0247</t>
  </si>
  <si>
    <t>CUST0248</t>
  </si>
  <si>
    <t>CUST0249</t>
  </si>
  <si>
    <t>CUST0250</t>
  </si>
  <si>
    <t>CUST0251</t>
  </si>
  <si>
    <t>CUST0252</t>
  </si>
  <si>
    <t>CUST0253</t>
  </si>
  <si>
    <t>CUST0254</t>
  </si>
  <si>
    <t>CUST0255</t>
  </si>
  <si>
    <t>CUST0256</t>
  </si>
  <si>
    <t>CUST0257</t>
  </si>
  <si>
    <t>CUST0258</t>
  </si>
  <si>
    <t>CUST0259</t>
  </si>
  <si>
    <t>CUST0260</t>
  </si>
  <si>
    <t>CUST0261</t>
  </si>
  <si>
    <t>CUST0262</t>
  </si>
  <si>
    <t>CUST0263</t>
  </si>
  <si>
    <t>CUST0264</t>
  </si>
  <si>
    <t>CUST0265</t>
  </si>
  <si>
    <t>CUST0266</t>
  </si>
  <si>
    <t>CUST0267</t>
  </si>
  <si>
    <t>CUST0268</t>
  </si>
  <si>
    <t>CUST0269</t>
  </si>
  <si>
    <t>CUST0270</t>
  </si>
  <si>
    <t>CUST0271</t>
  </si>
  <si>
    <t>CUST0272</t>
  </si>
  <si>
    <t>CUST0273</t>
  </si>
  <si>
    <t>CUST0274</t>
  </si>
  <si>
    <t>CUST0275</t>
  </si>
  <si>
    <t>CUST0276</t>
  </si>
  <si>
    <t>CUST0277</t>
  </si>
  <si>
    <t>CUST0279</t>
  </si>
  <si>
    <t>CUST0280</t>
  </si>
  <si>
    <t>CUST0281</t>
  </si>
  <si>
    <t>CUST0282</t>
  </si>
  <si>
    <t>CUST0283</t>
  </si>
  <si>
    <t>CUST0284</t>
  </si>
  <si>
    <t>CUST0285</t>
  </si>
  <si>
    <t>CUST0286</t>
  </si>
  <si>
    <t>CUST0287</t>
  </si>
  <si>
    <t>CUST0288</t>
  </si>
  <si>
    <t>CUST0289</t>
  </si>
  <si>
    <t>CUST0290</t>
  </si>
  <si>
    <t>CUST0291</t>
  </si>
  <si>
    <t>CUST0292</t>
  </si>
  <si>
    <t>CUST0294</t>
  </si>
  <si>
    <t>CUST0295</t>
  </si>
  <si>
    <t>CUST0296</t>
  </si>
  <si>
    <t>CUST0298</t>
  </si>
  <si>
    <t>CUST0299</t>
  </si>
  <si>
    <t>CUST0300</t>
  </si>
  <si>
    <t>CUST0301</t>
  </si>
  <si>
    <t>CUST0302</t>
  </si>
  <si>
    <t>CUST0303</t>
  </si>
  <si>
    <t>CUST0304</t>
  </si>
  <si>
    <t>CUST0305</t>
  </si>
  <si>
    <t>CUST0306</t>
  </si>
  <si>
    <t>CUST0307</t>
  </si>
  <si>
    <t>CUST0308</t>
  </si>
  <si>
    <t>CUST0309</t>
  </si>
  <si>
    <t>CUST0310</t>
  </si>
  <si>
    <t>CUST0311</t>
  </si>
  <si>
    <t>CUST0312</t>
  </si>
  <si>
    <t>CUST0313</t>
  </si>
  <si>
    <t>CUST0314</t>
  </si>
  <si>
    <t>CUST0315</t>
  </si>
  <si>
    <t>CUST0316</t>
  </si>
  <si>
    <t>CUST0317</t>
  </si>
  <si>
    <t>CUST0318</t>
  </si>
  <si>
    <t>CUST0319</t>
  </si>
  <si>
    <t>CUST0320</t>
  </si>
  <si>
    <t>CUST0321</t>
  </si>
  <si>
    <t>CUST0322</t>
  </si>
  <si>
    <t>CUST0323</t>
  </si>
  <si>
    <t>CUST0325</t>
  </si>
  <si>
    <t>CUST0326</t>
  </si>
  <si>
    <t>CUST0327</t>
  </si>
  <si>
    <t>CUST0328</t>
  </si>
  <si>
    <t>CUST0329</t>
  </si>
  <si>
    <t>CUST0330</t>
  </si>
  <si>
    <t>CUST0331</t>
  </si>
  <si>
    <t>CUST0332</t>
  </si>
  <si>
    <t>CUST0333</t>
  </si>
  <si>
    <t>CUST0334</t>
  </si>
  <si>
    <t>CUST0335</t>
  </si>
  <si>
    <t>CUST0336</t>
  </si>
  <si>
    <t>CUST0337</t>
  </si>
  <si>
    <t>CUST0338</t>
  </si>
  <si>
    <t>CUST0339</t>
  </si>
  <si>
    <t>CUST0340</t>
  </si>
  <si>
    <t>CUST0341</t>
  </si>
  <si>
    <t>CUST0342</t>
  </si>
  <si>
    <t>CUST0343</t>
  </si>
  <si>
    <t>CUST0344</t>
  </si>
  <si>
    <t>CUST0345</t>
  </si>
  <si>
    <t>CUST0346</t>
  </si>
  <si>
    <t>CUST0347</t>
  </si>
  <si>
    <t>CUST0348</t>
  </si>
  <si>
    <t>CUST0349</t>
  </si>
  <si>
    <t>CUST0351</t>
  </si>
  <si>
    <t>CUST0352</t>
  </si>
  <si>
    <t>CUST0353</t>
  </si>
  <si>
    <t>CUST0354</t>
  </si>
  <si>
    <t>CUST0355</t>
  </si>
  <si>
    <t>CUST0356</t>
  </si>
  <si>
    <t>CUST0357</t>
  </si>
  <si>
    <t>CUST0359</t>
  </si>
  <si>
    <t>CUST0361</t>
  </si>
  <si>
    <t>CUST0362</t>
  </si>
  <si>
    <t>CUST0363</t>
  </si>
  <si>
    <t>CUST0364</t>
  </si>
  <si>
    <t>CUST0365</t>
  </si>
  <si>
    <t>CUST0366</t>
  </si>
  <si>
    <t>CUST0367</t>
  </si>
  <si>
    <t>CUST0368</t>
  </si>
  <si>
    <t>CUST0369</t>
  </si>
  <si>
    <t>CUST0370</t>
  </si>
  <si>
    <t>CUST0371</t>
  </si>
  <si>
    <t>CUST0372</t>
  </si>
  <si>
    <t>CUST0373</t>
  </si>
  <si>
    <t>CUST0374</t>
  </si>
  <si>
    <t>CUST0375</t>
  </si>
  <si>
    <t>CUST0376</t>
  </si>
  <si>
    <t>CUST0377</t>
  </si>
  <si>
    <t>CUST0378</t>
  </si>
  <si>
    <t>CUST0379</t>
  </si>
  <si>
    <t>CUST0380</t>
  </si>
  <si>
    <t>CUST0381</t>
  </si>
  <si>
    <t>CUST0382</t>
  </si>
  <si>
    <t>CUST0383</t>
  </si>
  <si>
    <t>CUST0384</t>
  </si>
  <si>
    <t>CUST0385</t>
  </si>
  <si>
    <t>CUST0386</t>
  </si>
  <si>
    <t>CUST0387</t>
  </si>
  <si>
    <t>CUST0388</t>
  </si>
  <si>
    <t>CUST0389</t>
  </si>
  <si>
    <t>CUST0392</t>
  </si>
  <si>
    <t>CUST0393</t>
  </si>
  <si>
    <t>CUST0394</t>
  </si>
  <si>
    <t>CUST0395</t>
  </si>
  <si>
    <t>CUST0396</t>
  </si>
  <si>
    <t>CUST0397</t>
  </si>
  <si>
    <t>CUST0398</t>
  </si>
  <si>
    <t>CUST0399</t>
  </si>
  <si>
    <t>CUST0400</t>
  </si>
  <si>
    <t>CUST0401</t>
  </si>
  <si>
    <t>CUST0402</t>
  </si>
  <si>
    <t>CUST0403</t>
  </si>
  <si>
    <t>CUST0404</t>
  </si>
  <si>
    <t>CUST0405</t>
  </si>
  <si>
    <t>CUST0406</t>
  </si>
  <si>
    <t>CUST0407</t>
  </si>
  <si>
    <t>CUST0408</t>
  </si>
  <si>
    <t>CUST0409</t>
  </si>
  <si>
    <t>CUST0410</t>
  </si>
  <si>
    <t>CUST0411</t>
  </si>
  <si>
    <t>CUST0412</t>
  </si>
  <si>
    <t>CUST0413</t>
  </si>
  <si>
    <t>CUST0414</t>
  </si>
  <si>
    <t>CUST0415</t>
  </si>
  <si>
    <t>CUST0416</t>
  </si>
  <si>
    <t>CUST0417</t>
  </si>
  <si>
    <t>CUST0418</t>
  </si>
  <si>
    <t>CUST0419</t>
  </si>
  <si>
    <t>CUST0420</t>
  </si>
  <si>
    <t>CUST0421</t>
  </si>
  <si>
    <t>CUST0422</t>
  </si>
  <si>
    <t>CUST0423</t>
  </si>
  <si>
    <t>CUST0424</t>
  </si>
  <si>
    <t>CUST0425</t>
  </si>
  <si>
    <t>CUST0426</t>
  </si>
  <si>
    <t>CUST0427</t>
  </si>
  <si>
    <t>CUST0428</t>
  </si>
  <si>
    <t>CUST0429</t>
  </si>
  <si>
    <t>CUST0430</t>
  </si>
  <si>
    <t>CUST0431</t>
  </si>
  <si>
    <t>CUST0432</t>
  </si>
  <si>
    <t>CUST0433</t>
  </si>
  <si>
    <t>CUST0434</t>
  </si>
  <si>
    <t>CUST0435</t>
  </si>
  <si>
    <t>CUST0436</t>
  </si>
  <si>
    <t>CUST0437</t>
  </si>
  <si>
    <t>CUST0438</t>
  </si>
  <si>
    <t>CUST0439</t>
  </si>
  <si>
    <t>CUST0440</t>
  </si>
  <si>
    <t>CUST0441</t>
  </si>
  <si>
    <t>CUST0442</t>
  </si>
  <si>
    <t>CUST0443</t>
  </si>
  <si>
    <t>CUST0444</t>
  </si>
  <si>
    <t>CUST0445</t>
  </si>
  <si>
    <t>CUST0446</t>
  </si>
  <si>
    <t>CUST0447</t>
  </si>
  <si>
    <t>CUST0448</t>
  </si>
  <si>
    <t>CUST0449</t>
  </si>
  <si>
    <t>CUST0450</t>
  </si>
  <si>
    <t>CUST0451</t>
  </si>
  <si>
    <t>CUST0452</t>
  </si>
  <si>
    <t>CUST0453</t>
  </si>
  <si>
    <t>CUST0454</t>
  </si>
  <si>
    <t>CUST0455</t>
  </si>
  <si>
    <t>CUST0456</t>
  </si>
  <si>
    <t>CUST0457</t>
  </si>
  <si>
    <t>CUST0458</t>
  </si>
  <si>
    <t>CUST0459</t>
  </si>
  <si>
    <t>CUST0460</t>
  </si>
  <si>
    <t>CUST0461</t>
  </si>
  <si>
    <t>CUST0462</t>
  </si>
  <si>
    <t>CUST0463</t>
  </si>
  <si>
    <t>CUST0464</t>
  </si>
  <si>
    <t>CUST0465</t>
  </si>
  <si>
    <t>CUST0466</t>
  </si>
  <si>
    <t>CUST0467</t>
  </si>
  <si>
    <t>CUST0468</t>
  </si>
  <si>
    <t>CUST0469</t>
  </si>
  <si>
    <t>CUST0470</t>
  </si>
  <si>
    <t>CUST0471</t>
  </si>
  <si>
    <t>CUST0472</t>
  </si>
  <si>
    <t>CUST0473</t>
  </si>
  <si>
    <t>CUST0475</t>
  </si>
  <si>
    <t>CUST0476</t>
  </si>
  <si>
    <t>CUST0477</t>
  </si>
  <si>
    <t>CUST0478</t>
  </si>
  <si>
    <t>CUST0479</t>
  </si>
  <si>
    <t>CUST0480</t>
  </si>
  <si>
    <t>CUST0481</t>
  </si>
  <si>
    <t>CUST0482</t>
  </si>
  <si>
    <t>CUST0483</t>
  </si>
  <si>
    <t>CUST0484</t>
  </si>
  <si>
    <t>CUST0485</t>
  </si>
  <si>
    <t>CUST0486</t>
  </si>
  <si>
    <t>CUST0487</t>
  </si>
  <si>
    <t>CUST0488</t>
  </si>
  <si>
    <t>CUST0489</t>
  </si>
  <si>
    <t>CUST0490</t>
  </si>
  <si>
    <t>CUST0491</t>
  </si>
  <si>
    <t>CUST0492</t>
  </si>
  <si>
    <t>CUST0493</t>
  </si>
  <si>
    <t>CUST0494</t>
  </si>
  <si>
    <t>CUST0495</t>
  </si>
  <si>
    <t>CUST0496</t>
  </si>
  <si>
    <t>CUST0497</t>
  </si>
  <si>
    <t>CUST0498</t>
  </si>
  <si>
    <t>CUST0499</t>
  </si>
  <si>
    <t>CUST0500</t>
  </si>
  <si>
    <t>CUST0501</t>
  </si>
  <si>
    <t>CUST0502</t>
  </si>
  <si>
    <t>CUST0503</t>
  </si>
  <si>
    <t>CUST0504</t>
  </si>
  <si>
    <t>CUST0505</t>
  </si>
  <si>
    <t>CUST0506</t>
  </si>
  <si>
    <t>CUST0508</t>
  </si>
  <si>
    <t>CUST0509</t>
  </si>
  <si>
    <t>CUST0510</t>
  </si>
  <si>
    <t>CUST0511</t>
  </si>
  <si>
    <t>CUST0512</t>
  </si>
  <si>
    <t>CUST0513</t>
  </si>
  <si>
    <t>CUST0514</t>
  </si>
  <si>
    <t>CUST0515</t>
  </si>
  <si>
    <t>CUST0516</t>
  </si>
  <si>
    <t>CUST0517</t>
  </si>
  <si>
    <t>CUST0518</t>
  </si>
  <si>
    <t>CUST0519</t>
  </si>
  <si>
    <t>CUST0520</t>
  </si>
  <si>
    <t>CUST0521</t>
  </si>
  <si>
    <t>CUST0522</t>
  </si>
  <si>
    <t>CUST0523</t>
  </si>
  <si>
    <t>CUST0524</t>
  </si>
  <si>
    <t>CUST0526</t>
  </si>
  <si>
    <t>CUST0527</t>
  </si>
  <si>
    <t>CUST0528</t>
  </si>
  <si>
    <t>CUST0529</t>
  </si>
  <si>
    <t>CUST0530</t>
  </si>
  <si>
    <t>CUST0531</t>
  </si>
  <si>
    <t>CUST0532</t>
  </si>
  <si>
    <t>CUST0533</t>
  </si>
  <si>
    <t>CUST0534</t>
  </si>
  <si>
    <t>CUST0535</t>
  </si>
  <si>
    <t>CUST0536</t>
  </si>
  <si>
    <t>CUST0537</t>
  </si>
  <si>
    <t>CUST0539</t>
  </si>
  <si>
    <t>CUST0540</t>
  </si>
  <si>
    <t>CUST0541</t>
  </si>
  <si>
    <t>CUST0542</t>
  </si>
  <si>
    <t>CUST0543</t>
  </si>
  <si>
    <t>CUST0544</t>
  </si>
  <si>
    <t>CUST0545</t>
  </si>
  <si>
    <t>CUST0546</t>
  </si>
  <si>
    <t>CUST0547</t>
  </si>
  <si>
    <t>CUST0548</t>
  </si>
  <si>
    <t>CUST0549</t>
  </si>
  <si>
    <t>CUST0550</t>
  </si>
  <si>
    <t>CUST0551</t>
  </si>
  <si>
    <t>CUST0552</t>
  </si>
  <si>
    <t>CUST0553</t>
  </si>
  <si>
    <t>CUST0554</t>
  </si>
  <si>
    <t>CUST0555</t>
  </si>
  <si>
    <t>CUST0556</t>
  </si>
  <si>
    <t>CUST0557</t>
  </si>
  <si>
    <t>CUST0558</t>
  </si>
  <si>
    <t>CUST0559</t>
  </si>
  <si>
    <t>CUST0560</t>
  </si>
  <si>
    <t>CUST0561</t>
  </si>
  <si>
    <t>CUST0562</t>
  </si>
  <si>
    <t>CUST0563</t>
  </si>
  <si>
    <t>CUST0564</t>
  </si>
  <si>
    <t>CUST0565</t>
  </si>
  <si>
    <t>CUST0566</t>
  </si>
  <si>
    <t>CUST0567</t>
  </si>
  <si>
    <t>CUST0568</t>
  </si>
  <si>
    <t>CUST0569</t>
  </si>
  <si>
    <t>CUST0570</t>
  </si>
  <si>
    <t>CUST0571</t>
  </si>
  <si>
    <t>CUST0572</t>
  </si>
  <si>
    <t>CUST0573</t>
  </si>
  <si>
    <t>CUST0574</t>
  </si>
  <si>
    <t>CUST0575</t>
  </si>
  <si>
    <t>CUST0576</t>
  </si>
  <si>
    <t>CUST0577</t>
  </si>
  <si>
    <t>CUST0578</t>
  </si>
  <si>
    <t>CUST0579</t>
  </si>
  <si>
    <t>CUST0580</t>
  </si>
  <si>
    <t>CUST0581</t>
  </si>
  <si>
    <t>CUST0582</t>
  </si>
  <si>
    <t>CUST0583</t>
  </si>
  <si>
    <t>CUST0584</t>
  </si>
  <si>
    <t>CUST0585</t>
  </si>
  <si>
    <t>CUST0586</t>
  </si>
  <si>
    <t>CUST0587</t>
  </si>
  <si>
    <t>CUST0588</t>
  </si>
  <si>
    <t>CUST0589</t>
  </si>
  <si>
    <t>CUST0590</t>
  </si>
  <si>
    <t>CUST0591</t>
  </si>
  <si>
    <t>CUST0592</t>
  </si>
  <si>
    <t>CUST0593</t>
  </si>
  <si>
    <t>CUST0594</t>
  </si>
  <si>
    <t>CUST0595</t>
  </si>
  <si>
    <t>CUST0596</t>
  </si>
  <si>
    <t>CUST0597</t>
  </si>
  <si>
    <t>CUST0598</t>
  </si>
  <si>
    <t>CUST0599</t>
  </si>
  <si>
    <t>CUST0600</t>
  </si>
  <si>
    <t>CUST0601</t>
  </si>
  <si>
    <t>CUST0602</t>
  </si>
  <si>
    <t>CUST0603</t>
  </si>
  <si>
    <t>CUST0604</t>
  </si>
  <si>
    <t>CUST0605</t>
  </si>
  <si>
    <t>CUST0606</t>
  </si>
  <si>
    <t>CUST0607</t>
  </si>
  <si>
    <t>CUST0608</t>
  </si>
  <si>
    <t>CUST0609</t>
  </si>
  <si>
    <t>CUST0610</t>
  </si>
  <si>
    <t>CUST0612</t>
  </si>
  <si>
    <t>CUST0613</t>
  </si>
  <si>
    <t>CUST0614</t>
  </si>
  <si>
    <t>CUST0615</t>
  </si>
  <si>
    <t>CUST0616</t>
  </si>
  <si>
    <t>CUST0617</t>
  </si>
  <si>
    <t>CUST0618</t>
  </si>
  <si>
    <t>CUST0619</t>
  </si>
  <si>
    <t>CUST0620</t>
  </si>
  <si>
    <t>CUST0621</t>
  </si>
  <si>
    <t>CUST0622</t>
  </si>
  <si>
    <t>CUST0623</t>
  </si>
  <si>
    <t>CUST0624</t>
  </si>
  <si>
    <t>CUST0625</t>
  </si>
  <si>
    <t>CUST0626</t>
  </si>
  <si>
    <t>CUST0627</t>
  </si>
  <si>
    <t>CUST0628</t>
  </si>
  <si>
    <t>CUST0629</t>
  </si>
  <si>
    <t>CUST0630</t>
  </si>
  <si>
    <t>CUST0631</t>
  </si>
  <si>
    <t>CUST0632</t>
  </si>
  <si>
    <t>CUST0633</t>
  </si>
  <si>
    <t>CUST0634</t>
  </si>
  <si>
    <t>CUST0635</t>
  </si>
  <si>
    <t>CUST0636</t>
  </si>
  <si>
    <t>CUST0637</t>
  </si>
  <si>
    <t>CUST0638</t>
  </si>
  <si>
    <t>CUST0639</t>
  </si>
  <si>
    <t>CUST0640</t>
  </si>
  <si>
    <t>CUST0641</t>
  </si>
  <si>
    <t>CUST0642</t>
  </si>
  <si>
    <t>CUST0643</t>
  </si>
  <si>
    <t>CUST0644</t>
  </si>
  <si>
    <t>CUST0645</t>
  </si>
  <si>
    <t>CUST0646</t>
  </si>
  <si>
    <t>CUST0647</t>
  </si>
  <si>
    <t>CUST0648</t>
  </si>
  <si>
    <t>CUST0649</t>
  </si>
  <si>
    <t>CUST0650</t>
  </si>
  <si>
    <t>CUST0651</t>
  </si>
  <si>
    <t>CUST0652</t>
  </si>
  <si>
    <t>CUST0653</t>
  </si>
  <si>
    <t>CUST0654</t>
  </si>
  <si>
    <t>CUST0655</t>
  </si>
  <si>
    <t>CUST0656</t>
  </si>
  <si>
    <t>CUST0657</t>
  </si>
  <si>
    <t>CUST0658</t>
  </si>
  <si>
    <t>CUST0659</t>
  </si>
  <si>
    <t>CUST0660</t>
  </si>
  <si>
    <t>CUST0661</t>
  </si>
  <si>
    <t>CUST0662</t>
  </si>
  <si>
    <t>CUST0663</t>
  </si>
  <si>
    <t>CUST0664</t>
  </si>
  <si>
    <t>CUST0665</t>
  </si>
  <si>
    <t>CUST0666</t>
  </si>
  <si>
    <t>CUST0667</t>
  </si>
  <si>
    <t>CUST0668</t>
  </si>
  <si>
    <t>CUST0669</t>
  </si>
  <si>
    <t>CUST0670</t>
  </si>
  <si>
    <t>CUST0671</t>
  </si>
  <si>
    <t>CUST0672</t>
  </si>
  <si>
    <t>CUST0673</t>
  </si>
  <si>
    <t>CUST0674</t>
  </si>
  <si>
    <t>CUST0675</t>
  </si>
  <si>
    <t>CUST0676</t>
  </si>
  <si>
    <t>CUST0677</t>
  </si>
  <si>
    <t>CUST0678</t>
  </si>
  <si>
    <t>CUST0679</t>
  </si>
  <si>
    <t>CUST0680</t>
  </si>
  <si>
    <t>CUST0681</t>
  </si>
  <si>
    <t>CUST0682</t>
  </si>
  <si>
    <t>CUST0683</t>
  </si>
  <si>
    <t>CUST0684</t>
  </si>
  <si>
    <t>CUST0685</t>
  </si>
  <si>
    <t>CUST0686</t>
  </si>
  <si>
    <t>CUST0687</t>
  </si>
  <si>
    <t>CUST0688</t>
  </si>
  <si>
    <t>CUST0689</t>
  </si>
  <si>
    <t>CUST0690</t>
  </si>
  <si>
    <t>CUST0691</t>
  </si>
  <si>
    <t>CUST0692</t>
  </si>
  <si>
    <t>CUST0693</t>
  </si>
  <si>
    <t>CUST0694</t>
  </si>
  <si>
    <t>CUST0695</t>
  </si>
  <si>
    <t>CUST0698</t>
  </si>
  <si>
    <t>CUST0699</t>
  </si>
  <si>
    <t>CUST0700</t>
  </si>
  <si>
    <t>CUST0701</t>
  </si>
  <si>
    <t>CUST0702</t>
  </si>
  <si>
    <t>CUST0703</t>
  </si>
  <si>
    <t>CUST0704</t>
  </si>
  <si>
    <t>CUST0705</t>
  </si>
  <si>
    <t>CUST0707</t>
  </si>
  <si>
    <t>CUST0708</t>
  </si>
  <si>
    <t>CUST0709</t>
  </si>
  <si>
    <t>CUST0711</t>
  </si>
  <si>
    <t>CUST0712</t>
  </si>
  <si>
    <t>CUST0713</t>
  </si>
  <si>
    <t>CUST0714</t>
  </si>
  <si>
    <t>CUST0715</t>
  </si>
  <si>
    <t>CUST0716</t>
  </si>
  <si>
    <t>CUST0718</t>
  </si>
  <si>
    <t>CUST0719</t>
  </si>
  <si>
    <t>CUST0720</t>
  </si>
  <si>
    <t>CUST0721</t>
  </si>
  <si>
    <t>CUST0722</t>
  </si>
  <si>
    <t>CUST0723</t>
  </si>
  <si>
    <t>CUST0724</t>
  </si>
  <si>
    <t>CUST0725</t>
  </si>
  <si>
    <t>CUST0726</t>
  </si>
  <si>
    <t>CUST0727</t>
  </si>
  <si>
    <t>CUST0728</t>
  </si>
  <si>
    <t>CUST0729</t>
  </si>
  <si>
    <t>CUST0730</t>
  </si>
  <si>
    <t>CUST0732</t>
  </si>
  <si>
    <t>CUST0733</t>
  </si>
  <si>
    <t>CUST0734</t>
  </si>
  <si>
    <t>CUST0735</t>
  </si>
  <si>
    <t>CUST0736</t>
  </si>
  <si>
    <t>CUST0737</t>
  </si>
  <si>
    <t>CUST0738</t>
  </si>
  <si>
    <t>CUST0739</t>
  </si>
  <si>
    <t>CUST0740</t>
  </si>
  <si>
    <t>CUST0741</t>
  </si>
  <si>
    <t>CUST0742</t>
  </si>
  <si>
    <t>CUST0743</t>
  </si>
  <si>
    <t>CUST0744</t>
  </si>
  <si>
    <t>CUST0745</t>
  </si>
  <si>
    <t>CUST0746</t>
  </si>
  <si>
    <t>CUST0747</t>
  </si>
  <si>
    <t>CUST0748</t>
  </si>
  <si>
    <t>CUST0749</t>
  </si>
  <si>
    <t>CUST0750</t>
  </si>
  <si>
    <t>CUST0751</t>
  </si>
  <si>
    <t>CUST0753</t>
  </si>
  <si>
    <t>CUST0754</t>
  </si>
  <si>
    <t>CUST0755</t>
  </si>
  <si>
    <t>CUST0756</t>
  </si>
  <si>
    <t>CUST0757</t>
  </si>
  <si>
    <t>CUST0758</t>
  </si>
  <si>
    <t>CUST0759</t>
  </si>
  <si>
    <t>CUST0760</t>
  </si>
  <si>
    <t>CUST0761</t>
  </si>
  <si>
    <t>CUST0762</t>
  </si>
  <si>
    <t>CUST0763</t>
  </si>
  <si>
    <t>CUST0764</t>
  </si>
  <si>
    <t>CUST0765</t>
  </si>
  <si>
    <t>CUST0766</t>
  </si>
  <si>
    <t>CUST0767</t>
  </si>
  <si>
    <t>CUST0768</t>
  </si>
  <si>
    <t>CUST0769</t>
  </si>
  <si>
    <t>CUST0770</t>
  </si>
  <si>
    <t>CUST0771</t>
  </si>
  <si>
    <t>CUST0772</t>
  </si>
  <si>
    <t>CUST0773</t>
  </si>
  <si>
    <t>CUST0774</t>
  </si>
  <si>
    <t>CUST0775</t>
  </si>
  <si>
    <t>CUST0776</t>
  </si>
  <si>
    <t>CUST0777</t>
  </si>
  <si>
    <t>CUST0778</t>
  </si>
  <si>
    <t>CUST0779</t>
  </si>
  <si>
    <t>CUST0780</t>
  </si>
  <si>
    <t>CUST0781</t>
  </si>
  <si>
    <t>CUST0782</t>
  </si>
  <si>
    <t>CUST0783</t>
  </si>
  <si>
    <t>CUST0784</t>
  </si>
  <si>
    <t>CUST0785</t>
  </si>
  <si>
    <t>CUST0786</t>
  </si>
  <si>
    <t>CUST0787</t>
  </si>
  <si>
    <t>CUST0788</t>
  </si>
  <si>
    <t>CUST0789</t>
  </si>
  <si>
    <t>CUST0790</t>
  </si>
  <si>
    <t>CUST0791</t>
  </si>
  <si>
    <t>CUST0792</t>
  </si>
  <si>
    <t>CUST0793</t>
  </si>
  <si>
    <t>CUST0794</t>
  </si>
  <si>
    <t>CUST0795</t>
  </si>
  <si>
    <t>CUST0796</t>
  </si>
  <si>
    <t>CUST0797</t>
  </si>
  <si>
    <t>CUST0798</t>
  </si>
  <si>
    <t>CUST0799</t>
  </si>
  <si>
    <t>CUST0800</t>
  </si>
  <si>
    <t>CUST0801</t>
  </si>
  <si>
    <t>CUST0802</t>
  </si>
  <si>
    <t>CUST0803</t>
  </si>
  <si>
    <t>CUST0804</t>
  </si>
  <si>
    <t>CUST0805</t>
  </si>
  <si>
    <t>CUST0806</t>
  </si>
  <si>
    <t>CUST0807</t>
  </si>
  <si>
    <t>CUST0808</t>
  </si>
  <si>
    <t>CUST0809</t>
  </si>
  <si>
    <t>CUST0810</t>
  </si>
  <si>
    <t>CUST0811</t>
  </si>
  <si>
    <t>CUST0812</t>
  </si>
  <si>
    <t>CUST0813</t>
  </si>
  <si>
    <t>CUST0814</t>
  </si>
  <si>
    <t>CUST0815</t>
  </si>
  <si>
    <t>CUST0816</t>
  </si>
  <si>
    <t>CUST0817</t>
  </si>
  <si>
    <t>CUST0818</t>
  </si>
  <si>
    <t>CUST0819</t>
  </si>
  <si>
    <t>CUST0820</t>
  </si>
  <si>
    <t>CUST0821</t>
  </si>
  <si>
    <t>CUST0823</t>
  </si>
  <si>
    <t>CUST0824</t>
  </si>
  <si>
    <t>CUST0825</t>
  </si>
  <si>
    <t>CUST0826</t>
  </si>
  <si>
    <t>CUST0827</t>
  </si>
  <si>
    <t>CUST0828</t>
  </si>
  <si>
    <t>CUST0829</t>
  </si>
  <si>
    <t>CUST0830</t>
  </si>
  <si>
    <t>CUST0831</t>
  </si>
  <si>
    <t>CUST0832</t>
  </si>
  <si>
    <t>CUST0833</t>
  </si>
  <si>
    <t>CUST0834</t>
  </si>
  <si>
    <t>CUST0835</t>
  </si>
  <si>
    <t>CUST0836</t>
  </si>
  <si>
    <t>CUST0837</t>
  </si>
  <si>
    <t>CUST0838</t>
  </si>
  <si>
    <t>CUST0839</t>
  </si>
  <si>
    <t>CUST0840</t>
  </si>
  <si>
    <t>CUST0841</t>
  </si>
  <si>
    <t>CUST0842</t>
  </si>
  <si>
    <t>CUST0843</t>
  </si>
  <si>
    <t>CUST0844</t>
  </si>
  <si>
    <t>CUST0845</t>
  </si>
  <si>
    <t>CUST0846</t>
  </si>
  <si>
    <t>CUST0847</t>
  </si>
  <si>
    <t>CUST0848</t>
  </si>
  <si>
    <t>CUST0849</t>
  </si>
  <si>
    <t>CUST0850</t>
  </si>
  <si>
    <t>CUST0851</t>
  </si>
  <si>
    <t>CUST0853</t>
  </si>
  <si>
    <t>CUST0854</t>
  </si>
  <si>
    <t>CUST0855</t>
  </si>
  <si>
    <t>CUST0856</t>
  </si>
  <si>
    <t>CUST0857</t>
  </si>
  <si>
    <t>CUST0858</t>
  </si>
  <si>
    <t>CUST0859</t>
  </si>
  <si>
    <t>CUST0860</t>
  </si>
  <si>
    <t>CUST0861</t>
  </si>
  <si>
    <t>CUST0862</t>
  </si>
  <si>
    <t>CUST0863</t>
  </si>
  <si>
    <t>CUST0864</t>
  </si>
  <si>
    <t>CUST0865</t>
  </si>
  <si>
    <t>CUST0866</t>
  </si>
  <si>
    <t>CUST0867</t>
  </si>
  <si>
    <t>CUST0868</t>
  </si>
  <si>
    <t>CUST0869</t>
  </si>
  <si>
    <t>CUST0870</t>
  </si>
  <si>
    <t>CUST0871</t>
  </si>
  <si>
    <t>CUST0872</t>
  </si>
  <si>
    <t>CUST0873</t>
  </si>
  <si>
    <t>CUST0874</t>
  </si>
  <si>
    <t>CUST0875</t>
  </si>
  <si>
    <t>CUST0876</t>
  </si>
  <si>
    <t>CUST0877</t>
  </si>
  <si>
    <t>CUST0878</t>
  </si>
  <si>
    <t>CUST0879</t>
  </si>
  <si>
    <t>CUST0880</t>
  </si>
  <si>
    <t>CUST0881</t>
  </si>
  <si>
    <t>CUST0882</t>
  </si>
  <si>
    <t>CUST0883</t>
  </si>
  <si>
    <t>CUST0885</t>
  </si>
  <si>
    <t>CUST0886</t>
  </si>
  <si>
    <t>CUST0887</t>
  </si>
  <si>
    <t>CUST0888</t>
  </si>
  <si>
    <t>CUST0889</t>
  </si>
  <si>
    <t>CUST0890</t>
  </si>
  <si>
    <t>CUST0891</t>
  </si>
  <si>
    <t>CUST0892</t>
  </si>
  <si>
    <t>CUST0893</t>
  </si>
  <si>
    <t>CUST0894</t>
  </si>
  <si>
    <t>CUST0895</t>
  </si>
  <si>
    <t>CUST0896</t>
  </si>
  <si>
    <t>CUST0897</t>
  </si>
  <si>
    <t>CUST0898</t>
  </si>
  <si>
    <t>CUST0899</t>
  </si>
  <si>
    <t>CUST0900</t>
  </si>
  <si>
    <t>CUST0901</t>
  </si>
  <si>
    <t>CUST0902</t>
  </si>
  <si>
    <t>CUST0903</t>
  </si>
  <si>
    <t>CUST0904</t>
  </si>
  <si>
    <t>CUST0905</t>
  </si>
  <si>
    <t>CUST0906</t>
  </si>
  <si>
    <t>CUST0908</t>
  </si>
  <si>
    <t>CUST0909</t>
  </si>
  <si>
    <t>CUST0910</t>
  </si>
  <si>
    <t>CUST0911</t>
  </si>
  <si>
    <t>CUST0912</t>
  </si>
  <si>
    <t>CUST0913</t>
  </si>
  <si>
    <t>CUST0914</t>
  </si>
  <si>
    <t>CUST0915</t>
  </si>
  <si>
    <t>CUST0916</t>
  </si>
  <si>
    <t>CUST0917</t>
  </si>
  <si>
    <t>CUST0918</t>
  </si>
  <si>
    <t>CUST0919</t>
  </si>
  <si>
    <t>CUST0920</t>
  </si>
  <si>
    <t>CUST0921</t>
  </si>
  <si>
    <t>CUST0922</t>
  </si>
  <si>
    <t>CUST0923</t>
  </si>
  <si>
    <t>CUST0924</t>
  </si>
  <si>
    <t>CUST0926</t>
  </si>
  <si>
    <t>CUST0927</t>
  </si>
  <si>
    <t>CUST0928</t>
  </si>
  <si>
    <t>CUST0929</t>
  </si>
  <si>
    <t>CUST0930</t>
  </si>
  <si>
    <t>CUST0931</t>
  </si>
  <si>
    <t>CUST0932</t>
  </si>
  <si>
    <t>CUST0933</t>
  </si>
  <si>
    <t>CUST0934</t>
  </si>
  <si>
    <t>CUST0935</t>
  </si>
  <si>
    <t>CUST0936</t>
  </si>
  <si>
    <t>CUST0937</t>
  </si>
  <si>
    <t>CUST0938</t>
  </si>
  <si>
    <t>CUST0939</t>
  </si>
  <si>
    <t>CUST0940</t>
  </si>
  <si>
    <t>CUST0941</t>
  </si>
  <si>
    <t>CUST0942</t>
  </si>
  <si>
    <t>CUST0943</t>
  </si>
  <si>
    <t>CUST0944</t>
  </si>
  <si>
    <t>CUST0945</t>
  </si>
  <si>
    <t>CUST0946</t>
  </si>
  <si>
    <t>CUST0947</t>
  </si>
  <si>
    <t>CUST0948</t>
  </si>
  <si>
    <t>CUST0949</t>
  </si>
  <si>
    <t>CUST0950</t>
  </si>
  <si>
    <t>CUST0951</t>
  </si>
  <si>
    <t>CUST0952</t>
  </si>
  <si>
    <t>CUST0953</t>
  </si>
  <si>
    <t>CUST0954</t>
  </si>
  <si>
    <t>CUST0955</t>
  </si>
  <si>
    <t>CUST0956</t>
  </si>
  <si>
    <t>CUST0957</t>
  </si>
  <si>
    <t>CUST0958</t>
  </si>
  <si>
    <t>CUST0959</t>
  </si>
  <si>
    <t>CUST0960</t>
  </si>
  <si>
    <t>CUST0961</t>
  </si>
  <si>
    <t>CUST0962</t>
  </si>
  <si>
    <t>CUST0963</t>
  </si>
  <si>
    <t>CUST0964</t>
  </si>
  <si>
    <t>CUST0965</t>
  </si>
  <si>
    <t>CUST0966</t>
  </si>
  <si>
    <t>CUST0967</t>
  </si>
  <si>
    <t>CUST0968</t>
  </si>
  <si>
    <t>CUST0969</t>
  </si>
  <si>
    <t>CUST0970</t>
  </si>
  <si>
    <t>CUST0971</t>
  </si>
  <si>
    <t>CUST0972</t>
  </si>
  <si>
    <t>CUST0973</t>
  </si>
  <si>
    <t>CUST0974</t>
  </si>
  <si>
    <t>CUST0975</t>
  </si>
  <si>
    <t>CUST0976</t>
  </si>
  <si>
    <t>CUST0977</t>
  </si>
  <si>
    <t>CUST0978</t>
  </si>
  <si>
    <t>CUST0979</t>
  </si>
  <si>
    <t>CUST0980</t>
  </si>
  <si>
    <t>CUST0981</t>
  </si>
  <si>
    <t>CUST0982</t>
  </si>
  <si>
    <t>CUST0983</t>
  </si>
  <si>
    <t>CUST0984</t>
  </si>
  <si>
    <t>CUST0985</t>
  </si>
  <si>
    <t>CUST0987</t>
  </si>
  <si>
    <t>CUST0988</t>
  </si>
  <si>
    <t>CUST0989</t>
  </si>
  <si>
    <t>CUST0990</t>
  </si>
  <si>
    <t>CUST0991</t>
  </si>
  <si>
    <t>CUST0992</t>
  </si>
  <si>
    <t>CUST0993</t>
  </si>
  <si>
    <t>CUST0994</t>
  </si>
  <si>
    <t>CUST0995</t>
  </si>
  <si>
    <t>CUST0996</t>
  </si>
  <si>
    <t>CUST0997</t>
  </si>
  <si>
    <t>CUST0998</t>
  </si>
  <si>
    <t>CUST0999</t>
  </si>
  <si>
    <t>CUST1000</t>
  </si>
  <si>
    <t>CUST1001</t>
  </si>
  <si>
    <t>CUST1002</t>
  </si>
  <si>
    <t>CUST1003</t>
  </si>
  <si>
    <t>CUST1004</t>
  </si>
  <si>
    <t>CUST1005</t>
  </si>
  <si>
    <t>CUST1006</t>
  </si>
  <si>
    <t>CUST1008</t>
  </si>
  <si>
    <t>CUST1009</t>
  </si>
  <si>
    <t>CUST1010</t>
  </si>
  <si>
    <t>CUST1011</t>
  </si>
  <si>
    <t>CUST1012</t>
  </si>
  <si>
    <t>CUST1013</t>
  </si>
  <si>
    <t>CUST1015</t>
  </si>
  <si>
    <t>CUST1016</t>
  </si>
  <si>
    <t>CUST1017</t>
  </si>
  <si>
    <t>CUST1018</t>
  </si>
  <si>
    <t>CUST1019</t>
  </si>
  <si>
    <t>CUST1020</t>
  </si>
  <si>
    <t>CUST1021</t>
  </si>
  <si>
    <t>CUST1022</t>
  </si>
  <si>
    <t>CUST1023</t>
  </si>
  <si>
    <t>CUST1024</t>
  </si>
  <si>
    <t>CUST1025</t>
  </si>
  <si>
    <t>CUST1026</t>
  </si>
  <si>
    <t>CUST1027</t>
  </si>
  <si>
    <t>CUST1028</t>
  </si>
  <si>
    <t>CUST1029</t>
  </si>
  <si>
    <t>CUST1030</t>
  </si>
  <si>
    <t>CUST1031</t>
  </si>
  <si>
    <t>CUST1032</t>
  </si>
  <si>
    <t>CUST1033</t>
  </si>
  <si>
    <t>CUST1034</t>
  </si>
  <si>
    <t>CUST1036</t>
  </si>
  <si>
    <t>CUST1037</t>
  </si>
  <si>
    <t>CUST1038</t>
  </si>
  <si>
    <t>CUST1039</t>
  </si>
  <si>
    <t>CUST1040</t>
  </si>
  <si>
    <t>CUST1041</t>
  </si>
  <si>
    <t>CUST1042</t>
  </si>
  <si>
    <t>CUST1043</t>
  </si>
  <si>
    <t>CUST1044</t>
  </si>
  <si>
    <t>CUST1045</t>
  </si>
  <si>
    <t>CUST1046</t>
  </si>
  <si>
    <t>CUST1047</t>
  </si>
  <si>
    <t>CUST1048</t>
  </si>
  <si>
    <t>CUST1049</t>
  </si>
  <si>
    <t>CUST1050</t>
  </si>
  <si>
    <t>CUST1051</t>
  </si>
  <si>
    <t>CUST1052</t>
  </si>
  <si>
    <t>CUST1053</t>
  </si>
  <si>
    <t>CUST1054</t>
  </si>
  <si>
    <t>CUST1055</t>
  </si>
  <si>
    <t>CUST1056</t>
  </si>
  <si>
    <t>CUST1057</t>
  </si>
  <si>
    <t>CUST1058</t>
  </si>
  <si>
    <t>CUST1059</t>
  </si>
  <si>
    <t>CUST1061</t>
  </si>
  <si>
    <t>CUST1062</t>
  </si>
  <si>
    <t>CUST1063</t>
  </si>
  <si>
    <t>CUST1064</t>
  </si>
  <si>
    <t>CUST1065</t>
  </si>
  <si>
    <t>CUST1067</t>
  </si>
  <si>
    <t>CUST1068</t>
  </si>
  <si>
    <t>CUST1069</t>
  </si>
  <si>
    <t>CUST1070</t>
  </si>
  <si>
    <t>CUST1071</t>
  </si>
  <si>
    <t>CUST1072</t>
  </si>
  <si>
    <t>CUST1073</t>
  </si>
  <si>
    <t>CUST1074</t>
  </si>
  <si>
    <t>CUST1075</t>
  </si>
  <si>
    <t>CUST1076</t>
  </si>
  <si>
    <t>CUST1077</t>
  </si>
  <si>
    <t>CUST1078</t>
  </si>
  <si>
    <t>CUST1079</t>
  </si>
  <si>
    <t>CUST1080</t>
  </si>
  <si>
    <t>CUST1081</t>
  </si>
  <si>
    <t>CUST1083</t>
  </si>
  <si>
    <t>CUST1084</t>
  </si>
  <si>
    <t>CUST1085</t>
  </si>
  <si>
    <t>CUST1086</t>
  </si>
  <si>
    <t>CUST1087</t>
  </si>
  <si>
    <t>CUST1088</t>
  </si>
  <si>
    <t>CUST1089</t>
  </si>
  <si>
    <t>CUST1090</t>
  </si>
  <si>
    <t>CUST1092</t>
  </si>
  <si>
    <t>CUST1093</t>
  </si>
  <si>
    <t>CUST1094</t>
  </si>
  <si>
    <t>CUST1096</t>
  </si>
  <si>
    <t>CUST1097</t>
  </si>
  <si>
    <t>CUST1098</t>
  </si>
  <si>
    <t>CUST1099</t>
  </si>
  <si>
    <t>CUST1101</t>
  </si>
  <si>
    <t>CUST1102</t>
  </si>
  <si>
    <t>CUST1103</t>
  </si>
  <si>
    <t>CUST1104</t>
  </si>
  <si>
    <t>CUST1105</t>
  </si>
  <si>
    <t>CUST1106</t>
  </si>
  <si>
    <t>CUST1107</t>
  </si>
  <si>
    <t>CUST1108</t>
  </si>
  <si>
    <t>CUST1110</t>
  </si>
  <si>
    <t>CUST1111</t>
  </si>
  <si>
    <t>CUST1112</t>
  </si>
  <si>
    <t>CUST1113</t>
  </si>
  <si>
    <t>CUST1114</t>
  </si>
  <si>
    <t>CUST1115</t>
  </si>
  <si>
    <t>CUST1116</t>
  </si>
  <si>
    <t>CUST1117</t>
  </si>
  <si>
    <t>CUST1118</t>
  </si>
  <si>
    <t>CUST1119</t>
  </si>
  <si>
    <t>CUST1120</t>
  </si>
  <si>
    <t>CUST1121</t>
  </si>
  <si>
    <t>CUST1122</t>
  </si>
  <si>
    <t>CUST1123</t>
  </si>
  <si>
    <t>CUST1124</t>
  </si>
  <si>
    <t>CUST1125</t>
  </si>
  <si>
    <t>CUST1126</t>
  </si>
  <si>
    <t>CUST1127</t>
  </si>
  <si>
    <t>CUST1128</t>
  </si>
  <si>
    <t>CUST1129</t>
  </si>
  <si>
    <t>CUST1130</t>
  </si>
  <si>
    <t>CUST1131</t>
  </si>
  <si>
    <t>CUST1132</t>
  </si>
  <si>
    <t>CUST1133</t>
  </si>
  <si>
    <t>CUST1134</t>
  </si>
  <si>
    <t>CUST1135</t>
  </si>
  <si>
    <t>CUST1136</t>
  </si>
  <si>
    <t>CUST1137</t>
  </si>
  <si>
    <t>CUST1138</t>
  </si>
  <si>
    <t>CUST1139</t>
  </si>
  <si>
    <t>CUST1140</t>
  </si>
  <si>
    <t>CUST1141</t>
  </si>
  <si>
    <t>CUST1142</t>
  </si>
  <si>
    <t>CUST1143</t>
  </si>
  <si>
    <t>CUST1144</t>
  </si>
  <si>
    <t>CUST1145</t>
  </si>
  <si>
    <t>CUST1146</t>
  </si>
  <si>
    <t>CUST1147</t>
  </si>
  <si>
    <t>CUST1148</t>
  </si>
  <si>
    <t>CUST1149</t>
  </si>
  <si>
    <t>CUST1150</t>
  </si>
  <si>
    <t>CUST1151</t>
  </si>
  <si>
    <t>CUST1152</t>
  </si>
  <si>
    <t>CUST1153</t>
  </si>
  <si>
    <t>CUST1154</t>
  </si>
  <si>
    <t>CUST1155</t>
  </si>
  <si>
    <t>CUST1156</t>
  </si>
  <si>
    <t>CUST1157</t>
  </si>
  <si>
    <t>CUST1158</t>
  </si>
  <si>
    <t>CUST1159</t>
  </si>
  <si>
    <t>CUST1161</t>
  </si>
  <si>
    <t>CUST1162</t>
  </si>
  <si>
    <t>CUST1163</t>
  </si>
  <si>
    <t>CUST1164</t>
  </si>
  <si>
    <t>CUST1165</t>
  </si>
  <si>
    <t>CUST1166</t>
  </si>
  <si>
    <t>CUST1167</t>
  </si>
  <si>
    <t>CUST1168</t>
  </si>
  <si>
    <t>CUST1169</t>
  </si>
  <si>
    <t>CUST1170</t>
  </si>
  <si>
    <t>CUST1171</t>
  </si>
  <si>
    <t>CUST1172</t>
  </si>
  <si>
    <t>CUST1173</t>
  </si>
  <si>
    <t>CUST1174</t>
  </si>
  <si>
    <t>CUST1176</t>
  </si>
  <si>
    <t>CUST1177</t>
  </si>
  <si>
    <t>CUST1178</t>
  </si>
  <si>
    <t>CUST1179</t>
  </si>
  <si>
    <t>CUST1180</t>
  </si>
  <si>
    <t>CUST1181</t>
  </si>
  <si>
    <t>CUST1182</t>
  </si>
  <si>
    <t>CUST1183</t>
  </si>
  <si>
    <t>CUST1184</t>
  </si>
  <si>
    <t>CUST1185</t>
  </si>
  <si>
    <t>CUST1186</t>
  </si>
  <si>
    <t>CUST1187</t>
  </si>
  <si>
    <t>CUST1188</t>
  </si>
  <si>
    <t>CUST1189</t>
  </si>
  <si>
    <t>CUST1190</t>
  </si>
  <si>
    <t>CUST1191</t>
  </si>
  <si>
    <t>CUST1192</t>
  </si>
  <si>
    <t>CUST1193</t>
  </si>
  <si>
    <t>CUST1195</t>
  </si>
  <si>
    <t>CUST1196</t>
  </si>
  <si>
    <t>CUST1197</t>
  </si>
  <si>
    <t>CUST1198</t>
  </si>
  <si>
    <t>CUST1199</t>
  </si>
  <si>
    <t>CUST1200</t>
  </si>
  <si>
    <t>CUST1201</t>
  </si>
  <si>
    <t>CUST1202</t>
  </si>
  <si>
    <t>CUST1203</t>
  </si>
  <si>
    <t>CUST1204</t>
  </si>
  <si>
    <t>CUST1205</t>
  </si>
  <si>
    <t>CUST1206</t>
  </si>
  <si>
    <t>CUST1207</t>
  </si>
  <si>
    <t>CUST1208</t>
  </si>
  <si>
    <t>CUST1209</t>
  </si>
  <si>
    <t>CUST1210</t>
  </si>
  <si>
    <t>CUST1211</t>
  </si>
  <si>
    <t>CUST1212</t>
  </si>
  <si>
    <t>CUST1214</t>
  </si>
  <si>
    <t>CUST1215</t>
  </si>
  <si>
    <t>CUST1216</t>
  </si>
  <si>
    <t>CUST1217</t>
  </si>
  <si>
    <t>CUST1218</t>
  </si>
  <si>
    <t>CUST1219</t>
  </si>
  <si>
    <t>CUST1220</t>
  </si>
  <si>
    <t>CUST1221</t>
  </si>
  <si>
    <t>CUST1222</t>
  </si>
  <si>
    <t>CUST1223</t>
  </si>
  <si>
    <t>CUST1224</t>
  </si>
  <si>
    <t>CUST1225</t>
  </si>
  <si>
    <t>CUST1226</t>
  </si>
  <si>
    <t>CUST1227</t>
  </si>
  <si>
    <t>CUST1228</t>
  </si>
  <si>
    <t>CUST1229</t>
  </si>
  <si>
    <t>CUST1230</t>
  </si>
  <si>
    <t>CUST1231</t>
  </si>
  <si>
    <t>CUST1232</t>
  </si>
  <si>
    <t>CUST1233</t>
  </si>
  <si>
    <t>CUST1234</t>
  </si>
  <si>
    <t>CUST1235</t>
  </si>
  <si>
    <t>CUST1236</t>
  </si>
  <si>
    <t>CUST1237</t>
  </si>
  <si>
    <t>CUST1238</t>
  </si>
  <si>
    <t>CUST1239</t>
  </si>
  <si>
    <t>CUST1240</t>
  </si>
  <si>
    <t>CUST1242</t>
  </si>
  <si>
    <t>CUST1243</t>
  </si>
  <si>
    <t>CUST1244</t>
  </si>
  <si>
    <t>CUST1245</t>
  </si>
  <si>
    <t>CUST1246</t>
  </si>
  <si>
    <t>CUST1248</t>
  </si>
  <si>
    <t>CUST1249</t>
  </si>
  <si>
    <t>CUST1250</t>
  </si>
  <si>
    <t>CUST1251</t>
  </si>
  <si>
    <t>CUST1252</t>
  </si>
  <si>
    <t>CUST1253</t>
  </si>
  <si>
    <t>CUST1254</t>
  </si>
  <si>
    <t>CUST1255</t>
  </si>
  <si>
    <t>CUST1257</t>
  </si>
  <si>
    <t>CUST1258</t>
  </si>
  <si>
    <t>CUST1259</t>
  </si>
  <si>
    <t>CUST1260</t>
  </si>
  <si>
    <t>CUST1261</t>
  </si>
  <si>
    <t>CUST1262</t>
  </si>
  <si>
    <t>CUST1263</t>
  </si>
  <si>
    <t>CUST1265</t>
  </si>
  <si>
    <t>CUST1266</t>
  </si>
  <si>
    <t>CUST1267</t>
  </si>
  <si>
    <t>CUST1268</t>
  </si>
  <si>
    <t>CUST1269</t>
  </si>
  <si>
    <t>CUST1270</t>
  </si>
  <si>
    <t>CUST1271</t>
  </si>
  <si>
    <t>CUST1272</t>
  </si>
  <si>
    <t>CUST1273</t>
  </si>
  <si>
    <t>CUST1274</t>
  </si>
  <si>
    <t>CUST1275</t>
  </si>
  <si>
    <t>CUST1276</t>
  </si>
  <si>
    <t>CUST1277</t>
  </si>
  <si>
    <t>CUST1278</t>
  </si>
  <si>
    <t>CUST1279</t>
  </si>
  <si>
    <t>CUST1280</t>
  </si>
  <si>
    <t>CUST1281</t>
  </si>
  <si>
    <t>CUST1282</t>
  </si>
  <si>
    <t>CUST1283</t>
  </si>
  <si>
    <t>CUST1284</t>
  </si>
  <si>
    <t>CUST1285</t>
  </si>
  <si>
    <t>CUST1286</t>
  </si>
  <si>
    <t>CUST1287</t>
  </si>
  <si>
    <t>CUST1288</t>
  </si>
  <si>
    <t>CUST1289</t>
  </si>
  <si>
    <t>CUST1290</t>
  </si>
  <si>
    <t>CUST1291</t>
  </si>
  <si>
    <t>CUST1292</t>
  </si>
  <si>
    <t>CUST1293</t>
  </si>
  <si>
    <t>CUST1294</t>
  </si>
  <si>
    <t>CUST1295</t>
  </si>
  <si>
    <t>CUST1296</t>
  </si>
  <si>
    <t>CUST1297</t>
  </si>
  <si>
    <t>CUST1298</t>
  </si>
  <si>
    <t>CUST1299</t>
  </si>
  <si>
    <t>CUST1300</t>
  </si>
  <si>
    <t>CUST1301</t>
  </si>
  <si>
    <t>CUST1302</t>
  </si>
  <si>
    <t>CUST1303</t>
  </si>
  <si>
    <t>CUST1304</t>
  </si>
  <si>
    <t>CUST1305</t>
  </si>
  <si>
    <t>CUST1306</t>
  </si>
  <si>
    <t>CUST1307</t>
  </si>
  <si>
    <t>CUST1308</t>
  </si>
  <si>
    <t>CUST1309</t>
  </si>
  <si>
    <t>CUST1310</t>
  </si>
  <si>
    <t>CUST1311</t>
  </si>
  <si>
    <t>CUST1312</t>
  </si>
  <si>
    <t>CUST1313</t>
  </si>
  <si>
    <t>CUST1314</t>
  </si>
  <si>
    <t>CUST1315</t>
  </si>
  <si>
    <t>CUST1316</t>
  </si>
  <si>
    <t>CUST1317</t>
  </si>
  <si>
    <t>CUST1318</t>
  </si>
  <si>
    <t>CUST1319</t>
  </si>
  <si>
    <t>CUST1320</t>
  </si>
  <si>
    <t>CUST1321</t>
  </si>
  <si>
    <t>CUST1322</t>
  </si>
  <si>
    <t>CUST1323</t>
  </si>
  <si>
    <t>CUST1324</t>
  </si>
  <si>
    <t>CUST1325</t>
  </si>
  <si>
    <t>CUST1326</t>
  </si>
  <si>
    <t>CUST1327</t>
  </si>
  <si>
    <t>CUST1328</t>
  </si>
  <si>
    <t>CUST1329</t>
  </si>
  <si>
    <t>CUST1330</t>
  </si>
  <si>
    <t>CUST1331</t>
  </si>
  <si>
    <t>CUST1332</t>
  </si>
  <si>
    <t>CUST1333</t>
  </si>
  <si>
    <t>CUST1334</t>
  </si>
  <si>
    <t>CUST1335</t>
  </si>
  <si>
    <t>CUST1336</t>
  </si>
  <si>
    <t>CUST1337</t>
  </si>
  <si>
    <t>CUST1338</t>
  </si>
  <si>
    <t>CUST1339</t>
  </si>
  <si>
    <t>CUST1340</t>
  </si>
  <si>
    <t>CUST1341</t>
  </si>
  <si>
    <t>CUST1342</t>
  </si>
  <si>
    <t>CUST1343</t>
  </si>
  <si>
    <t>CUST1344</t>
  </si>
  <si>
    <t>CUST1345</t>
  </si>
  <si>
    <t>CUST1346</t>
  </si>
  <si>
    <t>CUST1347</t>
  </si>
  <si>
    <t>CUST1348</t>
  </si>
  <si>
    <t>CUST1349</t>
  </si>
  <si>
    <t>CUST1350</t>
  </si>
  <si>
    <t>CUST1351</t>
  </si>
  <si>
    <t>CUST1352</t>
  </si>
  <si>
    <t>CUST1353</t>
  </si>
  <si>
    <t>CUST1354</t>
  </si>
  <si>
    <t>CUST1355</t>
  </si>
  <si>
    <t>CUST1356</t>
  </si>
  <si>
    <t>CUST1357</t>
  </si>
  <si>
    <t>CUST1358</t>
  </si>
  <si>
    <t>CUST1359</t>
  </si>
  <si>
    <t>CUST1360</t>
  </si>
  <si>
    <t>CUST1361</t>
  </si>
  <si>
    <t>CUST1362</t>
  </si>
  <si>
    <t>CUST1363</t>
  </si>
  <si>
    <t>CUST1364</t>
  </si>
  <si>
    <t>CUST1365</t>
  </si>
  <si>
    <t>CUST1366</t>
  </si>
  <si>
    <t>CUST1367</t>
  </si>
  <si>
    <t>CUST1368</t>
  </si>
  <si>
    <t>CUST1369</t>
  </si>
  <si>
    <t>CUST1370</t>
  </si>
  <si>
    <t>CUST1371</t>
  </si>
  <si>
    <t>CUST1372</t>
  </si>
  <si>
    <t>CUST1373</t>
  </si>
  <si>
    <t>CUST1374</t>
  </si>
  <si>
    <t>CUST1375</t>
  </si>
  <si>
    <t>CUST1376</t>
  </si>
  <si>
    <t>CUST1377</t>
  </si>
  <si>
    <t>CUST1378</t>
  </si>
  <si>
    <t>CUST1379</t>
  </si>
  <si>
    <t>CUST1380</t>
  </si>
  <si>
    <t>CUST1381</t>
  </si>
  <si>
    <t>CUST1382</t>
  </si>
  <si>
    <t>CUST1383</t>
  </si>
  <si>
    <t>CUST1384</t>
  </si>
  <si>
    <t>CUST1385</t>
  </si>
  <si>
    <t>CUST1386</t>
  </si>
  <si>
    <t>CUST1387</t>
  </si>
  <si>
    <t>CUST1388</t>
  </si>
  <si>
    <t>CUST1389</t>
  </si>
  <si>
    <t>CUST1390</t>
  </si>
  <si>
    <t>CUST1391</t>
  </si>
  <si>
    <t>CUST1392</t>
  </si>
  <si>
    <t>CUST1393</t>
  </si>
  <si>
    <t>CUST1394</t>
  </si>
  <si>
    <t>CUST1395</t>
  </si>
  <si>
    <t>CUST1396</t>
  </si>
  <si>
    <t>CUST1397</t>
  </si>
  <si>
    <t>CUST1398</t>
  </si>
  <si>
    <t>CUST1399</t>
  </si>
  <si>
    <t>CUST1400</t>
  </si>
  <si>
    <t>CUST1402</t>
  </si>
  <si>
    <t>CUST1403</t>
  </si>
  <si>
    <t>CUST1404</t>
  </si>
  <si>
    <t>CUST1405</t>
  </si>
  <si>
    <t>CUST1406</t>
  </si>
  <si>
    <t>CUST1407</t>
  </si>
  <si>
    <t>CUST1408</t>
  </si>
  <si>
    <t>CUST1409</t>
  </si>
  <si>
    <t>CUST1410</t>
  </si>
  <si>
    <t>CUST1411</t>
  </si>
  <si>
    <t>CUST1412</t>
  </si>
  <si>
    <t>CUST1413</t>
  </si>
  <si>
    <t>CUST1414</t>
  </si>
  <si>
    <t>CUST1415</t>
  </si>
  <si>
    <t>CUST1417</t>
  </si>
  <si>
    <t>CUST1418</t>
  </si>
  <si>
    <t>CUST1419</t>
  </si>
  <si>
    <t>CUST1420</t>
  </si>
  <si>
    <t>CUST1421</t>
  </si>
  <si>
    <t>CUST1422</t>
  </si>
  <si>
    <t>CUST1423</t>
  </si>
  <si>
    <t>CUST1425</t>
  </si>
  <si>
    <t>CUST1426</t>
  </si>
  <si>
    <t>CUST1427</t>
  </si>
  <si>
    <t>CUST1428</t>
  </si>
  <si>
    <t>CUST1429</t>
  </si>
  <si>
    <t>CUST1430</t>
  </si>
  <si>
    <t>CUST1431</t>
  </si>
  <si>
    <t>CUST1433</t>
  </si>
  <si>
    <t>CUST1434</t>
  </si>
  <si>
    <t>CUST1435</t>
  </si>
  <si>
    <t>CUST1436</t>
  </si>
  <si>
    <t>CUST1437</t>
  </si>
  <si>
    <t>CUST1438</t>
  </si>
  <si>
    <t>CUST1439</t>
  </si>
  <si>
    <t>CUST1440</t>
  </si>
  <si>
    <t>CUST1441</t>
  </si>
  <si>
    <t>CUST1442</t>
  </si>
  <si>
    <t>CUST1443</t>
  </si>
  <si>
    <t>CUST1444</t>
  </si>
  <si>
    <t>CUST1445</t>
  </si>
  <si>
    <t>CUST1446</t>
  </si>
  <si>
    <t>CUST1447</t>
  </si>
  <si>
    <t>CUST1448</t>
  </si>
  <si>
    <t>CUST1449</t>
  </si>
  <si>
    <t>CUST1450</t>
  </si>
  <si>
    <t>CUST1451</t>
  </si>
  <si>
    <t>CUST1452</t>
  </si>
  <si>
    <t>CUST1453</t>
  </si>
  <si>
    <t>CUST1454</t>
  </si>
  <si>
    <t>CUST1455</t>
  </si>
  <si>
    <t>CUST1456</t>
  </si>
  <si>
    <t>CUST1457</t>
  </si>
  <si>
    <t>CUST1458</t>
  </si>
  <si>
    <t>CUST1459</t>
  </si>
  <si>
    <t>CUST1460</t>
  </si>
  <si>
    <t>CUST1461</t>
  </si>
  <si>
    <t>CUST1462</t>
  </si>
  <si>
    <t>CUST1463</t>
  </si>
  <si>
    <t>CUST1464</t>
  </si>
  <si>
    <t>CUST1465</t>
  </si>
  <si>
    <t>CUST1466</t>
  </si>
  <si>
    <t>CUST1467</t>
  </si>
  <si>
    <t>CUST1468</t>
  </si>
  <si>
    <t>CUST1469</t>
  </si>
  <si>
    <t>CUST1470</t>
  </si>
  <si>
    <t>CUST1471</t>
  </si>
  <si>
    <t>CUST1473</t>
  </si>
  <si>
    <t>CUST1474</t>
  </si>
  <si>
    <t>CUST1475</t>
  </si>
  <si>
    <t>CUST1476</t>
  </si>
  <si>
    <t>CUST1477</t>
  </si>
  <si>
    <t>CUST1478</t>
  </si>
  <si>
    <t>CUST1479</t>
  </si>
  <si>
    <t>CUST1480</t>
  </si>
  <si>
    <t>CUST1481</t>
  </si>
  <si>
    <t>CUST1482</t>
  </si>
  <si>
    <t>CUST1483</t>
  </si>
  <si>
    <t>CUST1484</t>
  </si>
  <si>
    <t>CUST1485</t>
  </si>
  <si>
    <t>CUST1486</t>
  </si>
  <si>
    <t>CUST1487</t>
  </si>
  <si>
    <t>CUST1488</t>
  </si>
  <si>
    <t>CUST1489</t>
  </si>
  <si>
    <t>CUST1490</t>
  </si>
  <si>
    <t>CUST1491</t>
  </si>
  <si>
    <t>CUST1493</t>
  </si>
  <si>
    <t>CUST1494</t>
  </si>
  <si>
    <t>CUST1495</t>
  </si>
  <si>
    <t>CUST1496</t>
  </si>
  <si>
    <t>CUST1497</t>
  </si>
  <si>
    <t>CUST1498</t>
  </si>
  <si>
    <t>CUST1499</t>
  </si>
  <si>
    <t>CUST1500</t>
  </si>
  <si>
    <t>CUST1501</t>
  </si>
  <si>
    <t>CUST1502</t>
  </si>
  <si>
    <t>CUST1503</t>
  </si>
  <si>
    <t>CUST1504</t>
  </si>
  <si>
    <t>CUST1505</t>
  </si>
  <si>
    <t>CUST1506</t>
  </si>
  <si>
    <t>CUST1507</t>
  </si>
  <si>
    <t>CUST1508</t>
  </si>
  <si>
    <t>CUST1509</t>
  </si>
  <si>
    <t>CUST1510</t>
  </si>
  <si>
    <t>CUST1511</t>
  </si>
  <si>
    <t>CUST1512</t>
  </si>
  <si>
    <t>CUST1513</t>
  </si>
  <si>
    <t>CUST1514</t>
  </si>
  <si>
    <t>CUST1515</t>
  </si>
  <si>
    <t>CUST1516</t>
  </si>
  <si>
    <t>CUST1517</t>
  </si>
  <si>
    <t>CUST1518</t>
  </si>
  <si>
    <t>CUST1519</t>
  </si>
  <si>
    <t>CUST1520</t>
  </si>
  <si>
    <t>CUST1521</t>
  </si>
  <si>
    <t>CUST1522</t>
  </si>
  <si>
    <t>CUST1524</t>
  </si>
  <si>
    <t>CUST1525</t>
  </si>
  <si>
    <t>CUST1526</t>
  </si>
  <si>
    <t>CUST1527</t>
  </si>
  <si>
    <t>CUST1528</t>
  </si>
  <si>
    <t>CUST1529</t>
  </si>
  <si>
    <t>CUST1530</t>
  </si>
  <si>
    <t>CUST1531</t>
  </si>
  <si>
    <t>CUST1532</t>
  </si>
  <si>
    <t>CUST1533</t>
  </si>
  <si>
    <t>CUST1534</t>
  </si>
  <si>
    <t>CUST1535</t>
  </si>
  <si>
    <t>CUST1536</t>
  </si>
  <si>
    <t>CUST1537</t>
  </si>
  <si>
    <t>CUST1538</t>
  </si>
  <si>
    <t>CUST1539</t>
  </si>
  <si>
    <t>CUST1540</t>
  </si>
  <si>
    <t>CUST1541</t>
  </si>
  <si>
    <t>CUST1542</t>
  </si>
  <si>
    <t>CUST1543</t>
  </si>
  <si>
    <t>CUST1544</t>
  </si>
  <si>
    <t>CUST1545</t>
  </si>
  <si>
    <t>CUST1547</t>
  </si>
  <si>
    <t>CUST1548</t>
  </si>
  <si>
    <t>CUST1549</t>
  </si>
  <si>
    <t>CUST1550</t>
  </si>
  <si>
    <t>CUST1551</t>
  </si>
  <si>
    <t>CUST1552</t>
  </si>
  <si>
    <t>CUST1553</t>
  </si>
  <si>
    <t>CUST1554</t>
  </si>
  <si>
    <t>CUST1556</t>
  </si>
  <si>
    <t>CUST1557</t>
  </si>
  <si>
    <t>CUST1558</t>
  </si>
  <si>
    <t>CUST1559</t>
  </si>
  <si>
    <t>CUST1560</t>
  </si>
  <si>
    <t>CUST1561</t>
  </si>
  <si>
    <t>CUST1562</t>
  </si>
  <si>
    <t>CUST1563</t>
  </si>
  <si>
    <t>CUST1565</t>
  </si>
  <si>
    <t>CUST1566</t>
  </si>
  <si>
    <t>CUST1567</t>
  </si>
  <si>
    <t>CUST1568</t>
  </si>
  <si>
    <t>CUST1569</t>
  </si>
  <si>
    <t>CUST1570</t>
  </si>
  <si>
    <t>CUST1571</t>
  </si>
  <si>
    <t>CUST1572</t>
  </si>
  <si>
    <t>CUST1573</t>
  </si>
  <si>
    <t>CUST1574</t>
  </si>
  <si>
    <t>CUST1576</t>
  </si>
  <si>
    <t>CUST1577</t>
  </si>
  <si>
    <t>CUST1578</t>
  </si>
  <si>
    <t>CUST1580</t>
  </si>
  <si>
    <t>CUST1581</t>
  </si>
  <si>
    <t>CUST1582</t>
  </si>
  <si>
    <t>CUST1583</t>
  </si>
  <si>
    <t>CUST1584</t>
  </si>
  <si>
    <t>CUST1585</t>
  </si>
  <si>
    <t>CUST1586</t>
  </si>
  <si>
    <t>CUST1587</t>
  </si>
  <si>
    <t>CUST1588</t>
  </si>
  <si>
    <t>CUST1589</t>
  </si>
  <si>
    <t>CUST1590</t>
  </si>
  <si>
    <t>CUST1591</t>
  </si>
  <si>
    <t>CUST1592</t>
  </si>
  <si>
    <t>CUST1593</t>
  </si>
  <si>
    <t>CUST1594</t>
  </si>
  <si>
    <t>CUST1595</t>
  </si>
  <si>
    <t>CUST1596</t>
  </si>
  <si>
    <t>CUST1597</t>
  </si>
  <si>
    <t>CUST1598</t>
  </si>
  <si>
    <t>CUST1601</t>
  </si>
  <si>
    <t>CUST1602</t>
  </si>
  <si>
    <t>CUST1603</t>
  </si>
  <si>
    <t>CUST1604</t>
  </si>
  <si>
    <t>CUST1605</t>
  </si>
  <si>
    <t>CUST1606</t>
  </si>
  <si>
    <t>CUST1607</t>
  </si>
  <si>
    <t>CUST1608</t>
  </si>
  <si>
    <t>CUST1609</t>
  </si>
  <si>
    <t>CUST1610</t>
  </si>
  <si>
    <t>CUST1611</t>
  </si>
  <si>
    <t>CUST1612</t>
  </si>
  <si>
    <t>CUST1613</t>
  </si>
  <si>
    <t>CUST1614</t>
  </si>
  <si>
    <t>CUST1615</t>
  </si>
  <si>
    <t>CUST1616</t>
  </si>
  <si>
    <t>CUST1617</t>
  </si>
  <si>
    <t>CUST1618</t>
  </si>
  <si>
    <t>CUST1619</t>
  </si>
  <si>
    <t>CUST1620</t>
  </si>
  <si>
    <t>CUST1621</t>
  </si>
  <si>
    <t>CUST1622</t>
  </si>
  <si>
    <t>CUST1623</t>
  </si>
  <si>
    <t>CUST1624</t>
  </si>
  <si>
    <t>CUST1625</t>
  </si>
  <si>
    <t>CUST1626</t>
  </si>
  <si>
    <t>CUST1627</t>
  </si>
  <si>
    <t>CUST1628</t>
  </si>
  <si>
    <t>CUST1629</t>
  </si>
  <si>
    <t>CUST1630</t>
  </si>
  <si>
    <t>CUST1631</t>
  </si>
  <si>
    <t>CUST1632</t>
  </si>
  <si>
    <t>CUST1633</t>
  </si>
  <si>
    <t>CUST1634</t>
  </si>
  <si>
    <t>CUST1635</t>
  </si>
  <si>
    <t>CUST1636</t>
  </si>
  <si>
    <t>CUST1637</t>
  </si>
  <si>
    <t>CUST1638</t>
  </si>
  <si>
    <t>CUST1639</t>
  </si>
  <si>
    <t>CUST1640</t>
  </si>
  <si>
    <t>CUST1641</t>
  </si>
  <si>
    <t>CUST1642</t>
  </si>
  <si>
    <t>CUST1643</t>
  </si>
  <si>
    <t>CUST1644</t>
  </si>
  <si>
    <t>CUST1645</t>
  </si>
  <si>
    <t>CUST1646</t>
  </si>
  <si>
    <t>CUST1647</t>
  </si>
  <si>
    <t>CUST1648</t>
  </si>
  <si>
    <t>CUST1649</t>
  </si>
  <si>
    <t>CUST1650</t>
  </si>
  <si>
    <t>CUST1652</t>
  </si>
  <si>
    <t>CUST1653</t>
  </si>
  <si>
    <t>CUST1654</t>
  </si>
  <si>
    <t>CUST1655</t>
  </si>
  <si>
    <t>CUST1656</t>
  </si>
  <si>
    <t>CUST1657</t>
  </si>
  <si>
    <t>CUST1658</t>
  </si>
  <si>
    <t>CUST1659</t>
  </si>
  <si>
    <t>CUST1660</t>
  </si>
  <si>
    <t>CUST1661</t>
  </si>
  <si>
    <t>CUST1662</t>
  </si>
  <si>
    <t>CUST1663</t>
  </si>
  <si>
    <t>CUST1664</t>
  </si>
  <si>
    <t>CUST1665</t>
  </si>
  <si>
    <t>CUST1666</t>
  </si>
  <si>
    <t>CUST1667</t>
  </si>
  <si>
    <t>CUST1668</t>
  </si>
  <si>
    <t>CUST1669</t>
  </si>
  <si>
    <t>CUST1670</t>
  </si>
  <si>
    <t>CUST1671</t>
  </si>
  <si>
    <t>CUST1673</t>
  </si>
  <si>
    <t>CUST1674</t>
  </si>
  <si>
    <t>CUST1675</t>
  </si>
  <si>
    <t>CUST1676</t>
  </si>
  <si>
    <t>CUST1678</t>
  </si>
  <si>
    <t>CUST1679</t>
  </si>
  <si>
    <t>CUST1680</t>
  </si>
  <si>
    <t>CUST1681</t>
  </si>
  <si>
    <t>CUST1682</t>
  </si>
  <si>
    <t>CUST1683</t>
  </si>
  <si>
    <t>CUST1684</t>
  </si>
  <si>
    <t>CUST1685</t>
  </si>
  <si>
    <t>CUST1686</t>
  </si>
  <si>
    <t>CUST1687</t>
  </si>
  <si>
    <t>CUST1688</t>
  </si>
  <si>
    <t>CUST1689</t>
  </si>
  <si>
    <t>CUST1690</t>
  </si>
  <si>
    <t>CUST1691</t>
  </si>
  <si>
    <t>CUST1692</t>
  </si>
  <si>
    <t>CUST1693</t>
  </si>
  <si>
    <t>CUST1694</t>
  </si>
  <si>
    <t>CUST1695</t>
  </si>
  <si>
    <t>CUST1696</t>
  </si>
  <si>
    <t>CUST1697</t>
  </si>
  <si>
    <t>CUST1698</t>
  </si>
  <si>
    <t>CUST1699</t>
  </si>
  <si>
    <t>CUST1700</t>
  </si>
  <si>
    <t>CUST1702</t>
  </si>
  <si>
    <t>CUST1703</t>
  </si>
  <si>
    <t>CUST1704</t>
  </si>
  <si>
    <t>CUST1705</t>
  </si>
  <si>
    <t>CUST1706</t>
  </si>
  <si>
    <t>CUST1707</t>
  </si>
  <si>
    <t>CUST1709</t>
  </si>
  <si>
    <t>CUST1710</t>
  </si>
  <si>
    <t>CUST1711</t>
  </si>
  <si>
    <t>CUST1713</t>
  </si>
  <si>
    <t>CUST1714</t>
  </si>
  <si>
    <t>CUST1715</t>
  </si>
  <si>
    <t>CUST1716</t>
  </si>
  <si>
    <t>CUST1717</t>
  </si>
  <si>
    <t>CUST1718</t>
  </si>
  <si>
    <t>CUST1720</t>
  </si>
  <si>
    <t>CUST1721</t>
  </si>
  <si>
    <t>CUST1722</t>
  </si>
  <si>
    <t>CUST1723</t>
  </si>
  <si>
    <t>CUST1724</t>
  </si>
  <si>
    <t>CUST1725</t>
  </si>
  <si>
    <t>CUST1726</t>
  </si>
  <si>
    <t>CUST1727</t>
  </si>
  <si>
    <t>CUST1728</t>
  </si>
  <si>
    <t>CUST1729</t>
  </si>
  <si>
    <t>CUST1730</t>
  </si>
  <si>
    <t>CUST1731</t>
  </si>
  <si>
    <t>CUST1732</t>
  </si>
  <si>
    <t>CUST1733</t>
  </si>
  <si>
    <t>CUST1734</t>
  </si>
  <si>
    <t>CUST1735</t>
  </si>
  <si>
    <t>CUST1736</t>
  </si>
  <si>
    <t>CUST1737</t>
  </si>
  <si>
    <t>CUST1738</t>
  </si>
  <si>
    <t>CUST1739</t>
  </si>
  <si>
    <t>CUST1740</t>
  </si>
  <si>
    <t>CUST1741</t>
  </si>
  <si>
    <t>CUST1742</t>
  </si>
  <si>
    <t>CUST1743</t>
  </si>
  <si>
    <t>CUST1744</t>
  </si>
  <si>
    <t>CUST1745</t>
  </si>
  <si>
    <t>CUST1746</t>
  </si>
  <si>
    <t>CUST1747</t>
  </si>
  <si>
    <t>CUST1748</t>
  </si>
  <si>
    <t>CUST1749</t>
  </si>
  <si>
    <t>CUST1750</t>
  </si>
  <si>
    <t>CUST1751</t>
  </si>
  <si>
    <t>CUST1752</t>
  </si>
  <si>
    <t>CUST1753</t>
  </si>
  <si>
    <t>CUST1754</t>
  </si>
  <si>
    <t>CUST1755</t>
  </si>
  <si>
    <t>CUST1756</t>
  </si>
  <si>
    <t>CUST1757</t>
  </si>
  <si>
    <t>CUST1758</t>
  </si>
  <si>
    <t>CUST1759</t>
  </si>
  <si>
    <t>CUST1760</t>
  </si>
  <si>
    <t>CUST1761</t>
  </si>
  <si>
    <t>CUST1762</t>
  </si>
  <si>
    <t>CUST1764</t>
  </si>
  <si>
    <t>CUST1765</t>
  </si>
  <si>
    <t>CUST1766</t>
  </si>
  <si>
    <t>CUST1767</t>
  </si>
  <si>
    <t>CUST1768</t>
  </si>
  <si>
    <t>CUST1769</t>
  </si>
  <si>
    <t>CUST1770</t>
  </si>
  <si>
    <t>CUST1771</t>
  </si>
  <si>
    <t>CUST1772</t>
  </si>
  <si>
    <t>CUST1773</t>
  </si>
  <si>
    <t>CUST1774</t>
  </si>
  <si>
    <t>CUST1775</t>
  </si>
  <si>
    <t>CUST1776</t>
  </si>
  <si>
    <t>CUST1777</t>
  </si>
  <si>
    <t>CUST1778</t>
  </si>
  <si>
    <t>CUST1779</t>
  </si>
  <si>
    <t>CUST1780</t>
  </si>
  <si>
    <t>CUST1781</t>
  </si>
  <si>
    <t>CUST1782</t>
  </si>
  <si>
    <t>CUST1783</t>
  </si>
  <si>
    <t>CUST1784</t>
  </si>
  <si>
    <t>CUST1785</t>
  </si>
  <si>
    <t>CUST1786</t>
  </si>
  <si>
    <t>CUST1787</t>
  </si>
  <si>
    <t>CUST1788</t>
  </si>
  <si>
    <t>CUST1790</t>
  </si>
  <si>
    <t>CUST1791</t>
  </si>
  <si>
    <t>CUST1792</t>
  </si>
  <si>
    <t>CUST1793</t>
  </si>
  <si>
    <t>CUST1794</t>
  </si>
  <si>
    <t>CUST1795</t>
  </si>
  <si>
    <t>CUST1796</t>
  </si>
  <si>
    <t>CUST1797</t>
  </si>
  <si>
    <t>CUST1798</t>
  </si>
  <si>
    <t>CUST1799</t>
  </si>
  <si>
    <t>CUST1800</t>
  </si>
  <si>
    <t>CUST1801</t>
  </si>
  <si>
    <t>CUST1802</t>
  </si>
  <si>
    <t>CUST1803</t>
  </si>
  <si>
    <t>CUST1804</t>
  </si>
  <si>
    <t>CUST1805</t>
  </si>
  <si>
    <t>CUST1806</t>
  </si>
  <si>
    <t>CUST1807</t>
  </si>
  <si>
    <t>CUST1808</t>
  </si>
  <si>
    <t>CUST1809</t>
  </si>
  <si>
    <t>CUST1810</t>
  </si>
  <si>
    <t>CUST1811</t>
  </si>
  <si>
    <t>CUST1812</t>
  </si>
  <si>
    <t>CUST1813</t>
  </si>
  <si>
    <t>CUST1814</t>
  </si>
  <si>
    <t>CUST1815</t>
  </si>
  <si>
    <t>CUST1816</t>
  </si>
  <si>
    <t>CUST1817</t>
  </si>
  <si>
    <t>CUST1818</t>
  </si>
  <si>
    <t>CUST1819</t>
  </si>
  <si>
    <t>CUST1820</t>
  </si>
  <si>
    <t>CUST1821</t>
  </si>
  <si>
    <t>CUST1822</t>
  </si>
  <si>
    <t>CUST1823</t>
  </si>
  <si>
    <t>CUST1824</t>
  </si>
  <si>
    <t>CUST1825</t>
  </si>
  <si>
    <t>CUST1826</t>
  </si>
  <si>
    <t>CUST1827</t>
  </si>
  <si>
    <t>CUST1829</t>
  </si>
  <si>
    <t>CUST1830</t>
  </si>
  <si>
    <t>CUST1831</t>
  </si>
  <si>
    <t>CUST1832</t>
  </si>
  <si>
    <t>CUST1833</t>
  </si>
  <si>
    <t>CUST1834</t>
  </si>
  <si>
    <t>CUST1836</t>
  </si>
  <si>
    <t>CUST1837</t>
  </si>
  <si>
    <t>CUST1838</t>
  </si>
  <si>
    <t>CUST1839</t>
  </si>
  <si>
    <t>CUST1840</t>
  </si>
  <si>
    <t>CUST1841</t>
  </si>
  <si>
    <t>CUST1842</t>
  </si>
  <si>
    <t>CUST1843</t>
  </si>
  <si>
    <t>CUST1844</t>
  </si>
  <si>
    <t>CUST1845</t>
  </si>
  <si>
    <t>CUST1846</t>
  </si>
  <si>
    <t>CUST1847</t>
  </si>
  <si>
    <t>CUST1848</t>
  </si>
  <si>
    <t>CUST1849</t>
  </si>
  <si>
    <t>CUST1850</t>
  </si>
  <si>
    <t>CUST1851</t>
  </si>
  <si>
    <t>CUST1852</t>
  </si>
  <si>
    <t>CUST1853</t>
  </si>
  <si>
    <t>CUST1854</t>
  </si>
  <si>
    <t>CUST1855</t>
  </si>
  <si>
    <t>CUST1856</t>
  </si>
  <si>
    <t>CUST1857</t>
  </si>
  <si>
    <t>CUST1858</t>
  </si>
  <si>
    <t>CUST1859</t>
  </si>
  <si>
    <t>CUST1860</t>
  </si>
  <si>
    <t>CUST1861</t>
  </si>
  <si>
    <t>CUST1862</t>
  </si>
  <si>
    <t>CUST1863</t>
  </si>
  <si>
    <t>CUST1864</t>
  </si>
  <si>
    <t>CUST1865</t>
  </si>
  <si>
    <t>CUST1866</t>
  </si>
  <si>
    <t>CUST1867</t>
  </si>
  <si>
    <t>CUST1868</t>
  </si>
  <si>
    <t>CUST1869</t>
  </si>
  <si>
    <t>CUST1870</t>
  </si>
  <si>
    <t>CUST1871</t>
  </si>
  <si>
    <t>CUST1872</t>
  </si>
  <si>
    <t>CUST1873</t>
  </si>
  <si>
    <t>CUST1875</t>
  </si>
  <si>
    <t>CUST1876</t>
  </si>
  <si>
    <t>CUST1877</t>
  </si>
  <si>
    <t>CUST1878</t>
  </si>
  <si>
    <t>CUST1879</t>
  </si>
  <si>
    <t>CUST1880</t>
  </si>
  <si>
    <t>CUST1881</t>
  </si>
  <si>
    <t>CUST1882</t>
  </si>
  <si>
    <t>CUST1883</t>
  </si>
  <si>
    <t>CUST1884</t>
  </si>
  <si>
    <t>CUST1885</t>
  </si>
  <si>
    <t>CUST1886</t>
  </si>
  <si>
    <t>CUST1888</t>
  </si>
  <si>
    <t>CUST1889</t>
  </si>
  <si>
    <t>CUST1890</t>
  </si>
  <si>
    <t>CUST1891</t>
  </si>
  <si>
    <t>CUST1892</t>
  </si>
  <si>
    <t>CUST1893</t>
  </si>
  <si>
    <t>CUST1894</t>
  </si>
  <si>
    <t>CUST1895</t>
  </si>
  <si>
    <t>CUST1896</t>
  </si>
  <si>
    <t>CUST1897</t>
  </si>
  <si>
    <t>CUST1898</t>
  </si>
  <si>
    <t>CUST1899</t>
  </si>
  <si>
    <t>CUST1900</t>
  </si>
  <si>
    <t>CUST1901</t>
  </si>
  <si>
    <t>CUST1902</t>
  </si>
  <si>
    <t>CUST1903</t>
  </si>
  <si>
    <t>CUST1904</t>
  </si>
  <si>
    <t>CUST1905</t>
  </si>
  <si>
    <t>CUST1906</t>
  </si>
  <si>
    <t>CUST1907</t>
  </si>
  <si>
    <t>CUST1908</t>
  </si>
  <si>
    <t>CUST1909</t>
  </si>
  <si>
    <t>CUST1910</t>
  </si>
  <si>
    <t>CUST1911</t>
  </si>
  <si>
    <t>CUST1912</t>
  </si>
  <si>
    <t>CUST1914</t>
  </si>
  <si>
    <t>CUST1915</t>
  </si>
  <si>
    <t>CUST1916</t>
  </si>
  <si>
    <t>CUST1917</t>
  </si>
  <si>
    <t>CUST1918</t>
  </si>
  <si>
    <t>CUST1919</t>
  </si>
  <si>
    <t>CUST1920</t>
  </si>
  <si>
    <t>CUST1921</t>
  </si>
  <si>
    <t>CUST1922</t>
  </si>
  <si>
    <t>CUST1923</t>
  </si>
  <si>
    <t>CUST1924</t>
  </si>
  <si>
    <t>CUST1925</t>
  </si>
  <si>
    <t>CUST1926</t>
  </si>
  <si>
    <t>CUST1927</t>
  </si>
  <si>
    <t>CUST1928</t>
  </si>
  <si>
    <t>CUST1929</t>
  </si>
  <si>
    <t>CUST1930</t>
  </si>
  <si>
    <t>CUST1931</t>
  </si>
  <si>
    <t>CUST1932</t>
  </si>
  <si>
    <t>CUST1933</t>
  </si>
  <si>
    <t>CUST1935</t>
  </si>
  <si>
    <t>CUST1936</t>
  </si>
  <si>
    <t>CUST1937</t>
  </si>
  <si>
    <t>CUST1938</t>
  </si>
  <si>
    <t>CUST1939</t>
  </si>
  <si>
    <t>CUST1940</t>
  </si>
  <si>
    <t>CUST1941</t>
  </si>
  <si>
    <t>CUST1942</t>
  </si>
  <si>
    <t>CUST1943</t>
  </si>
  <si>
    <t>CUST1944</t>
  </si>
  <si>
    <t>CUST1945</t>
  </si>
  <si>
    <t>CUST1946</t>
  </si>
  <si>
    <t>CUST1948</t>
  </si>
  <si>
    <t>CUST1949</t>
  </si>
  <si>
    <t>CUST1950</t>
  </si>
  <si>
    <t>CUST1951</t>
  </si>
  <si>
    <t>CUST1953</t>
  </si>
  <si>
    <t>CUST1954</t>
  </si>
  <si>
    <t>CUST1955</t>
  </si>
  <si>
    <t>CUST1956</t>
  </si>
  <si>
    <t>CUST1957</t>
  </si>
  <si>
    <t>CUST1958</t>
  </si>
  <si>
    <t>CUST1959</t>
  </si>
  <si>
    <t>CUST1960</t>
  </si>
  <si>
    <t>CUST1961</t>
  </si>
  <si>
    <t>CUST1962</t>
  </si>
  <si>
    <t>CUST1963</t>
  </si>
  <si>
    <t>CUST1964</t>
  </si>
  <si>
    <t>CUST1966</t>
  </si>
  <si>
    <t>CUST1967</t>
  </si>
  <si>
    <t>CUST1968</t>
  </si>
  <si>
    <t>CUST1969</t>
  </si>
  <si>
    <t>CUST1970</t>
  </si>
  <si>
    <t>CUST1971</t>
  </si>
  <si>
    <t>CUST1972</t>
  </si>
  <si>
    <t>CUST1973</t>
  </si>
  <si>
    <t>CUST1974</t>
  </si>
  <si>
    <t>CUST1975</t>
  </si>
  <si>
    <t>CUST1976</t>
  </si>
  <si>
    <t>CUST1977</t>
  </si>
  <si>
    <t>CUST1978</t>
  </si>
  <si>
    <t>CUST1979</t>
  </si>
  <si>
    <t>CUST1980</t>
  </si>
  <si>
    <t>CUST1981</t>
  </si>
  <si>
    <t>CUST1982</t>
  </si>
  <si>
    <t>CUST1983</t>
  </si>
  <si>
    <t>CUST1985</t>
  </si>
  <si>
    <t>CUST1986</t>
  </si>
  <si>
    <t>CUST1987</t>
  </si>
  <si>
    <t>CUST1988</t>
  </si>
  <si>
    <t>CUST1989</t>
  </si>
  <si>
    <t>CUST1990</t>
  </si>
  <si>
    <t>CUST1991</t>
  </si>
  <si>
    <t>CUST1992</t>
  </si>
  <si>
    <t>CUST1994</t>
  </si>
  <si>
    <t>CUST1995</t>
  </si>
  <si>
    <t>CUST1996</t>
  </si>
  <si>
    <t>CUST1997</t>
  </si>
  <si>
    <t>CUST1998</t>
  </si>
  <si>
    <t>CUST1999</t>
  </si>
  <si>
    <t>CUST2000</t>
  </si>
  <si>
    <t>CUST2001</t>
  </si>
  <si>
    <t>CUST2002</t>
  </si>
  <si>
    <t>CUST2003</t>
  </si>
  <si>
    <t>CUST2004</t>
  </si>
  <si>
    <t>CUST2005</t>
  </si>
  <si>
    <t>CUST2006</t>
  </si>
  <si>
    <t>CUST2007</t>
  </si>
  <si>
    <t>CUST2008</t>
  </si>
  <si>
    <t>CUST2009</t>
  </si>
  <si>
    <t>CUST2010</t>
  </si>
  <si>
    <t>CUST2011</t>
  </si>
  <si>
    <t>CUST2012</t>
  </si>
  <si>
    <t>CUST2013</t>
  </si>
  <si>
    <t>CUST2014</t>
  </si>
  <si>
    <t>CUST2015</t>
  </si>
  <si>
    <t>CUST2017</t>
  </si>
  <si>
    <t>CUST2018</t>
  </si>
  <si>
    <t>CUST2019</t>
  </si>
  <si>
    <t>CUST2020</t>
  </si>
  <si>
    <t>CUST2021</t>
  </si>
  <si>
    <t>CUST2022</t>
  </si>
  <si>
    <t>CUST2023</t>
  </si>
  <si>
    <t>CUST2024</t>
  </si>
  <si>
    <t>CUST2025</t>
  </si>
  <si>
    <t>CUST2026</t>
  </si>
  <si>
    <t>CUST2027</t>
  </si>
  <si>
    <t>CUST2028</t>
  </si>
  <si>
    <t>CUST2029</t>
  </si>
  <si>
    <t>CUST2030</t>
  </si>
  <si>
    <t>CUST2031</t>
  </si>
  <si>
    <t>CUST2032</t>
  </si>
  <si>
    <t>CUST2033</t>
  </si>
  <si>
    <t>CUST2034</t>
  </si>
  <si>
    <t>CUST2035</t>
  </si>
  <si>
    <t>CUST2037</t>
  </si>
  <si>
    <t>CUST2038</t>
  </si>
  <si>
    <t>CUST2039</t>
  </si>
  <si>
    <t>CUST2040</t>
  </si>
  <si>
    <t>CUST2041</t>
  </si>
  <si>
    <t>CUST2042</t>
  </si>
  <si>
    <t>CUST2043</t>
  </si>
  <si>
    <t>CUST2044</t>
  </si>
  <si>
    <t>CUST2045</t>
  </si>
  <si>
    <t>CUST2046</t>
  </si>
  <si>
    <t>CUST2047</t>
  </si>
  <si>
    <t>CUST2048</t>
  </si>
  <si>
    <t>CUST2049</t>
  </si>
  <si>
    <t>CUST2050</t>
  </si>
  <si>
    <t>CUST2051</t>
  </si>
  <si>
    <t>CUST2052</t>
  </si>
  <si>
    <t>CUST2053</t>
  </si>
  <si>
    <t>CUST2054</t>
  </si>
  <si>
    <t>CUST2055</t>
  </si>
  <si>
    <t>CUST2056</t>
  </si>
  <si>
    <t>CUST2057</t>
  </si>
  <si>
    <t>CUST2058</t>
  </si>
  <si>
    <t>CUST2059</t>
  </si>
  <si>
    <t>CUST2060</t>
  </si>
  <si>
    <t>CUST2061</t>
  </si>
  <si>
    <t>CUST2062</t>
  </si>
  <si>
    <t>CUST2063</t>
  </si>
  <si>
    <t>CUST2064</t>
  </si>
  <si>
    <t>CUST2065</t>
  </si>
  <si>
    <t>CUST2066</t>
  </si>
  <si>
    <t>CUST2067</t>
  </si>
  <si>
    <t>CUST2068</t>
  </si>
  <si>
    <t>CUST2069</t>
  </si>
  <si>
    <t>CUST2070</t>
  </si>
  <si>
    <t>CUST2071</t>
  </si>
  <si>
    <t>CUST2072</t>
  </si>
  <si>
    <t>CUST2073</t>
  </si>
  <si>
    <t>CUST2074</t>
  </si>
  <si>
    <t>CUST2075</t>
  </si>
  <si>
    <t>CUST2076</t>
  </si>
  <si>
    <t>CUST2077</t>
  </si>
  <si>
    <t>CUST2078</t>
  </si>
  <si>
    <t>CUST2079</t>
  </si>
  <si>
    <t>CUST2080</t>
  </si>
  <si>
    <t>CUST2081</t>
  </si>
  <si>
    <t>CUST2082</t>
  </si>
  <si>
    <t>CUST2083</t>
  </si>
  <si>
    <t>CUST2084</t>
  </si>
  <si>
    <t>CUST2085</t>
  </si>
  <si>
    <t>CUST2086</t>
  </si>
  <si>
    <t>CUST2087</t>
  </si>
  <si>
    <t>CUST2088</t>
  </si>
  <si>
    <t>CUST2089</t>
  </si>
  <si>
    <t>CUST2090</t>
  </si>
  <si>
    <t>CUST2091</t>
  </si>
  <si>
    <t>CUST2092</t>
  </si>
  <si>
    <t>CUST2093</t>
  </si>
  <si>
    <t>CUST2094</t>
  </si>
  <si>
    <t>CUST2095</t>
  </si>
  <si>
    <t>CUST2096</t>
  </si>
  <si>
    <t>CUST2097</t>
  </si>
  <si>
    <t>CUST2098</t>
  </si>
  <si>
    <t>CUST2099</t>
  </si>
  <si>
    <t>CUST2100</t>
  </si>
  <si>
    <t>CUST2101</t>
  </si>
  <si>
    <t>CUST2102</t>
  </si>
  <si>
    <t>CUST2103</t>
  </si>
  <si>
    <t>CUST2104</t>
  </si>
  <si>
    <t>CUST2105</t>
  </si>
  <si>
    <t>CUST2106</t>
  </si>
  <si>
    <t>CUST2107</t>
  </si>
  <si>
    <t>CUST2108</t>
  </si>
  <si>
    <t>CUST2109</t>
  </si>
  <si>
    <t>CUST2110</t>
  </si>
  <si>
    <t>CUST2111</t>
  </si>
  <si>
    <t>CUST2112</t>
  </si>
  <si>
    <t>CUST2113</t>
  </si>
  <si>
    <t>CUST2114</t>
  </si>
  <si>
    <t>CUST2115</t>
  </si>
  <si>
    <t>CUST2116</t>
  </si>
  <si>
    <t>CUST2117</t>
  </si>
  <si>
    <t>CUST2118</t>
  </si>
  <si>
    <t>CUST2119</t>
  </si>
  <si>
    <t>CUST2120</t>
  </si>
  <si>
    <t>CUST2121</t>
  </si>
  <si>
    <t>CUST2122</t>
  </si>
  <si>
    <t>CUST2123</t>
  </si>
  <si>
    <t>CUST2124</t>
  </si>
  <si>
    <t>CUST2125</t>
  </si>
  <si>
    <t>CUST2126</t>
  </si>
  <si>
    <t>CUST2127</t>
  </si>
  <si>
    <t>CUST2128</t>
  </si>
  <si>
    <t>CUST2129</t>
  </si>
  <si>
    <t>CUST2130</t>
  </si>
  <si>
    <t>CUST2131</t>
  </si>
  <si>
    <t>CUST2132</t>
  </si>
  <si>
    <t>CUST2133</t>
  </si>
  <si>
    <t>CUST2134</t>
  </si>
  <si>
    <t>CUST2135</t>
  </si>
  <si>
    <t>CUST2136</t>
  </si>
  <si>
    <t>CUST2137</t>
  </si>
  <si>
    <t>CUST2139</t>
  </si>
  <si>
    <t>CUST2140</t>
  </si>
  <si>
    <t>CUST2141</t>
  </si>
  <si>
    <t>CUST2142</t>
  </si>
  <si>
    <t>CUST2143</t>
  </si>
  <si>
    <t>CUST2144</t>
  </si>
  <si>
    <t>CUST2145</t>
  </si>
  <si>
    <t>CUST2147</t>
  </si>
  <si>
    <t>CUST2148</t>
  </si>
  <si>
    <t>CUST2149</t>
  </si>
  <si>
    <t>CUST2150</t>
  </si>
  <si>
    <t>CUST2151</t>
  </si>
  <si>
    <t>CUST2152</t>
  </si>
  <si>
    <t>CUST2153</t>
  </si>
  <si>
    <t>CUST2154</t>
  </si>
  <si>
    <t>CUST2155</t>
  </si>
  <si>
    <t>CUST2156</t>
  </si>
  <si>
    <t>CUST2157</t>
  </si>
  <si>
    <t>CUST2158</t>
  </si>
  <si>
    <t>CUST2159</t>
  </si>
  <si>
    <t>CUST2160</t>
  </si>
  <si>
    <t>CUST2161</t>
  </si>
  <si>
    <t>CUST2162</t>
  </si>
  <si>
    <t>CUST2163</t>
  </si>
  <si>
    <t>CUST2164</t>
  </si>
  <si>
    <t>CUST2165</t>
  </si>
  <si>
    <t>CUST2167</t>
  </si>
  <si>
    <t>CUST2168</t>
  </si>
  <si>
    <t>CUST2170</t>
  </si>
  <si>
    <t>CUST2171</t>
  </si>
  <si>
    <t>CUST2172</t>
  </si>
  <si>
    <t>CUST2173</t>
  </si>
  <si>
    <t>CUST2174</t>
  </si>
  <si>
    <t>CUST2175</t>
  </si>
  <si>
    <t>CUST2176</t>
  </si>
  <si>
    <t>CUST2177</t>
  </si>
  <si>
    <t>CUST2178</t>
  </si>
  <si>
    <t>CUST2179</t>
  </si>
  <si>
    <t>CUST2180</t>
  </si>
  <si>
    <t>CUST2181</t>
  </si>
  <si>
    <t>CUST2182</t>
  </si>
  <si>
    <t>CUST2183</t>
  </si>
  <si>
    <t>CUST2184</t>
  </si>
  <si>
    <t>CUST2185</t>
  </si>
  <si>
    <t>CUST2187</t>
  </si>
  <si>
    <t>CUST2188</t>
  </si>
  <si>
    <t>CUST2189</t>
  </si>
  <si>
    <t>CUST2190</t>
  </si>
  <si>
    <t>CUST2191</t>
  </si>
  <si>
    <t>CUST2192</t>
  </si>
  <si>
    <t>CUST2193</t>
  </si>
  <si>
    <t>CUST2194</t>
  </si>
  <si>
    <t>CUST2195</t>
  </si>
  <si>
    <t>CUST2196</t>
  </si>
  <si>
    <t>CUST2197</t>
  </si>
  <si>
    <t>CUST2198</t>
  </si>
  <si>
    <t>CUST2199</t>
  </si>
  <si>
    <t>CUST2200</t>
  </si>
  <si>
    <t>CUST2201</t>
  </si>
  <si>
    <t>CUST2202</t>
  </si>
  <si>
    <t>CUST2203</t>
  </si>
  <si>
    <t>CUST2204</t>
  </si>
  <si>
    <t>CUST2205</t>
  </si>
  <si>
    <t>CUST2206</t>
  </si>
  <si>
    <t>CUST2207</t>
  </si>
  <si>
    <t>CUST2208</t>
  </si>
  <si>
    <t>CUST2209</t>
  </si>
  <si>
    <t>CUST2211</t>
  </si>
  <si>
    <t>CUST2212</t>
  </si>
  <si>
    <t>CUST2213</t>
  </si>
  <si>
    <t>CUST2214</t>
  </si>
  <si>
    <t>CUST2215</t>
  </si>
  <si>
    <t>CUST2216</t>
  </si>
  <si>
    <t>CUST2217</t>
  </si>
  <si>
    <t>CUST2218</t>
  </si>
  <si>
    <t>CUST2219</t>
  </si>
  <si>
    <t>CUST2220</t>
  </si>
  <si>
    <t>CUST2221</t>
  </si>
  <si>
    <t>CUST2222</t>
  </si>
  <si>
    <t>CUST2223</t>
  </si>
  <si>
    <t>CUST2224</t>
  </si>
  <si>
    <t>CUST2225</t>
  </si>
  <si>
    <t>CUST2226</t>
  </si>
  <si>
    <t>CUST2227</t>
  </si>
  <si>
    <t>CUST2228</t>
  </si>
  <si>
    <t>CUST2229</t>
  </si>
  <si>
    <t>CUST2230</t>
  </si>
  <si>
    <t>CUST2231</t>
  </si>
  <si>
    <t>CUST2232</t>
  </si>
  <si>
    <t>CUST2233</t>
  </si>
  <si>
    <t>CUST2234</t>
  </si>
  <si>
    <t>CUST2235</t>
  </si>
  <si>
    <t>CUST2236</t>
  </si>
  <si>
    <t>CUST2237</t>
  </si>
  <si>
    <t>CUST2238</t>
  </si>
  <si>
    <t>CUST2239</t>
  </si>
  <si>
    <t>CUST2240</t>
  </si>
  <si>
    <t>CUST2242</t>
  </si>
  <si>
    <t>CUST2243</t>
  </si>
  <si>
    <t>CUST2244</t>
  </si>
  <si>
    <t>CUST2245</t>
  </si>
  <si>
    <t>CUST2246</t>
  </si>
  <si>
    <t>CUST2247</t>
  </si>
  <si>
    <t>CUST2248</t>
  </si>
  <si>
    <t>CUST2249</t>
  </si>
  <si>
    <t>CUST2250</t>
  </si>
  <si>
    <t>CUST2251</t>
  </si>
  <si>
    <t>CUST2252</t>
  </si>
  <si>
    <t>CUST2253</t>
  </si>
  <si>
    <t>CUST2254</t>
  </si>
  <si>
    <t>CUST2255</t>
  </si>
  <si>
    <t>CUST2256</t>
  </si>
  <si>
    <t>CUST2257</t>
  </si>
  <si>
    <t>CUST2258</t>
  </si>
  <si>
    <t>CUST2259</t>
  </si>
  <si>
    <t>CUST2260</t>
  </si>
  <si>
    <t>CUST2261</t>
  </si>
  <si>
    <t>CUST2262</t>
  </si>
  <si>
    <t>CUST2263</t>
  </si>
  <si>
    <t>CUST2264</t>
  </si>
  <si>
    <t>CUST2265</t>
  </si>
  <si>
    <t>CUST2268</t>
  </si>
  <si>
    <t>CUST2269</t>
  </si>
  <si>
    <t>CUST2270</t>
  </si>
  <si>
    <t>CUST2271</t>
  </si>
  <si>
    <t>CUST2272</t>
  </si>
  <si>
    <t>CUST2273</t>
  </si>
  <si>
    <t>CUST2274</t>
  </si>
  <si>
    <t>CUST2275</t>
  </si>
  <si>
    <t>CUST2277</t>
  </si>
  <si>
    <t>CUST2278</t>
  </si>
  <si>
    <t>CUST2279</t>
  </si>
  <si>
    <t>CUST2280</t>
  </si>
  <si>
    <t>CUST2281</t>
  </si>
  <si>
    <t>CUST2282</t>
  </si>
  <si>
    <t>CUST2283</t>
  </si>
  <si>
    <t>CUST2284</t>
  </si>
  <si>
    <t>CUST2285</t>
  </si>
  <si>
    <t>CUST2286</t>
  </si>
  <si>
    <t>CUST2287</t>
  </si>
  <si>
    <t>CUST2288</t>
  </si>
  <si>
    <t>CUST2289</t>
  </si>
  <si>
    <t>CUST2291</t>
  </si>
  <si>
    <t>CUST2293</t>
  </si>
  <si>
    <t>CUST2294</t>
  </si>
  <si>
    <t>CUST2295</t>
  </si>
  <si>
    <t>CUST2296</t>
  </si>
  <si>
    <t>CUST2297</t>
  </si>
  <si>
    <t>CUST2298</t>
  </si>
  <si>
    <t>CUST2299</t>
  </si>
  <si>
    <t>CUST2300</t>
  </si>
  <si>
    <t>CUST2301</t>
  </si>
  <si>
    <t>CUST2303</t>
  </si>
  <si>
    <t>CUST2304</t>
  </si>
  <si>
    <t>CUST2305</t>
  </si>
  <si>
    <t>CUST2306</t>
  </si>
  <si>
    <t>CUST2307</t>
  </si>
  <si>
    <t>CUST2308</t>
  </si>
  <si>
    <t>CUST2309</t>
  </si>
  <si>
    <t>CUST2310</t>
  </si>
  <si>
    <t>CUST2311</t>
  </si>
  <si>
    <t>CUST2312</t>
  </si>
  <si>
    <t>CUST2313</t>
  </si>
  <si>
    <t>CUST2314</t>
  </si>
  <si>
    <t>CUST2315</t>
  </si>
  <si>
    <t>CUST2316</t>
  </si>
  <si>
    <t>CUST2317</t>
  </si>
  <si>
    <t>CUST2318</t>
  </si>
  <si>
    <t>CUST2319</t>
  </si>
  <si>
    <t>CUST2320</t>
  </si>
  <si>
    <t>CUST2321</t>
  </si>
  <si>
    <t>CUST2322</t>
  </si>
  <si>
    <t>CUST2323</t>
  </si>
  <si>
    <t>CUST2324</t>
  </si>
  <si>
    <t>CUST2325</t>
  </si>
  <si>
    <t>CUST2326</t>
  </si>
  <si>
    <t>CUST2327</t>
  </si>
  <si>
    <t>CUST2328</t>
  </si>
  <si>
    <t>CUST2329</t>
  </si>
  <si>
    <t>CUST2330</t>
  </si>
  <si>
    <t>CUST2331</t>
  </si>
  <si>
    <t>CUST2332</t>
  </si>
  <si>
    <t>CUST2333</t>
  </si>
  <si>
    <t>CUST2335</t>
  </si>
  <si>
    <t>CUST2337</t>
  </si>
  <si>
    <t>CUST2338</t>
  </si>
  <si>
    <t>CUST2340</t>
  </si>
  <si>
    <t>CUST2341</t>
  </si>
  <si>
    <t>CUST2342</t>
  </si>
  <si>
    <t>CUST2343</t>
  </si>
  <si>
    <t>CUST2344</t>
  </si>
  <si>
    <t>CUST2345</t>
  </si>
  <si>
    <t>CUST2346</t>
  </si>
  <si>
    <t>CUST2347</t>
  </si>
  <si>
    <t>CUST2348</t>
  </si>
  <si>
    <t>CUST2349</t>
  </si>
  <si>
    <t>CUST2350</t>
  </si>
  <si>
    <t>CUST2351</t>
  </si>
  <si>
    <t>CUST2352</t>
  </si>
  <si>
    <t>CUST2353</t>
  </si>
  <si>
    <t>CUST2354</t>
  </si>
  <si>
    <t>CUST2355</t>
  </si>
  <si>
    <t>CUST2356</t>
  </si>
  <si>
    <t>CUST2358</t>
  </si>
  <si>
    <t>CUST2359</t>
  </si>
  <si>
    <t>CUST2360</t>
  </si>
  <si>
    <t>CUST2361</t>
  </si>
  <si>
    <t>CUST2362</t>
  </si>
  <si>
    <t>CUST2363</t>
  </si>
  <si>
    <t>CUST2364</t>
  </si>
  <si>
    <t>CUST2365</t>
  </si>
  <si>
    <t>CUST2366</t>
  </si>
  <si>
    <t>CUST2367</t>
  </si>
  <si>
    <t>CUST2368</t>
  </si>
  <si>
    <t>CUST2369</t>
  </si>
  <si>
    <t>CUST2370</t>
  </si>
  <si>
    <t>CUST2371</t>
  </si>
  <si>
    <t>CUST2372</t>
  </si>
  <si>
    <t>CUST2373</t>
  </si>
  <si>
    <t>CUST2374</t>
  </si>
  <si>
    <t>CUST2375</t>
  </si>
  <si>
    <t>CUST2376</t>
  </si>
  <si>
    <t>CUST2377</t>
  </si>
  <si>
    <t>CUST2378</t>
  </si>
  <si>
    <t>CUST2379</t>
  </si>
  <si>
    <t>CUST2380</t>
  </si>
  <si>
    <t>CUST2381</t>
  </si>
  <si>
    <t>CUST2382</t>
  </si>
  <si>
    <t>CUST2383</t>
  </si>
  <si>
    <t>CUST2384</t>
  </si>
  <si>
    <t>CUST2385</t>
  </si>
  <si>
    <t>CUST2386</t>
  </si>
  <si>
    <t>CUST2387</t>
  </si>
  <si>
    <t>CUST2388</t>
  </si>
  <si>
    <t>CUST2389</t>
  </si>
  <si>
    <t>CUST2390</t>
  </si>
  <si>
    <t>CUST2391</t>
  </si>
  <si>
    <t>CUST2392</t>
  </si>
  <si>
    <t>CUST2393</t>
  </si>
  <si>
    <t>CUST2394</t>
  </si>
  <si>
    <t>CUST2395</t>
  </si>
  <si>
    <t>CUST2396</t>
  </si>
  <si>
    <t>CUST2397</t>
  </si>
  <si>
    <t>CUST2398</t>
  </si>
  <si>
    <t>CUST2399</t>
  </si>
  <si>
    <t>CUST2400</t>
  </si>
  <si>
    <t>CUST2401</t>
  </si>
  <si>
    <t>CUST2402</t>
  </si>
  <si>
    <t>CUST2403</t>
  </si>
  <si>
    <t>CUST2404</t>
  </si>
  <si>
    <t>CUST2405</t>
  </si>
  <si>
    <t>CUST2406</t>
  </si>
  <si>
    <t>CUST2407</t>
  </si>
  <si>
    <t>CUST2408</t>
  </si>
  <si>
    <t>CUST2409</t>
  </si>
  <si>
    <t>CUST2411</t>
  </si>
  <si>
    <t>CUST2412</t>
  </si>
  <si>
    <t>CUST2413</t>
  </si>
  <si>
    <t>CUST2415</t>
  </si>
  <si>
    <t>CUST2416</t>
  </si>
  <si>
    <t>CUST2417</t>
  </si>
  <si>
    <t>CUST2418</t>
  </si>
  <si>
    <t>CUST2419</t>
  </si>
  <si>
    <t>CUST2420</t>
  </si>
  <si>
    <t>CUST2421</t>
  </si>
  <si>
    <t>CUST2422</t>
  </si>
  <si>
    <t>CUST2423</t>
  </si>
  <si>
    <t>CUST2424</t>
  </si>
  <si>
    <t>CUST2425</t>
  </si>
  <si>
    <t>CUST2426</t>
  </si>
  <si>
    <t>CUST2427</t>
  </si>
  <si>
    <t>CUST2428</t>
  </si>
  <si>
    <t>CUST2429</t>
  </si>
  <si>
    <t>CUST2430</t>
  </si>
  <si>
    <t>CUST2433</t>
  </si>
  <si>
    <t>CUST2434</t>
  </si>
  <si>
    <t>CUST2435</t>
  </si>
  <si>
    <t>CUST2436</t>
  </si>
  <si>
    <t>CUST2437</t>
  </si>
  <si>
    <t>CUST2438</t>
  </si>
  <si>
    <t>CUST2439</t>
  </si>
  <si>
    <t>CUST2440</t>
  </si>
  <si>
    <t>CUST2441</t>
  </si>
  <si>
    <t>CUST2442</t>
  </si>
  <si>
    <t>CUST2443</t>
  </si>
  <si>
    <t>CUST2444</t>
  </si>
  <si>
    <t>CUST2445</t>
  </si>
  <si>
    <t>CUST2446</t>
  </si>
  <si>
    <t>CUST2447</t>
  </si>
  <si>
    <t>CUST2448</t>
  </si>
  <si>
    <t>CUST2449</t>
  </si>
  <si>
    <t>CUST2450</t>
  </si>
  <si>
    <t>CUST2451</t>
  </si>
  <si>
    <t>CUST2452</t>
  </si>
  <si>
    <t>CUST2453</t>
  </si>
  <si>
    <t>CUST2454</t>
  </si>
  <si>
    <t>CUST2455</t>
  </si>
  <si>
    <t>CUST2456</t>
  </si>
  <si>
    <t>CUST2457</t>
  </si>
  <si>
    <t>CUST2458</t>
  </si>
  <si>
    <t>CUST2459</t>
  </si>
  <si>
    <t>CUST2460</t>
  </si>
  <si>
    <t>CUST2461</t>
  </si>
  <si>
    <t>CUST2462</t>
  </si>
  <si>
    <t>CUST2463</t>
  </si>
  <si>
    <t>CUST2464</t>
  </si>
  <si>
    <t>CUST2465</t>
  </si>
  <si>
    <t>CUST2466</t>
  </si>
  <si>
    <t>CUST2467</t>
  </si>
  <si>
    <t>CUST2468</t>
  </si>
  <si>
    <t>CUST2469</t>
  </si>
  <si>
    <t>CUST2470</t>
  </si>
  <si>
    <t>CUST2471</t>
  </si>
  <si>
    <t>CUST2472</t>
  </si>
  <si>
    <t>CUST2473</t>
  </si>
  <si>
    <t>CUST2474</t>
  </si>
  <si>
    <t>CUST2475</t>
  </si>
  <si>
    <t>CUST2476</t>
  </si>
  <si>
    <t>CUST2477</t>
  </si>
  <si>
    <t>CUST2478</t>
  </si>
  <si>
    <t>CUST2479</t>
  </si>
  <si>
    <t>CUST2480</t>
  </si>
  <si>
    <t>CUST2481</t>
  </si>
  <si>
    <t>CUST2482</t>
  </si>
  <si>
    <t>CUST2484</t>
  </si>
  <si>
    <t>CUST2485</t>
  </si>
  <si>
    <t>CUST2486</t>
  </si>
  <si>
    <t>CUST2487</t>
  </si>
  <si>
    <t>CUST2488</t>
  </si>
  <si>
    <t>CUST2489</t>
  </si>
  <si>
    <t>CUST2490</t>
  </si>
  <si>
    <t>CUST2491</t>
  </si>
  <si>
    <t>CUST2492</t>
  </si>
  <si>
    <t>CUST2493</t>
  </si>
  <si>
    <t>CUST2494</t>
  </si>
  <si>
    <t>CUST2495</t>
  </si>
  <si>
    <t>CUST2496</t>
  </si>
  <si>
    <t>CUST2497</t>
  </si>
  <si>
    <t>CUST2498</t>
  </si>
  <si>
    <t>CUST2499</t>
  </si>
  <si>
    <t>CUST2500</t>
  </si>
  <si>
    <t>CUST2501</t>
  </si>
  <si>
    <t>CUST2503</t>
  </si>
  <si>
    <t>CUST2504</t>
  </si>
  <si>
    <t>CUST2505</t>
  </si>
  <si>
    <t>CUST2507</t>
  </si>
  <si>
    <t>CUST2508</t>
  </si>
  <si>
    <t>CUST2509</t>
  </si>
  <si>
    <t>CUST2510</t>
  </si>
  <si>
    <t>CUST2511</t>
  </si>
  <si>
    <t>CUST2512</t>
  </si>
  <si>
    <t>CUST2513</t>
  </si>
  <si>
    <t>CUST2514</t>
  </si>
  <si>
    <t>CUST2515</t>
  </si>
  <si>
    <t>CUST2516</t>
  </si>
  <si>
    <t>CUST2517</t>
  </si>
  <si>
    <t>CUST2518</t>
  </si>
  <si>
    <t>CUST2519</t>
  </si>
  <si>
    <t>CUST2520</t>
  </si>
  <si>
    <t>CUST2521</t>
  </si>
  <si>
    <t>CUST2522</t>
  </si>
  <si>
    <t>CUST2523</t>
  </si>
  <si>
    <t>CUST2524</t>
  </si>
  <si>
    <t>CUST2525</t>
  </si>
  <si>
    <t>CUST2526</t>
  </si>
  <si>
    <t>CUST2527</t>
  </si>
  <si>
    <t>CUST2528</t>
  </si>
  <si>
    <t>CUST2529</t>
  </si>
  <si>
    <t>CUST2530</t>
  </si>
  <si>
    <t>CUST2531</t>
  </si>
  <si>
    <t>CUST2532</t>
  </si>
  <si>
    <t>CUST2533</t>
  </si>
  <si>
    <t>CUST2534</t>
  </si>
  <si>
    <t>CUST2535</t>
  </si>
  <si>
    <t>CUST2536</t>
  </si>
  <si>
    <t>CUST2537</t>
  </si>
  <si>
    <t>CUST2538</t>
  </si>
  <si>
    <t>CUST2539</t>
  </si>
  <si>
    <t>CUST2540</t>
  </si>
  <si>
    <t>CUST2541</t>
  </si>
  <si>
    <t>CUST2542</t>
  </si>
  <si>
    <t>CUST2543</t>
  </si>
  <si>
    <t>CUST2544</t>
  </si>
  <si>
    <t>CUST2545</t>
  </si>
  <si>
    <t>CUST2546</t>
  </si>
  <si>
    <t>CUST2547</t>
  </si>
  <si>
    <t>CUST2548</t>
  </si>
  <si>
    <t>CUST2549</t>
  </si>
  <si>
    <t>CUST2550</t>
  </si>
  <si>
    <t>CUST2551</t>
  </si>
  <si>
    <t>CUST2552</t>
  </si>
  <si>
    <t>CUST2553</t>
  </si>
  <si>
    <t>CUST2554</t>
  </si>
  <si>
    <t>CUST2555</t>
  </si>
  <si>
    <t>CUST2556</t>
  </si>
  <si>
    <t>CUST2557</t>
  </si>
  <si>
    <t>CUST2558</t>
  </si>
  <si>
    <t>CUST2559</t>
  </si>
  <si>
    <t>CUST2560</t>
  </si>
  <si>
    <t>CUST2561</t>
  </si>
  <si>
    <t>CUST2562</t>
  </si>
  <si>
    <t>CUST2564</t>
  </si>
  <si>
    <t>CUST2566</t>
  </si>
  <si>
    <t>CUST2567</t>
  </si>
  <si>
    <t>CUST2569</t>
  </si>
  <si>
    <t>CUST2570</t>
  </si>
  <si>
    <t>CUST2571</t>
  </si>
  <si>
    <t>CUST2572</t>
  </si>
  <si>
    <t>CUST2573</t>
  </si>
  <si>
    <t>CUST2574</t>
  </si>
  <si>
    <t>CUST2576</t>
  </si>
  <si>
    <t>CUST2577</t>
  </si>
  <si>
    <t>CUST2578</t>
  </si>
  <si>
    <t>CUST2579</t>
  </si>
  <si>
    <t>CUST2581</t>
  </si>
  <si>
    <t>CUST2582</t>
  </si>
  <si>
    <t>CUST2583</t>
  </si>
  <si>
    <t>CUST2584</t>
  </si>
  <si>
    <t>CUST2585</t>
  </si>
  <si>
    <t>CUST2586</t>
  </si>
  <si>
    <t>CUST2588</t>
  </si>
  <si>
    <t>CUST2589</t>
  </si>
  <si>
    <t>CUST2590</t>
  </si>
  <si>
    <t>CUST2591</t>
  </si>
  <si>
    <t>CUST2592</t>
  </si>
  <si>
    <t>CUST2593</t>
  </si>
  <si>
    <t>CUST2594</t>
  </si>
  <si>
    <t>CUST2595</t>
  </si>
  <si>
    <t>CUST2596</t>
  </si>
  <si>
    <t>CUST2597</t>
  </si>
  <si>
    <t>CUST2598</t>
  </si>
  <si>
    <t>CUST2599</t>
  </si>
  <si>
    <t>CUST2600</t>
  </si>
  <si>
    <t>CUST2601</t>
  </si>
  <si>
    <t>CUST2602</t>
  </si>
  <si>
    <t>CUST2603</t>
  </si>
  <si>
    <t>CUST2604</t>
  </si>
  <si>
    <t>CUST2605</t>
  </si>
  <si>
    <t>CUST2606</t>
  </si>
  <si>
    <t>CUST2607</t>
  </si>
  <si>
    <t>CUST2608</t>
  </si>
  <si>
    <t>CUST2609</t>
  </si>
  <si>
    <t>CUST2610</t>
  </si>
  <si>
    <t>CUST2611</t>
  </si>
  <si>
    <t>CUST2612</t>
  </si>
  <si>
    <t>CUST2613</t>
  </si>
  <si>
    <t>CUST2614</t>
  </si>
  <si>
    <t>CUST2615</t>
  </si>
  <si>
    <t>CUST2616</t>
  </si>
  <si>
    <t>CUST2617</t>
  </si>
  <si>
    <t>CUST2618</t>
  </si>
  <si>
    <t>CUST2619</t>
  </si>
  <si>
    <t>CUST2620</t>
  </si>
  <si>
    <t>CUST2621</t>
  </si>
  <si>
    <t>CUST2622</t>
  </si>
  <si>
    <t>CUST2623</t>
  </si>
  <si>
    <t>CUST2624</t>
  </si>
  <si>
    <t>CUST2625</t>
  </si>
  <si>
    <t>CUST2626</t>
  </si>
  <si>
    <t>CUST2627</t>
  </si>
  <si>
    <t>CUST2628</t>
  </si>
  <si>
    <t>CUST2629</t>
  </si>
  <si>
    <t>CUST2630</t>
  </si>
  <si>
    <t>CUST2631</t>
  </si>
  <si>
    <t>CUST2632</t>
  </si>
  <si>
    <t>CUST2633</t>
  </si>
  <si>
    <t>CUST2634</t>
  </si>
  <si>
    <t>CUST2635</t>
  </si>
  <si>
    <t>CUST2636</t>
  </si>
  <si>
    <t>CUST2637</t>
  </si>
  <si>
    <t>CUST2638</t>
  </si>
  <si>
    <t>CUST2639</t>
  </si>
  <si>
    <t>CUST2640</t>
  </si>
  <si>
    <t>CUST2642</t>
  </si>
  <si>
    <t>CUST2643</t>
  </si>
  <si>
    <t>CUST2644</t>
  </si>
  <si>
    <t>CUST2645</t>
  </si>
  <si>
    <t>CUST2646</t>
  </si>
  <si>
    <t>CUST2647</t>
  </si>
  <si>
    <t>CUST2648</t>
  </si>
  <si>
    <t>CUST2649</t>
  </si>
  <si>
    <t>CUST2650</t>
  </si>
  <si>
    <t>CUST2651</t>
  </si>
  <si>
    <t>CUST2652</t>
  </si>
  <si>
    <t>CUST2653</t>
  </si>
  <si>
    <t>CUST2654</t>
  </si>
  <si>
    <t>CUST2655</t>
  </si>
  <si>
    <t>CUST2656</t>
  </si>
  <si>
    <t>CUST2657</t>
  </si>
  <si>
    <t>CUST2658</t>
  </si>
  <si>
    <t>CUST2659</t>
  </si>
  <si>
    <t>CUST2660</t>
  </si>
  <si>
    <t>CUST2661</t>
  </si>
  <si>
    <t>CUST2662</t>
  </si>
  <si>
    <t>CUST2663</t>
  </si>
  <si>
    <t>CUST2664</t>
  </si>
  <si>
    <t>CUST2665</t>
  </si>
  <si>
    <t>CUST2666</t>
  </si>
  <si>
    <t>CUST2667</t>
  </si>
  <si>
    <t>CUST2668</t>
  </si>
  <si>
    <t>CUST2669</t>
  </si>
  <si>
    <t>CUST2670</t>
  </si>
  <si>
    <t>CUST2671</t>
  </si>
  <si>
    <t>CUST2672</t>
  </si>
  <si>
    <t>CUST2673</t>
  </si>
  <si>
    <t>CUST2674</t>
  </si>
  <si>
    <t>CUST2676</t>
  </si>
  <si>
    <t>CUST2677</t>
  </si>
  <si>
    <t>CUST2678</t>
  </si>
  <si>
    <t>CUST2679</t>
  </si>
  <si>
    <t>CUST2680</t>
  </si>
  <si>
    <t>CUST2682</t>
  </si>
  <si>
    <t>CUST2683</t>
  </si>
  <si>
    <t>CUST2684</t>
  </si>
  <si>
    <t>CUST2685</t>
  </si>
  <si>
    <t>CUST2686</t>
  </si>
  <si>
    <t>CUST2687</t>
  </si>
  <si>
    <t>CUST2688</t>
  </si>
  <si>
    <t>CUST2689</t>
  </si>
  <si>
    <t>CUST2690</t>
  </si>
  <si>
    <t>CUST2691</t>
  </si>
  <si>
    <t>CUST2692</t>
  </si>
  <si>
    <t>CUST2693</t>
  </si>
  <si>
    <t>CUST2694</t>
  </si>
  <si>
    <t>CUST2695</t>
  </si>
  <si>
    <t>CUST2696</t>
  </si>
  <si>
    <t>CUST2697</t>
  </si>
  <si>
    <t>CUST2698</t>
  </si>
  <si>
    <t>CUST2699</t>
  </si>
  <si>
    <t>CUST2700</t>
  </si>
  <si>
    <t>CUST2701</t>
  </si>
  <si>
    <t>CUST2702</t>
  </si>
  <si>
    <t>CUST2703</t>
  </si>
  <si>
    <t>CUST2704</t>
  </si>
  <si>
    <t>CUST2705</t>
  </si>
  <si>
    <t>CUST2706</t>
  </si>
  <si>
    <t>CUST2707</t>
  </si>
  <si>
    <t>CUST2708</t>
  </si>
  <si>
    <t>CUST2709</t>
  </si>
  <si>
    <t>CUST2711</t>
  </si>
  <si>
    <t>CUST2712</t>
  </si>
  <si>
    <t>CUST2713</t>
  </si>
  <si>
    <t>CUST2714</t>
  </si>
  <si>
    <t>CUST2715</t>
  </si>
  <si>
    <t>CUST2716</t>
  </si>
  <si>
    <t>CUST2717</t>
  </si>
  <si>
    <t>CUST2718</t>
  </si>
  <si>
    <t>CUST2719</t>
  </si>
  <si>
    <t>CUST2720</t>
  </si>
  <si>
    <t>CUST2721</t>
  </si>
  <si>
    <t>CUST2722</t>
  </si>
  <si>
    <t>CUST2723</t>
  </si>
  <si>
    <t>CUST2724</t>
  </si>
  <si>
    <t>CUST2725</t>
  </si>
  <si>
    <t>CUST2726</t>
  </si>
  <si>
    <t>CUST2727</t>
  </si>
  <si>
    <t>CUST2728</t>
  </si>
  <si>
    <t>CUST2729</t>
  </si>
  <si>
    <t>CUST2730</t>
  </si>
  <si>
    <t>CUST2731</t>
  </si>
  <si>
    <t>CUST2732</t>
  </si>
  <si>
    <t>CUST2733</t>
  </si>
  <si>
    <t>CUST2734</t>
  </si>
  <si>
    <t>CUST2735</t>
  </si>
  <si>
    <t>CUST2736</t>
  </si>
  <si>
    <t>CUST2737</t>
  </si>
  <si>
    <t>CUST2738</t>
  </si>
  <si>
    <t>CUST2739</t>
  </si>
  <si>
    <t>CUST2740</t>
  </si>
  <si>
    <t>CUST2741</t>
  </si>
  <si>
    <t>CUST2742</t>
  </si>
  <si>
    <t>CUST2743</t>
  </si>
  <si>
    <t>CUST2744</t>
  </si>
  <si>
    <t>CUST2745</t>
  </si>
  <si>
    <t>CUST2746</t>
  </si>
  <si>
    <t>CUST2747</t>
  </si>
  <si>
    <t>CUST2748</t>
  </si>
  <si>
    <t>CUST2749</t>
  </si>
  <si>
    <t>CUST2750</t>
  </si>
  <si>
    <t>CUST2751</t>
  </si>
  <si>
    <t>CUST2752</t>
  </si>
  <si>
    <t>CUST2753</t>
  </si>
  <si>
    <t>CUST2755</t>
  </si>
  <si>
    <t>CUST2756</t>
  </si>
  <si>
    <t>CUST2757</t>
  </si>
  <si>
    <t>CUST2758</t>
  </si>
  <si>
    <t>CUST2759</t>
  </si>
  <si>
    <t>CUST2760</t>
  </si>
  <si>
    <t>CUST2761</t>
  </si>
  <si>
    <t>CUST2762</t>
  </si>
  <si>
    <t>CUST2763</t>
  </si>
  <si>
    <t>CUST2764</t>
  </si>
  <si>
    <t>CUST2765</t>
  </si>
  <si>
    <t>CUST2767</t>
  </si>
  <si>
    <t>CUST2768</t>
  </si>
  <si>
    <t>CUST2769</t>
  </si>
  <si>
    <t>CUST2770</t>
  </si>
  <si>
    <t>CUST2771</t>
  </si>
  <si>
    <t>CUST2772</t>
  </si>
  <si>
    <t>CUST2773</t>
  </si>
  <si>
    <t>CUST2774</t>
  </si>
  <si>
    <t>CUST2775</t>
  </si>
  <si>
    <t>CUST2776</t>
  </si>
  <si>
    <t>CUST2777</t>
  </si>
  <si>
    <t>CUST2778</t>
  </si>
  <si>
    <t>CUST2779</t>
  </si>
  <si>
    <t>CUST2780</t>
  </si>
  <si>
    <t>CUST2781</t>
  </si>
  <si>
    <t>CUST2782</t>
  </si>
  <si>
    <t>CUST2783</t>
  </si>
  <si>
    <t>CUST2784</t>
  </si>
  <si>
    <t>CUST2785</t>
  </si>
  <si>
    <t>CUST2786</t>
  </si>
  <si>
    <t>CUST2787</t>
  </si>
  <si>
    <t>CUST2788</t>
  </si>
  <si>
    <t>CUST2789</t>
  </si>
  <si>
    <t>CUST2790</t>
  </si>
  <si>
    <t>CUST2791</t>
  </si>
  <si>
    <t>CUST2793</t>
  </si>
  <si>
    <t>CUST2794</t>
  </si>
  <si>
    <t>CUST2795</t>
  </si>
  <si>
    <t>CUST2796</t>
  </si>
  <si>
    <t>CUST2797</t>
  </si>
  <si>
    <t>CUST2798</t>
  </si>
  <si>
    <t>CUST2799</t>
  </si>
  <si>
    <t>CUST2800</t>
  </si>
  <si>
    <t>CUST2801</t>
  </si>
  <si>
    <t>CUST2802</t>
  </si>
  <si>
    <t>CUST2803</t>
  </si>
  <si>
    <t>CUST2804</t>
  </si>
  <si>
    <t>CUST2805</t>
  </si>
  <si>
    <t>CUST2806</t>
  </si>
  <si>
    <t>CUST2807</t>
  </si>
  <si>
    <t>CUST2808</t>
  </si>
  <si>
    <t>CUST2809</t>
  </si>
  <si>
    <t>CUST2810</t>
  </si>
  <si>
    <t>CUST2811</t>
  </si>
  <si>
    <t>CUST2812</t>
  </si>
  <si>
    <t>CUST2813</t>
  </si>
  <si>
    <t>CUST2814</t>
  </si>
  <si>
    <t>CUST2815</t>
  </si>
  <si>
    <t>CUST2816</t>
  </si>
  <si>
    <t>CUST2817</t>
  </si>
  <si>
    <t>CUST2818</t>
  </si>
  <si>
    <t>CUST2819</t>
  </si>
  <si>
    <t>CUST2820</t>
  </si>
  <si>
    <t>CUST2821</t>
  </si>
  <si>
    <t>CUST2822</t>
  </si>
  <si>
    <t>CUST2823</t>
  </si>
  <si>
    <t>CUST2824</t>
  </si>
  <si>
    <t>CUST2825</t>
  </si>
  <si>
    <t>CUST2826</t>
  </si>
  <si>
    <t>CUST2827</t>
  </si>
  <si>
    <t>CUST2828</t>
  </si>
  <si>
    <t>CUST2829</t>
  </si>
  <si>
    <t>CUST2832</t>
  </si>
  <si>
    <t>CUST2834</t>
  </si>
  <si>
    <t>CUST2835</t>
  </si>
  <si>
    <t>CUST2836</t>
  </si>
  <si>
    <t>CUST2837</t>
  </si>
  <si>
    <t>CUST2838</t>
  </si>
  <si>
    <t>CUST2839</t>
  </si>
  <si>
    <t>CUST2840</t>
  </si>
  <si>
    <t>CUST2841</t>
  </si>
  <si>
    <t>CUST2842</t>
  </si>
  <si>
    <t>CUST2843</t>
  </si>
  <si>
    <t>CUST2844</t>
  </si>
  <si>
    <t>CUST2845</t>
  </si>
  <si>
    <t>CUST2846</t>
  </si>
  <si>
    <t>CUST2847</t>
  </si>
  <si>
    <t>CUST2848</t>
  </si>
  <si>
    <t>CUST2849</t>
  </si>
  <si>
    <t>CUST2850</t>
  </si>
  <si>
    <t>CUST2852</t>
  </si>
  <si>
    <t>CUST2853</t>
  </si>
  <si>
    <t>CUST2854</t>
  </si>
  <si>
    <t>CUST2856</t>
  </si>
  <si>
    <t>CUST2857</t>
  </si>
  <si>
    <t>CUST2858</t>
  </si>
  <si>
    <t>CUST2859</t>
  </si>
  <si>
    <t>CUST2860</t>
  </si>
  <si>
    <t>CUST2861</t>
  </si>
  <si>
    <t>CUST2862</t>
  </si>
  <si>
    <t>CUST2863</t>
  </si>
  <si>
    <t>CUST2864</t>
  </si>
  <si>
    <t>CUST2865</t>
  </si>
  <si>
    <t>CUST2866</t>
  </si>
  <si>
    <t>CUST2867</t>
  </si>
  <si>
    <t>CUST2869</t>
  </si>
  <si>
    <t>CUST2870</t>
  </si>
  <si>
    <t>CUST2871</t>
  </si>
  <si>
    <t>CUST2872</t>
  </si>
  <si>
    <t>CUST2873</t>
  </si>
  <si>
    <t>CUST2874</t>
  </si>
  <si>
    <t>CUST2875</t>
  </si>
  <si>
    <t>CUST2876</t>
  </si>
  <si>
    <t>CUST2877</t>
  </si>
  <si>
    <t>CUST2878</t>
  </si>
  <si>
    <t>CUST2879</t>
  </si>
  <si>
    <t>CUST2880</t>
  </si>
  <si>
    <t>CUST2881</t>
  </si>
  <si>
    <t>CUST2882</t>
  </si>
  <si>
    <t>CUST2883</t>
  </si>
  <si>
    <t>CUST2884</t>
  </si>
  <si>
    <t>CUST2885</t>
  </si>
  <si>
    <t>CUST2886</t>
  </si>
  <si>
    <t>CUST2887</t>
  </si>
  <si>
    <t>CUST2888</t>
  </si>
  <si>
    <t>CUST2889</t>
  </si>
  <si>
    <t>CUST2890</t>
  </si>
  <si>
    <t>CUST2891</t>
  </si>
  <si>
    <t>CUST2892</t>
  </si>
  <si>
    <t>CUST2893</t>
  </si>
  <si>
    <t>CUST2894</t>
  </si>
  <si>
    <t>CUST2895</t>
  </si>
  <si>
    <t>CUST2896</t>
  </si>
  <si>
    <t>CUST2897</t>
  </si>
  <si>
    <t>CUST2898</t>
  </si>
  <si>
    <t>CUST2899</t>
  </si>
  <si>
    <t>CUST2900</t>
  </si>
  <si>
    <t>CUST2901</t>
  </si>
  <si>
    <t>CUST2902</t>
  </si>
  <si>
    <t>CUST2903</t>
  </si>
  <si>
    <t>CUST2904</t>
  </si>
  <si>
    <t>CUST2905</t>
  </si>
  <si>
    <t>CUST2906</t>
  </si>
  <si>
    <t>CUST2907</t>
  </si>
  <si>
    <t>CUST2908</t>
  </si>
  <si>
    <t>CUST2909</t>
  </si>
  <si>
    <t>CUST2910</t>
  </si>
  <si>
    <t>CUST2911</t>
  </si>
  <si>
    <t>CUST2912</t>
  </si>
  <si>
    <t>CUST2913</t>
  </si>
  <si>
    <t>CUST2914</t>
  </si>
  <si>
    <t>CUST2915</t>
  </si>
  <si>
    <t>CUST2916</t>
  </si>
  <si>
    <t>CUST2917</t>
  </si>
  <si>
    <t>CUST2918</t>
  </si>
  <si>
    <t>CUST2919</t>
  </si>
  <si>
    <t>CUST2920</t>
  </si>
  <si>
    <t>CUST2921</t>
  </si>
  <si>
    <t>CUST2922</t>
  </si>
  <si>
    <t>CUST2923</t>
  </si>
  <si>
    <t>CUST2924</t>
  </si>
  <si>
    <t>CUST2925</t>
  </si>
  <si>
    <t>CUST2926</t>
  </si>
  <si>
    <t>CUST2927</t>
  </si>
  <si>
    <t>CUST2928</t>
  </si>
  <si>
    <t>CUST2929</t>
  </si>
  <si>
    <t>CUST2930</t>
  </si>
  <si>
    <t>CUST2931</t>
  </si>
  <si>
    <t>CUST2932</t>
  </si>
  <si>
    <t>CUST2933</t>
  </si>
  <si>
    <t>CUST2934</t>
  </si>
  <si>
    <t>CUST2935</t>
  </si>
  <si>
    <t>CUST2936</t>
  </si>
  <si>
    <t>CUST2937</t>
  </si>
  <si>
    <t>CUST2938</t>
  </si>
  <si>
    <t>CUST2939</t>
  </si>
  <si>
    <t>CUST2940</t>
  </si>
  <si>
    <t>CUST2941</t>
  </si>
  <si>
    <t>CUST2942</t>
  </si>
  <si>
    <t>CUST2943</t>
  </si>
  <si>
    <t>CUST2944</t>
  </si>
  <si>
    <t>CUST2945</t>
  </si>
  <si>
    <t>CUST2946</t>
  </si>
  <si>
    <t>CUST2947</t>
  </si>
  <si>
    <t>CUST2948</t>
  </si>
  <si>
    <t>CUST2949</t>
  </si>
  <si>
    <t>CUST2950</t>
  </si>
  <si>
    <t>CUST2951</t>
  </si>
  <si>
    <t>CUST2952</t>
  </si>
  <si>
    <t>CUST2953</t>
  </si>
  <si>
    <t>CUST2954</t>
  </si>
  <si>
    <t>CUST2955</t>
  </si>
  <si>
    <t>CUST2956</t>
  </si>
  <si>
    <t>CUST2957</t>
  </si>
  <si>
    <t>CUST2958</t>
  </si>
  <si>
    <t>CUST2959</t>
  </si>
  <si>
    <t>CUST2960</t>
  </si>
  <si>
    <t>CUST2961</t>
  </si>
  <si>
    <t>CUST2962</t>
  </si>
  <si>
    <t>CUST2963</t>
  </si>
  <si>
    <t>CUST2964</t>
  </si>
  <si>
    <t>CUST2965</t>
  </si>
  <si>
    <t>CUST2966</t>
  </si>
  <si>
    <t>CUST2967</t>
  </si>
  <si>
    <t>CUST2968</t>
  </si>
  <si>
    <t>CUST2969</t>
  </si>
  <si>
    <t>CUST2970</t>
  </si>
  <si>
    <t>CUST2971</t>
  </si>
  <si>
    <t>CUST2972</t>
  </si>
  <si>
    <t>CUST2973</t>
  </si>
  <si>
    <t>CUST2974</t>
  </si>
  <si>
    <t>CUST2975</t>
  </si>
  <si>
    <t>CUST2976</t>
  </si>
  <si>
    <t>CUST2977</t>
  </si>
  <si>
    <t>CUST2978</t>
  </si>
  <si>
    <t>CUST2979</t>
  </si>
  <si>
    <t>CUST2980</t>
  </si>
  <si>
    <t>CUST2981</t>
  </si>
  <si>
    <t>CUST2982</t>
  </si>
  <si>
    <t>CUST2983</t>
  </si>
  <si>
    <t>CUST2984</t>
  </si>
  <si>
    <t>CUST2985</t>
  </si>
  <si>
    <t>CUST2986</t>
  </si>
  <si>
    <t>CUST2987</t>
  </si>
  <si>
    <t>CUST2988</t>
  </si>
  <si>
    <t>CUST2989</t>
  </si>
  <si>
    <t>CUST2990</t>
  </si>
  <si>
    <t>CUST2991</t>
  </si>
  <si>
    <t>CUST2992</t>
  </si>
  <si>
    <t>CUST2993</t>
  </si>
  <si>
    <t>CUST2994</t>
  </si>
  <si>
    <t>CUST2995</t>
  </si>
  <si>
    <t>CUST2996</t>
  </si>
  <si>
    <t>CUST2997</t>
  </si>
  <si>
    <t>CUST2998</t>
  </si>
  <si>
    <t>CUST2999</t>
  </si>
  <si>
    <t>CUST3000</t>
  </si>
  <si>
    <t>CUST3001</t>
  </si>
  <si>
    <t>CUST3002</t>
  </si>
  <si>
    <t>CUST3003</t>
  </si>
  <si>
    <t>CUST3004</t>
  </si>
  <si>
    <t>CUST3005</t>
  </si>
  <si>
    <t>CUST3006</t>
  </si>
  <si>
    <t>CUST3007</t>
  </si>
  <si>
    <t>CUST3008</t>
  </si>
  <si>
    <t>CUST3009</t>
  </si>
  <si>
    <t>CUST3010</t>
  </si>
  <si>
    <t>CUST3011</t>
  </si>
  <si>
    <t>CUST3012</t>
  </si>
  <si>
    <t>CUST3013</t>
  </si>
  <si>
    <t>CUST3014</t>
  </si>
  <si>
    <t>CUST3016</t>
  </si>
  <si>
    <t>CUST3017</t>
  </si>
  <si>
    <t>CUST3018</t>
  </si>
  <si>
    <t>CUST3019</t>
  </si>
  <si>
    <t>CUST3020</t>
  </si>
  <si>
    <t>CUST3021</t>
  </si>
  <si>
    <t>CUST3022</t>
  </si>
  <si>
    <t>CUST3023</t>
  </si>
  <si>
    <t>CUST3024</t>
  </si>
  <si>
    <t>CUST3025</t>
  </si>
  <si>
    <t>CUST3026</t>
  </si>
  <si>
    <t>CUST3027</t>
  </si>
  <si>
    <t>CUST3028</t>
  </si>
  <si>
    <t>CUST3029</t>
  </si>
  <si>
    <t>CUST3030</t>
  </si>
  <si>
    <t>CUST3031</t>
  </si>
  <si>
    <t>CUST3032</t>
  </si>
  <si>
    <t>CUST3033</t>
  </si>
  <si>
    <t>CUST3034</t>
  </si>
  <si>
    <t>CUST3035</t>
  </si>
  <si>
    <t>CUST3036</t>
  </si>
  <si>
    <t>CUST3037</t>
  </si>
  <si>
    <t>CUST3038</t>
  </si>
  <si>
    <t>CUST3039</t>
  </si>
  <si>
    <t>CUST3040</t>
  </si>
  <si>
    <t>CUST3041</t>
  </si>
  <si>
    <t>CUST3042</t>
  </si>
  <si>
    <t>CUST3043</t>
  </si>
  <si>
    <t>CUST3044</t>
  </si>
  <si>
    <t>CUST3045</t>
  </si>
  <si>
    <t>CUST3046</t>
  </si>
  <si>
    <t>CUST3047</t>
  </si>
  <si>
    <t>CUST3048</t>
  </si>
  <si>
    <t>CUST3049</t>
  </si>
  <si>
    <t>CUST3050</t>
  </si>
  <si>
    <t>CUST3051</t>
  </si>
  <si>
    <t>CUST3052</t>
  </si>
  <si>
    <t>CUST3053</t>
  </si>
  <si>
    <t>CUST3054</t>
  </si>
  <si>
    <t>CUST3055</t>
  </si>
  <si>
    <t>CUST3056</t>
  </si>
  <si>
    <t>CUST3057</t>
  </si>
  <si>
    <t>CUST3058</t>
  </si>
  <si>
    <t>CUST3059</t>
  </si>
  <si>
    <t>CUST3060</t>
  </si>
  <si>
    <t>CUST3061</t>
  </si>
  <si>
    <t>CUST3062</t>
  </si>
  <si>
    <t>CUST3063</t>
  </si>
  <si>
    <t>CUST3064</t>
  </si>
  <si>
    <t>CUST3065</t>
  </si>
  <si>
    <t>CUST3066</t>
  </si>
  <si>
    <t>CUST3067</t>
  </si>
  <si>
    <t>CUST3068</t>
  </si>
  <si>
    <t>CUST3069</t>
  </si>
  <si>
    <t>CUST3070</t>
  </si>
  <si>
    <t>CUST3071</t>
  </si>
  <si>
    <t>CUST3072</t>
  </si>
  <si>
    <t>CUST3073</t>
  </si>
  <si>
    <t>CUST3074</t>
  </si>
  <si>
    <t>CUST3075</t>
  </si>
  <si>
    <t>CUST3077</t>
  </si>
  <si>
    <t>CUST3078</t>
  </si>
  <si>
    <t>CUST3079</t>
  </si>
  <si>
    <t>CUST3080</t>
  </si>
  <si>
    <t>CUST3081</t>
  </si>
  <si>
    <t>CUST3082</t>
  </si>
  <si>
    <t>CUST3083</t>
  </si>
  <si>
    <t>CUST3084</t>
  </si>
  <si>
    <t>CUST3085</t>
  </si>
  <si>
    <t>CUST3086</t>
  </si>
  <si>
    <t>CUST3087</t>
  </si>
  <si>
    <t>CUST3088</t>
  </si>
  <si>
    <t>CUST3089</t>
  </si>
  <si>
    <t>CUST3090</t>
  </si>
  <si>
    <t>CUST3092</t>
  </si>
  <si>
    <t>CUST3093</t>
  </si>
  <si>
    <t>CUST3094</t>
  </si>
  <si>
    <t>CUST3095</t>
  </si>
  <si>
    <t>CUST3096</t>
  </si>
  <si>
    <t>CUST3097</t>
  </si>
  <si>
    <t>CUST3098</t>
  </si>
  <si>
    <t>CUST3099</t>
  </si>
  <si>
    <t>CUST3100</t>
  </si>
  <si>
    <t>CUST3101</t>
  </si>
  <si>
    <t>CUST3102</t>
  </si>
  <si>
    <t>CUST3103</t>
  </si>
  <si>
    <t>CUST3104</t>
  </si>
  <si>
    <t>CUST3105</t>
  </si>
  <si>
    <t>CUST3106</t>
  </si>
  <si>
    <t>CUST3107</t>
  </si>
  <si>
    <t>CUST3108</t>
  </si>
  <si>
    <t>CUST3109</t>
  </si>
  <si>
    <t>CUST3110</t>
  </si>
  <si>
    <t>CUST3111</t>
  </si>
  <si>
    <t>CUST3112</t>
  </si>
  <si>
    <t>CUST3113</t>
  </si>
  <si>
    <t>CUST3114</t>
  </si>
  <si>
    <t>CUST3116</t>
  </si>
  <si>
    <t>CUST3118</t>
  </si>
  <si>
    <t>CUST3120</t>
  </si>
  <si>
    <t>CUST3121</t>
  </si>
  <si>
    <t>CUST3122</t>
  </si>
  <si>
    <t>CUST3123</t>
  </si>
  <si>
    <t>CUST3124</t>
  </si>
  <si>
    <t>CUST3126</t>
  </si>
  <si>
    <t>CUST3127</t>
  </si>
  <si>
    <t>CUST3128</t>
  </si>
  <si>
    <t>CUST3129</t>
  </si>
  <si>
    <t>CUST3130</t>
  </si>
  <si>
    <t>CUST3131</t>
  </si>
  <si>
    <t>CUST3132</t>
  </si>
  <si>
    <t>CUST3133</t>
  </si>
  <si>
    <t>CUST3134</t>
  </si>
  <si>
    <t>CUST3135</t>
  </si>
  <si>
    <t>CUST3136</t>
  </si>
  <si>
    <t>CUST3137</t>
  </si>
  <si>
    <t>CUST3138</t>
  </si>
  <si>
    <t>CUST3139</t>
  </si>
  <si>
    <t>CUST3140</t>
  </si>
  <si>
    <t>CUST3141</t>
  </si>
  <si>
    <t>CUST3143</t>
  </si>
  <si>
    <t>CUST3144</t>
  </si>
  <si>
    <t>CUST3145</t>
  </si>
  <si>
    <t>CUST3146</t>
  </si>
  <si>
    <t>CUST3147</t>
  </si>
  <si>
    <t>CUST3148</t>
  </si>
  <si>
    <t>CUST3149</t>
  </si>
  <si>
    <t>CUST3150</t>
  </si>
  <si>
    <t>CUST3151</t>
  </si>
  <si>
    <t>CUST3152</t>
  </si>
  <si>
    <t>CUST3153</t>
  </si>
  <si>
    <t>CUST3154</t>
  </si>
  <si>
    <t>CUST3155</t>
  </si>
  <si>
    <t>CUST3157</t>
  </si>
  <si>
    <t>CUST3158</t>
  </si>
  <si>
    <t>CUST3160</t>
  </si>
  <si>
    <t>CUST3161</t>
  </si>
  <si>
    <t>CUST3162</t>
  </si>
  <si>
    <t>CUST3163</t>
  </si>
  <si>
    <t>CUST3165</t>
  </si>
  <si>
    <t>CUST3166</t>
  </si>
  <si>
    <t>CUST3167</t>
  </si>
  <si>
    <t>CUST3168</t>
  </si>
  <si>
    <t>CUST3169</t>
  </si>
  <si>
    <t>CUST3170</t>
  </si>
  <si>
    <t>CUST3171</t>
  </si>
  <si>
    <t>CUST3172</t>
  </si>
  <si>
    <t>CUST3173</t>
  </si>
  <si>
    <t>CUST3174</t>
  </si>
  <si>
    <t>CUST3175</t>
  </si>
  <si>
    <t>CUST3176</t>
  </si>
  <si>
    <t>CUST3177</t>
  </si>
  <si>
    <t>CUST3178</t>
  </si>
  <si>
    <t>CUST3179</t>
  </si>
  <si>
    <t>CUST3180</t>
  </si>
  <si>
    <t>CUST3181</t>
  </si>
  <si>
    <t>CUST3182</t>
  </si>
  <si>
    <t>CUST3183</t>
  </si>
  <si>
    <t>CUST3184</t>
  </si>
  <si>
    <t>CUST3185</t>
  </si>
  <si>
    <t>CUST3186</t>
  </si>
  <si>
    <t>CUST3187</t>
  </si>
  <si>
    <t>CUST3188</t>
  </si>
  <si>
    <t>CUST3189</t>
  </si>
  <si>
    <t>CUST3190</t>
  </si>
  <si>
    <t>CUST3191</t>
  </si>
  <si>
    <t>CUST3192</t>
  </si>
  <si>
    <t>CUST3193</t>
  </si>
  <si>
    <t>CUST3194</t>
  </si>
  <si>
    <t>CUST3195</t>
  </si>
  <si>
    <t>CUST3196</t>
  </si>
  <si>
    <t>CUST3197</t>
  </si>
  <si>
    <t>CUST3198</t>
  </si>
  <si>
    <t>CUST3199</t>
  </si>
  <si>
    <t>CUST3200</t>
  </si>
  <si>
    <t>CUST3201</t>
  </si>
  <si>
    <t>CUST3202</t>
  </si>
  <si>
    <t>CUST3203</t>
  </si>
  <si>
    <t>CUST3204</t>
  </si>
  <si>
    <t>CUST3205</t>
  </si>
  <si>
    <t>CUST3206</t>
  </si>
  <si>
    <t>CUST3208</t>
  </si>
  <si>
    <t>CUST3209</t>
  </si>
  <si>
    <t>CUST3210</t>
  </si>
  <si>
    <t>CUST3211</t>
  </si>
  <si>
    <t>CUST3212</t>
  </si>
  <si>
    <t>CUST3213</t>
  </si>
  <si>
    <t>CUST3214</t>
  </si>
  <si>
    <t>CUST3215</t>
  </si>
  <si>
    <t>CUST3216</t>
  </si>
  <si>
    <t>CUST3217</t>
  </si>
  <si>
    <t>CUST3218</t>
  </si>
  <si>
    <t>CUST3219</t>
  </si>
  <si>
    <t>CUST3220</t>
  </si>
  <si>
    <t>CUST3221</t>
  </si>
  <si>
    <t>CUST3222</t>
  </si>
  <si>
    <t>CUST3223</t>
  </si>
  <si>
    <t>CUST3224</t>
  </si>
  <si>
    <t>CUST3225</t>
  </si>
  <si>
    <t>CUST3226</t>
  </si>
  <si>
    <t>CUST3227</t>
  </si>
  <si>
    <t>CUST3228</t>
  </si>
  <si>
    <t>CUST3229</t>
  </si>
  <si>
    <t>CUST3230</t>
  </si>
  <si>
    <t>CUST3231</t>
  </si>
  <si>
    <t>CUST3232</t>
  </si>
  <si>
    <t>CUST3233</t>
  </si>
  <si>
    <t>CUST3234</t>
  </si>
  <si>
    <t>CUST3235</t>
  </si>
  <si>
    <t>CUST3236</t>
  </si>
  <si>
    <t>CUST3237</t>
  </si>
  <si>
    <t>CUST3238</t>
  </si>
  <si>
    <t>CUST3239</t>
  </si>
  <si>
    <t>CUST3240</t>
  </si>
  <si>
    <t>CUST3241</t>
  </si>
  <si>
    <t>CUST3242</t>
  </si>
  <si>
    <t>CUST3243</t>
  </si>
  <si>
    <t>CUST3244</t>
  </si>
  <si>
    <t>CUST3245</t>
  </si>
  <si>
    <t>CUST3246</t>
  </si>
  <si>
    <t>CUST3247</t>
  </si>
  <si>
    <t>CUST3248</t>
  </si>
  <si>
    <t>CUST3249</t>
  </si>
  <si>
    <t>CUST3251</t>
  </si>
  <si>
    <t>CUST3252</t>
  </si>
  <si>
    <t>CUST3253</t>
  </si>
  <si>
    <t>CUST3254</t>
  </si>
  <si>
    <t>CUST3255</t>
  </si>
  <si>
    <t>CUST3256</t>
  </si>
  <si>
    <t>CUST3257</t>
  </si>
  <si>
    <t>CUST3258</t>
  </si>
  <si>
    <t>CUST3259</t>
  </si>
  <si>
    <t>CUST3261</t>
  </si>
  <si>
    <t>CUST3262</t>
  </si>
  <si>
    <t>CUST3263</t>
  </si>
  <si>
    <t>CUST3264</t>
  </si>
  <si>
    <t>CUST3265</t>
  </si>
  <si>
    <t>CUST3266</t>
  </si>
  <si>
    <t>CUST3267</t>
  </si>
  <si>
    <t>CUST3268</t>
  </si>
  <si>
    <t>CUST3269</t>
  </si>
  <si>
    <t>CUST3270</t>
  </si>
  <si>
    <t>CUST3271</t>
  </si>
  <si>
    <t>CUST3272</t>
  </si>
  <si>
    <t>CUST3273</t>
  </si>
  <si>
    <t>CUST3274</t>
  </si>
  <si>
    <t>CUST3275</t>
  </si>
  <si>
    <t>CUST3276</t>
  </si>
  <si>
    <t>CUST3277</t>
  </si>
  <si>
    <t>CUST3278</t>
  </si>
  <si>
    <t>CUST3279</t>
  </si>
  <si>
    <t>CUST3280</t>
  </si>
  <si>
    <t>CUST3281</t>
  </si>
  <si>
    <t>CUST3282</t>
  </si>
  <si>
    <t>CUST3283</t>
  </si>
  <si>
    <t>CUST3284</t>
  </si>
  <si>
    <t>CUST3285</t>
  </si>
  <si>
    <t>CUST3286</t>
  </si>
  <si>
    <t>CUST3287</t>
  </si>
  <si>
    <t>CUST3288</t>
  </si>
  <si>
    <t>CUST3289</t>
  </si>
  <si>
    <t>CUST3290</t>
  </si>
  <si>
    <t>CUST3291</t>
  </si>
  <si>
    <t>CUST3292</t>
  </si>
  <si>
    <t>CUST3293</t>
  </si>
  <si>
    <t>CUST3294</t>
  </si>
  <si>
    <t>CUST3295</t>
  </si>
  <si>
    <t>CUST3296</t>
  </si>
  <si>
    <t>CUST3297</t>
  </si>
  <si>
    <t>CUST3298</t>
  </si>
  <si>
    <t>CUST3299</t>
  </si>
  <si>
    <t>CUST3300</t>
  </si>
  <si>
    <t>CUST3301</t>
  </si>
  <si>
    <t>CUST3302</t>
  </si>
  <si>
    <t>CUST3303</t>
  </si>
  <si>
    <t>CUST3304</t>
  </si>
  <si>
    <t>CUST3305</t>
  </si>
  <si>
    <t>CUST3306</t>
  </si>
  <si>
    <t>CUST3307</t>
  </si>
  <si>
    <t>CUST3308</t>
  </si>
  <si>
    <t>CUST3309</t>
  </si>
  <si>
    <t>CUST3310</t>
  </si>
  <si>
    <t>CUST3311</t>
  </si>
  <si>
    <t>CUST3312</t>
  </si>
  <si>
    <t>CUST3313</t>
  </si>
  <si>
    <t>CUST3314</t>
  </si>
  <si>
    <t>CUST3315</t>
  </si>
  <si>
    <t>CUST3316</t>
  </si>
  <si>
    <t>CUST3317</t>
  </si>
  <si>
    <t>CUST3318</t>
  </si>
  <si>
    <t>CUST3319</t>
  </si>
  <si>
    <t>CUST3320</t>
  </si>
  <si>
    <t>CUST3321</t>
  </si>
  <si>
    <t>CUST3322</t>
  </si>
  <si>
    <t>CUST3323</t>
  </si>
  <si>
    <t>CUST3324</t>
  </si>
  <si>
    <t>CUST3325</t>
  </si>
  <si>
    <t>CUST3326</t>
  </si>
  <si>
    <t>CUST3327</t>
  </si>
  <si>
    <t>CUST3328</t>
  </si>
  <si>
    <t>CUST3329</t>
  </si>
  <si>
    <t>CUST3330</t>
  </si>
  <si>
    <t>CUST3331</t>
  </si>
  <si>
    <t>CUST3332</t>
  </si>
  <si>
    <t>CUST3333</t>
  </si>
  <si>
    <t>CUST3334</t>
  </si>
  <si>
    <t>CUST3335</t>
  </si>
  <si>
    <t>CUST3337</t>
  </si>
  <si>
    <t>CUST3338</t>
  </si>
  <si>
    <t>CUST3339</t>
  </si>
  <si>
    <t>CUST3340</t>
  </si>
  <si>
    <t>CUST3341</t>
  </si>
  <si>
    <t>CUST3342</t>
  </si>
  <si>
    <t>CUST3343</t>
  </si>
  <si>
    <t>CUST3344</t>
  </si>
  <si>
    <t>CUST3345</t>
  </si>
  <si>
    <t>CUST3346</t>
  </si>
  <si>
    <t>CUST3347</t>
  </si>
  <si>
    <t>CUST3348</t>
  </si>
  <si>
    <t>CUST3349</t>
  </si>
  <si>
    <t>CUST3350</t>
  </si>
  <si>
    <t>CUST3351</t>
  </si>
  <si>
    <t>CUST3352</t>
  </si>
  <si>
    <t>CUST3353</t>
  </si>
  <si>
    <t>CUST3354</t>
  </si>
  <si>
    <t>CUST3355</t>
  </si>
  <si>
    <t>CUST3356</t>
  </si>
  <si>
    <t>CUST3357</t>
  </si>
  <si>
    <t>CUST3358</t>
  </si>
  <si>
    <t>CUST3359</t>
  </si>
  <si>
    <t>CUST3360</t>
  </si>
  <si>
    <t>CUST3362</t>
  </si>
  <si>
    <t>CUST3363</t>
  </si>
  <si>
    <t>CUST3364</t>
  </si>
  <si>
    <t>CUST3365</t>
  </si>
  <si>
    <t>CUST3367</t>
  </si>
  <si>
    <t>CUST3368</t>
  </si>
  <si>
    <t>CUST3369</t>
  </si>
  <si>
    <t>CUST3370</t>
  </si>
  <si>
    <t>CUST3371</t>
  </si>
  <si>
    <t>CUST3372</t>
  </si>
  <si>
    <t>CUST3373</t>
  </si>
  <si>
    <t>CUST3374</t>
  </si>
  <si>
    <t>CUST3375</t>
  </si>
  <si>
    <t>CUST3376</t>
  </si>
  <si>
    <t>CUST3377</t>
  </si>
  <si>
    <t>CUST3378</t>
  </si>
  <si>
    <t>CUST3379</t>
  </si>
  <si>
    <t>CUST3380</t>
  </si>
  <si>
    <t>CUST3381</t>
  </si>
  <si>
    <t>CUST3382</t>
  </si>
  <si>
    <t>CUST3383</t>
  </si>
  <si>
    <t>CUST3385</t>
  </si>
  <si>
    <t>CUST3386</t>
  </si>
  <si>
    <t>CUST3387</t>
  </si>
  <si>
    <t>CUST3388</t>
  </si>
  <si>
    <t>CUST3390</t>
  </si>
  <si>
    <t>CUST3391</t>
  </si>
  <si>
    <t>CUST3392</t>
  </si>
  <si>
    <t>CUST3393</t>
  </si>
  <si>
    <t>CUST3394</t>
  </si>
  <si>
    <t>CUST3395</t>
  </si>
  <si>
    <t>CUST3396</t>
  </si>
  <si>
    <t>CUST3397</t>
  </si>
  <si>
    <t>CUST3398</t>
  </si>
  <si>
    <t>CUST3399</t>
  </si>
  <si>
    <t>CUST3400</t>
  </si>
  <si>
    <t>CUST3401</t>
  </si>
  <si>
    <t>CUST3403</t>
  </si>
  <si>
    <t>CUST3404</t>
  </si>
  <si>
    <t>CUST3405</t>
  </si>
  <si>
    <t>CUST3406</t>
  </si>
  <si>
    <t>CUST3407</t>
  </si>
  <si>
    <t>CUST3409</t>
  </si>
  <si>
    <t>CUST3410</t>
  </si>
  <si>
    <t>CUST3411</t>
  </si>
  <si>
    <t>CUST3412</t>
  </si>
  <si>
    <t>CUST3413</t>
  </si>
  <si>
    <t>CUST3415</t>
  </si>
  <si>
    <t>CUST3416</t>
  </si>
  <si>
    <t>CUST3417</t>
  </si>
  <si>
    <t>CUST3418</t>
  </si>
  <si>
    <t>CUST3419</t>
  </si>
  <si>
    <t>CUST3420</t>
  </si>
  <si>
    <t>CUST3421</t>
  </si>
  <si>
    <t>CUST3422</t>
  </si>
  <si>
    <t>CUST3423</t>
  </si>
  <si>
    <t>CUST3424</t>
  </si>
  <si>
    <t>CUST3425</t>
  </si>
  <si>
    <t>CUST3427</t>
  </si>
  <si>
    <t>CUST3428</t>
  </si>
  <si>
    <t>CUST3429</t>
  </si>
  <si>
    <t>CUST3430</t>
  </si>
  <si>
    <t>CUST3431</t>
  </si>
  <si>
    <t>CUST3432</t>
  </si>
  <si>
    <t>CUST3433</t>
  </si>
  <si>
    <t>CUST3434</t>
  </si>
  <si>
    <t>CUST3435</t>
  </si>
  <si>
    <t>CUST3436</t>
  </si>
  <si>
    <t>CUST3437</t>
  </si>
  <si>
    <t>CUST3438</t>
  </si>
  <si>
    <t>CUST3439</t>
  </si>
  <si>
    <t>CUST3440</t>
  </si>
  <si>
    <t>CUST3441</t>
  </si>
  <si>
    <t>CUST3442</t>
  </si>
  <si>
    <t>CUST3443</t>
  </si>
  <si>
    <t>CUST3444</t>
  </si>
  <si>
    <t>CUST3445</t>
  </si>
  <si>
    <t>CUST3446</t>
  </si>
  <si>
    <t>CUST3447</t>
  </si>
  <si>
    <t>CUST3448</t>
  </si>
  <si>
    <t>CUST3449</t>
  </si>
  <si>
    <t>CUST3450</t>
  </si>
  <si>
    <t>CUST3451</t>
  </si>
  <si>
    <t>CUST3452</t>
  </si>
  <si>
    <t>CUST3453</t>
  </si>
  <si>
    <t>CUST3454</t>
  </si>
  <si>
    <t>CUST3455</t>
  </si>
  <si>
    <t>CUST3456</t>
  </si>
  <si>
    <t>CUST3457</t>
  </si>
  <si>
    <t>CUST3458</t>
  </si>
  <si>
    <t>CUST3459</t>
  </si>
  <si>
    <t>CUST3460</t>
  </si>
  <si>
    <t>CUST3461</t>
  </si>
  <si>
    <t>CUST3462</t>
  </si>
  <si>
    <t>CUST3463</t>
  </si>
  <si>
    <t>CUST3464</t>
  </si>
  <si>
    <t>CUST3466</t>
  </si>
  <si>
    <t>CUST3467</t>
  </si>
  <si>
    <t>CUST3468</t>
  </si>
  <si>
    <t>CUST3469</t>
  </si>
  <si>
    <t>CUST3470</t>
  </si>
  <si>
    <t>CUST3471</t>
  </si>
  <si>
    <t>CUST3472</t>
  </si>
  <si>
    <t>CUST3473</t>
  </si>
  <si>
    <t>CUST3474</t>
  </si>
  <si>
    <t>CUST3475</t>
  </si>
  <si>
    <t>CUST3476</t>
  </si>
  <si>
    <t>CUST3477</t>
  </si>
  <si>
    <t>CUST3478</t>
  </si>
  <si>
    <t>CUST3479</t>
  </si>
  <si>
    <t>CUST3480</t>
  </si>
  <si>
    <t>CUST3481</t>
  </si>
  <si>
    <t>CUST3482</t>
  </si>
  <si>
    <t>CUST3483</t>
  </si>
  <si>
    <t>CUST3484</t>
  </si>
  <si>
    <t>CUST3485</t>
  </si>
  <si>
    <t>CUST3486</t>
  </si>
  <si>
    <t>CUST3487</t>
  </si>
  <si>
    <t>CUST3488</t>
  </si>
  <si>
    <t>CUST3489</t>
  </si>
  <si>
    <t>CUST3490</t>
  </si>
  <si>
    <t>CUST3491</t>
  </si>
  <si>
    <t>CUST3492</t>
  </si>
  <si>
    <t>CUST3493</t>
  </si>
  <si>
    <t>CUST3494</t>
  </si>
  <si>
    <t>CUST3495</t>
  </si>
  <si>
    <t>CUST3496</t>
  </si>
  <si>
    <t>CUST3497</t>
  </si>
  <si>
    <t>CUST3498</t>
  </si>
  <si>
    <t>CUST3499</t>
  </si>
  <si>
    <t>CUST3500</t>
  </si>
  <si>
    <t>CUST3501</t>
  </si>
  <si>
    <t>CUST3502</t>
  </si>
  <si>
    <t>CUST3503</t>
  </si>
  <si>
    <t>CUST3504</t>
  </si>
  <si>
    <t>CUST3505</t>
  </si>
  <si>
    <t>CUST3506</t>
  </si>
  <si>
    <t>CUST3507</t>
  </si>
  <si>
    <t>CUST3508</t>
  </si>
  <si>
    <t>CUST3509</t>
  </si>
  <si>
    <t>CUST3510</t>
  </si>
  <si>
    <t>CUST3511</t>
  </si>
  <si>
    <t>CUST3512</t>
  </si>
  <si>
    <t>CUST3513</t>
  </si>
  <si>
    <t>CUST3514</t>
  </si>
  <si>
    <t>CUST3516</t>
  </si>
  <si>
    <t>CUST3517</t>
  </si>
  <si>
    <t>CUST3518</t>
  </si>
  <si>
    <t>CUST3519</t>
  </si>
  <si>
    <t>CUST3520</t>
  </si>
  <si>
    <t>CUST3521</t>
  </si>
  <si>
    <t>CUST3522</t>
  </si>
  <si>
    <t>CUST3523</t>
  </si>
  <si>
    <t>CUST3524</t>
  </si>
  <si>
    <t>CUST3525</t>
  </si>
  <si>
    <t>CUST3526</t>
  </si>
  <si>
    <t>CUST3527</t>
  </si>
  <si>
    <t>CUST3528</t>
  </si>
  <si>
    <t>CUST3529</t>
  </si>
  <si>
    <t>CUST3530</t>
  </si>
  <si>
    <t>CUST3531</t>
  </si>
  <si>
    <t>CUST3532</t>
  </si>
  <si>
    <t>CUST3533</t>
  </si>
  <si>
    <t>CUST3534</t>
  </si>
  <si>
    <t>CUST3535</t>
  </si>
  <si>
    <t>CUST3536</t>
  </si>
  <si>
    <t>CUST3537</t>
  </si>
  <si>
    <t>CUST3538</t>
  </si>
  <si>
    <t>CUST3539</t>
  </si>
  <si>
    <t>CUST3540</t>
  </si>
  <si>
    <t>CUST3541</t>
  </si>
  <si>
    <t>CUST3542</t>
  </si>
  <si>
    <t>CUST3543</t>
  </si>
  <si>
    <t>CUST3544</t>
  </si>
  <si>
    <t>CUST3545</t>
  </si>
  <si>
    <t>CUST3546</t>
  </si>
  <si>
    <t>CUST3547</t>
  </si>
  <si>
    <t>CUST3548</t>
  </si>
  <si>
    <t>CUST3549</t>
  </si>
  <si>
    <t>CUST3550</t>
  </si>
  <si>
    <t>CUST3551</t>
  </si>
  <si>
    <t>CUST3552</t>
  </si>
  <si>
    <t>CUST3553</t>
  </si>
  <si>
    <t>CUST3554</t>
  </si>
  <si>
    <t>CUST3555</t>
  </si>
  <si>
    <t>CUST3556</t>
  </si>
  <si>
    <t>CUST3557</t>
  </si>
  <si>
    <t>CUST3558</t>
  </si>
  <si>
    <t>CUST3559</t>
  </si>
  <si>
    <t>CUST3560</t>
  </si>
  <si>
    <t>CUST3561</t>
  </si>
  <si>
    <t>CUST3562</t>
  </si>
  <si>
    <t>CUST3563</t>
  </si>
  <si>
    <t>CUST3564</t>
  </si>
  <si>
    <t>CUST3565</t>
  </si>
  <si>
    <t>CUST3566</t>
  </si>
  <si>
    <t>CUST3567</t>
  </si>
  <si>
    <t>CUST3568</t>
  </si>
  <si>
    <t>CUST3569</t>
  </si>
  <si>
    <t>CUST3570</t>
  </si>
  <si>
    <t>CUST3571</t>
  </si>
  <si>
    <t>CUST3572</t>
  </si>
  <si>
    <t>CUST3573</t>
  </si>
  <si>
    <t>CUST3574</t>
  </si>
  <si>
    <t>CUST3575</t>
  </si>
  <si>
    <t>CUST3576</t>
  </si>
  <si>
    <t>CUST3577</t>
  </si>
  <si>
    <t>CUST3578</t>
  </si>
  <si>
    <t>CUST3579</t>
  </si>
  <si>
    <t>CUST3580</t>
  </si>
  <si>
    <t>CUST3581</t>
  </si>
  <si>
    <t>CUST3582</t>
  </si>
  <si>
    <t>CUST3584</t>
  </si>
  <si>
    <t>CUST3585</t>
  </si>
  <si>
    <t>CUST3586</t>
  </si>
  <si>
    <t>CUST3587</t>
  </si>
  <si>
    <t>CUST3588</t>
  </si>
  <si>
    <t>CUST3589</t>
  </si>
  <si>
    <t>CUST3590</t>
  </si>
  <si>
    <t>CUST3591</t>
  </si>
  <si>
    <t>CUST3592</t>
  </si>
  <si>
    <t>CUST3593</t>
  </si>
  <si>
    <t>CUST3594</t>
  </si>
  <si>
    <t>CUST3595</t>
  </si>
  <si>
    <t>CUST3596</t>
  </si>
  <si>
    <t>CUST3597</t>
  </si>
  <si>
    <t>CUST3598</t>
  </si>
  <si>
    <t>CUST3599</t>
  </si>
  <si>
    <t>CUST3600</t>
  </si>
  <si>
    <t>CUST3601</t>
  </si>
  <si>
    <t>CUST3602</t>
  </si>
  <si>
    <t>CUST3603</t>
  </si>
  <si>
    <t>CUST3605</t>
  </si>
  <si>
    <t>CUST3606</t>
  </si>
  <si>
    <t>CUST3608</t>
  </si>
  <si>
    <t>CUST3609</t>
  </si>
  <si>
    <t>CUST3610</t>
  </si>
  <si>
    <t>CUST3611</t>
  </si>
  <si>
    <t>CUST3612</t>
  </si>
  <si>
    <t>CUST3613</t>
  </si>
  <si>
    <t>CUST3614</t>
  </si>
  <si>
    <t>CUST3616</t>
  </si>
  <si>
    <t>CUST3618</t>
  </si>
  <si>
    <t>CUST3619</t>
  </si>
  <si>
    <t>CUST3620</t>
  </si>
  <si>
    <t>CUST3622</t>
  </si>
  <si>
    <t>CUST3623</t>
  </si>
  <si>
    <t>CUST3624</t>
  </si>
  <si>
    <t>CUST3625</t>
  </si>
  <si>
    <t>CUST3626</t>
  </si>
  <si>
    <t>CUST3627</t>
  </si>
  <si>
    <t>CUST3628</t>
  </si>
  <si>
    <t>CUST3629</t>
  </si>
  <si>
    <t>CUST3630</t>
  </si>
  <si>
    <t>CUST3631</t>
  </si>
  <si>
    <t>CUST3632</t>
  </si>
  <si>
    <t>CUST3633</t>
  </si>
  <si>
    <t>CUST3634</t>
  </si>
  <si>
    <t>CUST3635</t>
  </si>
  <si>
    <t>CUST3636</t>
  </si>
  <si>
    <t>CUST3637</t>
  </si>
  <si>
    <t>CUST3638</t>
  </si>
  <si>
    <t>CUST3639</t>
  </si>
  <si>
    <t>CUST3640</t>
  </si>
  <si>
    <t>CUST3641</t>
  </si>
  <si>
    <t>CUST3642</t>
  </si>
  <si>
    <t>CUST3643</t>
  </si>
  <si>
    <t>CUST3644</t>
  </si>
  <si>
    <t>CUST3645</t>
  </si>
  <si>
    <t>CUST3646</t>
  </si>
  <si>
    <t>CUST3647</t>
  </si>
  <si>
    <t>CUST3648</t>
  </si>
  <si>
    <t>CUST3649</t>
  </si>
  <si>
    <t>CUST3650</t>
  </si>
  <si>
    <t>CUST3651</t>
  </si>
  <si>
    <t>CUST3653</t>
  </si>
  <si>
    <t>CUST3654</t>
  </si>
  <si>
    <t>CUST3655</t>
  </si>
  <si>
    <t>CUST3656</t>
  </si>
  <si>
    <t>CUST3657</t>
  </si>
  <si>
    <t>CUST3658</t>
  </si>
  <si>
    <t>CUST3660</t>
  </si>
  <si>
    <t>CUST3661</t>
  </si>
  <si>
    <t>CUST3662</t>
  </si>
  <si>
    <t>CUST3663</t>
  </si>
  <si>
    <t>CUST3664</t>
  </si>
  <si>
    <t>CUST3665</t>
  </si>
  <si>
    <t>CUST3666</t>
  </si>
  <si>
    <t>CUST3667</t>
  </si>
  <si>
    <t>CUST3668</t>
  </si>
  <si>
    <t>CUST3669</t>
  </si>
  <si>
    <t>CUST3670</t>
  </si>
  <si>
    <t>CUST3671</t>
  </si>
  <si>
    <t>CUST3672</t>
  </si>
  <si>
    <t>CUST3673</t>
  </si>
  <si>
    <t>CUST3674</t>
  </si>
  <si>
    <t>CUST3676</t>
  </si>
  <si>
    <t>CUST3677</t>
  </si>
  <si>
    <t>CUST3678</t>
  </si>
  <si>
    <t>CUST3679</t>
  </si>
  <si>
    <t>CUST3680</t>
  </si>
  <si>
    <t>CUST3681</t>
  </si>
  <si>
    <t>CUST3682</t>
  </si>
  <si>
    <t>CUST3683</t>
  </si>
  <si>
    <t>CUST3684</t>
  </si>
  <si>
    <t>CUST3685</t>
  </si>
  <si>
    <t>CUST3686</t>
  </si>
  <si>
    <t>CUST3687</t>
  </si>
  <si>
    <t>CUST3688</t>
  </si>
  <si>
    <t>CUST3689</t>
  </si>
  <si>
    <t>CUST3690</t>
  </si>
  <si>
    <t>CUST3691</t>
  </si>
  <si>
    <t>CUST3692</t>
  </si>
  <si>
    <t>CUST3693</t>
  </si>
  <si>
    <t>CUST3694</t>
  </si>
  <si>
    <t>CUST3695</t>
  </si>
  <si>
    <t>CUST3696</t>
  </si>
  <si>
    <t>CUST3697</t>
  </si>
  <si>
    <t>CUST3698</t>
  </si>
  <si>
    <t>CUST3699</t>
  </si>
  <si>
    <t>CUST3700</t>
  </si>
  <si>
    <t>CUST3701</t>
  </si>
  <si>
    <t>CUST3702</t>
  </si>
  <si>
    <t>CUST3703</t>
  </si>
  <si>
    <t>CUST3704</t>
  </si>
  <si>
    <t>CUST3705</t>
  </si>
  <si>
    <t>CUST3706</t>
  </si>
  <si>
    <t>CUST3707</t>
  </si>
  <si>
    <t>CUST3708</t>
  </si>
  <si>
    <t>CUST3709</t>
  </si>
  <si>
    <t>CUST3710</t>
  </si>
  <si>
    <t>CUST3711</t>
  </si>
  <si>
    <t>CUST3712</t>
  </si>
  <si>
    <t>CUST3713</t>
  </si>
  <si>
    <t>CUST3714</t>
  </si>
  <si>
    <t>CUST3715</t>
  </si>
  <si>
    <t>CUST3716</t>
  </si>
  <si>
    <t>CUST3717</t>
  </si>
  <si>
    <t>CUST3718</t>
  </si>
  <si>
    <t>CUST3719</t>
  </si>
  <si>
    <t>CUST3720</t>
  </si>
  <si>
    <t>CUST3721</t>
  </si>
  <si>
    <t>CUST3722</t>
  </si>
  <si>
    <t>CUST3723</t>
  </si>
  <si>
    <t>CUST3724</t>
  </si>
  <si>
    <t>CUST3726</t>
  </si>
  <si>
    <t>CUST3727</t>
  </si>
  <si>
    <t>CUST3728</t>
  </si>
  <si>
    <t>CUST3729</t>
  </si>
  <si>
    <t>CUST3730</t>
  </si>
  <si>
    <t>CUST3731</t>
  </si>
  <si>
    <t>CUST3732</t>
  </si>
  <si>
    <t>CUST3733</t>
  </si>
  <si>
    <t>CUST3734</t>
  </si>
  <si>
    <t>CUST3736</t>
  </si>
  <si>
    <t>CUST3737</t>
  </si>
  <si>
    <t>CUST3738</t>
  </si>
  <si>
    <t>CUST3739</t>
  </si>
  <si>
    <t>CUST3740</t>
  </si>
  <si>
    <t>CUST3741</t>
  </si>
  <si>
    <t>CUST3742</t>
  </si>
  <si>
    <t>CUST3743</t>
  </si>
  <si>
    <t>CUST3744</t>
  </si>
  <si>
    <t>CUST3745</t>
  </si>
  <si>
    <t>CUST3746</t>
  </si>
  <si>
    <t>CUST3747</t>
  </si>
  <si>
    <t>CUST3748</t>
  </si>
  <si>
    <t>CUST3749</t>
  </si>
  <si>
    <t>CUST3750</t>
  </si>
  <si>
    <t>CUST3751</t>
  </si>
  <si>
    <t>CUST3752</t>
  </si>
  <si>
    <t>CUST3753</t>
  </si>
  <si>
    <t>CUST3754</t>
  </si>
  <si>
    <t>CUST3755</t>
  </si>
  <si>
    <t>CUST3756</t>
  </si>
  <si>
    <t>CUST3757</t>
  </si>
  <si>
    <t>CUST3758</t>
  </si>
  <si>
    <t>CUST3759</t>
  </si>
  <si>
    <t>CUST3760</t>
  </si>
  <si>
    <t>CUST3761</t>
  </si>
  <si>
    <t>CUST3762</t>
  </si>
  <si>
    <t>CUST3763</t>
  </si>
  <si>
    <t>CUST3764</t>
  </si>
  <si>
    <t>CUST3765</t>
  </si>
  <si>
    <t>CUST3766</t>
  </si>
  <si>
    <t>CUST3767</t>
  </si>
  <si>
    <t>CUST3768</t>
  </si>
  <si>
    <t>CUST3769</t>
  </si>
  <si>
    <t>CUST3770</t>
  </si>
  <si>
    <t>CUST3771</t>
  </si>
  <si>
    <t>CUST3772</t>
  </si>
  <si>
    <t>CUST3773</t>
  </si>
  <si>
    <t>CUST3774</t>
  </si>
  <si>
    <t>CUST3775</t>
  </si>
  <si>
    <t>CUST3776</t>
  </si>
  <si>
    <t>CUST3777</t>
  </si>
  <si>
    <t>CUST3778</t>
  </si>
  <si>
    <t>CUST3779</t>
  </si>
  <si>
    <t>CUST3780</t>
  </si>
  <si>
    <t>CUST3781</t>
  </si>
  <si>
    <t>CUST3782</t>
  </si>
  <si>
    <t>CUST3783</t>
  </si>
  <si>
    <t>CUST3784</t>
  </si>
  <si>
    <t>CUST3785</t>
  </si>
  <si>
    <t>CUST3786</t>
  </si>
  <si>
    <t>CUST3787</t>
  </si>
  <si>
    <t>CUST3788</t>
  </si>
  <si>
    <t>CUST3789</t>
  </si>
  <si>
    <t>CUST3790</t>
  </si>
  <si>
    <t>CUST3791</t>
  </si>
  <si>
    <t>CUST3792</t>
  </si>
  <si>
    <t>CUST3793</t>
  </si>
  <si>
    <t>CUST3794</t>
  </si>
  <si>
    <t>CUST3795</t>
  </si>
  <si>
    <t>CUST3797</t>
  </si>
  <si>
    <t>CUST3798</t>
  </si>
  <si>
    <t>CUST3799</t>
  </si>
  <si>
    <t>CUST3800</t>
  </si>
  <si>
    <t>CUST3801</t>
  </si>
  <si>
    <t>CUST3802</t>
  </si>
  <si>
    <t>CUST3803</t>
  </si>
  <si>
    <t>CUST3804</t>
  </si>
  <si>
    <t>CUST3806</t>
  </si>
  <si>
    <t>CUST3807</t>
  </si>
  <si>
    <t>CUST3808</t>
  </si>
  <si>
    <t>CUST3809</t>
  </si>
  <si>
    <t>CUST3810</t>
  </si>
  <si>
    <t>CUST3811</t>
  </si>
  <si>
    <t>CUST3812</t>
  </si>
  <si>
    <t>CUST3813</t>
  </si>
  <si>
    <t>CUST3814</t>
  </si>
  <si>
    <t>CUST3815</t>
  </si>
  <si>
    <t>CUST3816</t>
  </si>
  <si>
    <t>CUST3817</t>
  </si>
  <si>
    <t>CUST3818</t>
  </si>
  <si>
    <t>CUST3819</t>
  </si>
  <si>
    <t>CUST3820</t>
  </si>
  <si>
    <t>CUST3821</t>
  </si>
  <si>
    <t>CUST3822</t>
  </si>
  <si>
    <t>CUST3823</t>
  </si>
  <si>
    <t>CUST3824</t>
  </si>
  <si>
    <t>CUST3825</t>
  </si>
  <si>
    <t>CUST3826</t>
  </si>
  <si>
    <t>CUST3827</t>
  </si>
  <si>
    <t>CUST3828</t>
  </si>
  <si>
    <t>CUST3829</t>
  </si>
  <si>
    <t>CUST3830</t>
  </si>
  <si>
    <t>CUST3831</t>
  </si>
  <si>
    <t>CUST3832</t>
  </si>
  <si>
    <t>CUST3833</t>
  </si>
  <si>
    <t>CUST3834</t>
  </si>
  <si>
    <t>CUST3835</t>
  </si>
  <si>
    <t>CUST3836</t>
  </si>
  <si>
    <t>CUST3837</t>
  </si>
  <si>
    <t>CUST3838</t>
  </si>
  <si>
    <t>CUST3839</t>
  </si>
  <si>
    <t>CUST3840</t>
  </si>
  <si>
    <t>CUST3841</t>
  </si>
  <si>
    <t>CUST3843</t>
  </si>
  <si>
    <t>CUST3844</t>
  </si>
  <si>
    <t>CUST3845</t>
  </si>
  <si>
    <t>CUST3846</t>
  </si>
  <si>
    <t>CUST3847</t>
  </si>
  <si>
    <t>CUST3848</t>
  </si>
  <si>
    <t>CUST3849</t>
  </si>
  <si>
    <t>CUST3850</t>
  </si>
  <si>
    <t>CUST3851</t>
  </si>
  <si>
    <t>CUST3852</t>
  </si>
  <si>
    <t>CUST3853</t>
  </si>
  <si>
    <t>CUST3854</t>
  </si>
  <si>
    <t>CUST3855</t>
  </si>
  <si>
    <t>CUST3856</t>
  </si>
  <si>
    <t>CUST3857</t>
  </si>
  <si>
    <t>CUST3858</t>
  </si>
  <si>
    <t>CUST3859</t>
  </si>
  <si>
    <t>CUST3860</t>
  </si>
  <si>
    <t>CUST3861</t>
  </si>
  <si>
    <t>CUST3862</t>
  </si>
  <si>
    <t>CUST3863</t>
  </si>
  <si>
    <t>CUST3864</t>
  </si>
  <si>
    <t>CUST3865</t>
  </si>
  <si>
    <t>CUST3866</t>
  </si>
  <si>
    <t>CUST3867</t>
  </si>
  <si>
    <t>CUST3868</t>
  </si>
  <si>
    <t>CUST3869</t>
  </si>
  <si>
    <t>CUST3870</t>
  </si>
  <si>
    <t>CUST3871</t>
  </si>
  <si>
    <t>CUST3872</t>
  </si>
  <si>
    <t>CUST3873</t>
  </si>
  <si>
    <t>CUST3874</t>
  </si>
  <si>
    <t>CUST3875</t>
  </si>
  <si>
    <t>CUST3876</t>
  </si>
  <si>
    <t>CUST3877</t>
  </si>
  <si>
    <t>CUST3878</t>
  </si>
  <si>
    <t>CUST3879</t>
  </si>
  <si>
    <t>CUST3880</t>
  </si>
  <si>
    <t>CUST3881</t>
  </si>
  <si>
    <t>CUST3882</t>
  </si>
  <si>
    <t>CUST3883</t>
  </si>
  <si>
    <t>CUST3884</t>
  </si>
  <si>
    <t>CUST3885</t>
  </si>
  <si>
    <t>CUST3886</t>
  </si>
  <si>
    <t>CUST3887</t>
  </si>
  <si>
    <t>CUST3888</t>
  </si>
  <si>
    <t>CUST3889</t>
  </si>
  <si>
    <t>CUST3890</t>
  </si>
  <si>
    <t>CUST3891</t>
  </si>
  <si>
    <t>CUST3892</t>
  </si>
  <si>
    <t>CUST3893</t>
  </si>
  <si>
    <t>CUST3895</t>
  </si>
  <si>
    <t>CUST3896</t>
  </si>
  <si>
    <t>CUST3897</t>
  </si>
  <si>
    <t>CUST3898</t>
  </si>
  <si>
    <t>CUST3899</t>
  </si>
  <si>
    <t>CUST3901</t>
  </si>
  <si>
    <t>CUST3902</t>
  </si>
  <si>
    <t>CUST3903</t>
  </si>
  <si>
    <t>CUST3904</t>
  </si>
  <si>
    <t>CUST3905</t>
  </si>
  <si>
    <t>CUST3906</t>
  </si>
  <si>
    <t>CUST3907</t>
  </si>
  <si>
    <t>CUST3908</t>
  </si>
  <si>
    <t>CUST3909</t>
  </si>
  <si>
    <t>CUST3910</t>
  </si>
  <si>
    <t>CUST3911</t>
  </si>
  <si>
    <t>CUST3912</t>
  </si>
  <si>
    <t>CUST3913</t>
  </si>
  <si>
    <t>CUST3914</t>
  </si>
  <si>
    <t>CUST3915</t>
  </si>
  <si>
    <t>CUST3916</t>
  </si>
  <si>
    <t>CUST3917</t>
  </si>
  <si>
    <t>CUST3918</t>
  </si>
  <si>
    <t>CUST3919</t>
  </si>
  <si>
    <t>CUST3920</t>
  </si>
  <si>
    <t>CUST3921</t>
  </si>
  <si>
    <t>CUST3922</t>
  </si>
  <si>
    <t>CUST3923</t>
  </si>
  <si>
    <t>CUST3924</t>
  </si>
  <si>
    <t>CUST3925</t>
  </si>
  <si>
    <t>CUST3926</t>
  </si>
  <si>
    <t>CUST3927</t>
  </si>
  <si>
    <t>CUST3928</t>
  </si>
  <si>
    <t>CUST3929</t>
  </si>
  <si>
    <t>CUST3930</t>
  </si>
  <si>
    <t>CUST3931</t>
  </si>
  <si>
    <t>CUST3932</t>
  </si>
  <si>
    <t>CUST3933</t>
  </si>
  <si>
    <t>CUST3934</t>
  </si>
  <si>
    <t>CUST3935</t>
  </si>
  <si>
    <t>CUST3936</t>
  </si>
  <si>
    <t>CUST3937</t>
  </si>
  <si>
    <t>CUST3939</t>
  </si>
  <si>
    <t>CUST3940</t>
  </si>
  <si>
    <t>CUST3941</t>
  </si>
  <si>
    <t>CUST3942</t>
  </si>
  <si>
    <t>CUST3943</t>
  </si>
  <si>
    <t>CUST3944</t>
  </si>
  <si>
    <t>CUST3945</t>
  </si>
  <si>
    <t>CUST3946</t>
  </si>
  <si>
    <t>CUST3947</t>
  </si>
  <si>
    <t>CUST3948</t>
  </si>
  <si>
    <t>CUST3949</t>
  </si>
  <si>
    <t>CUST3950</t>
  </si>
  <si>
    <t>CUST3951</t>
  </si>
  <si>
    <t>CUST3952</t>
  </si>
  <si>
    <t>CUST3953</t>
  </si>
  <si>
    <t>CUST3954</t>
  </si>
  <si>
    <t>CUST3955</t>
  </si>
  <si>
    <t>CUST3956</t>
  </si>
  <si>
    <t>CUST3957</t>
  </si>
  <si>
    <t>CUST3958</t>
  </si>
  <si>
    <t>CUST3959</t>
  </si>
  <si>
    <t>CUST3960</t>
  </si>
  <si>
    <t>CUST3961</t>
  </si>
  <si>
    <t>CUST3963</t>
  </si>
  <si>
    <t>CUST3964</t>
  </si>
  <si>
    <t>CUST3965</t>
  </si>
  <si>
    <t>CUST3966</t>
  </si>
  <si>
    <t>CUST3967</t>
  </si>
  <si>
    <t>CUST3968</t>
  </si>
  <si>
    <t>CUST3969</t>
  </si>
  <si>
    <t>CUST3970</t>
  </si>
  <si>
    <t>CUST3971</t>
  </si>
  <si>
    <t>CUST3972</t>
  </si>
  <si>
    <t>CUST3973</t>
  </si>
  <si>
    <t>CUST3974</t>
  </si>
  <si>
    <t>CUST3975</t>
  </si>
  <si>
    <t>CUST3976</t>
  </si>
  <si>
    <t>CUST3977</t>
  </si>
  <si>
    <t>CUST3978</t>
  </si>
  <si>
    <t>CUST3979</t>
  </si>
  <si>
    <t>CUST3980</t>
  </si>
  <si>
    <t>CUST3981</t>
  </si>
  <si>
    <t>CUST3982</t>
  </si>
  <si>
    <t>CUST3983</t>
  </si>
  <si>
    <t>CUST3984</t>
  </si>
  <si>
    <t>CUST3985</t>
  </si>
  <si>
    <t>CUST3986</t>
  </si>
  <si>
    <t>CUST3987</t>
  </si>
  <si>
    <t>CUST3988</t>
  </si>
  <si>
    <t>CUST3989</t>
  </si>
  <si>
    <t>CUST3990</t>
  </si>
  <si>
    <t>CUST3991</t>
  </si>
  <si>
    <t>CUST3992</t>
  </si>
  <si>
    <t>CUST3993</t>
  </si>
  <si>
    <t>CUST3994</t>
  </si>
  <si>
    <t>CUST3995</t>
  </si>
  <si>
    <t>CUST3996</t>
  </si>
  <si>
    <t>CUST3997</t>
  </si>
  <si>
    <t>CUST3998</t>
  </si>
  <si>
    <t>CUST3999</t>
  </si>
  <si>
    <t>CUST4000</t>
  </si>
  <si>
    <t>CUST4001</t>
  </si>
  <si>
    <t>CUST4002</t>
  </si>
  <si>
    <t>CUST4003</t>
  </si>
  <si>
    <t>CUST4004</t>
  </si>
  <si>
    <t>CUST4005</t>
  </si>
  <si>
    <t>CUST4007</t>
  </si>
  <si>
    <t>CUST4008</t>
  </si>
  <si>
    <t>CUST4009</t>
  </si>
  <si>
    <t>CUST4010</t>
  </si>
  <si>
    <t>CUST4011</t>
  </si>
  <si>
    <t>CUST4012</t>
  </si>
  <si>
    <t>CUST4013</t>
  </si>
  <si>
    <t>CUST4014</t>
  </si>
  <si>
    <t>CUST4015</t>
  </si>
  <si>
    <t>CUST4016</t>
  </si>
  <si>
    <t>CUST4019</t>
  </si>
  <si>
    <t>CUST4020</t>
  </si>
  <si>
    <t>CUST4021</t>
  </si>
  <si>
    <t>CUST4022</t>
  </si>
  <si>
    <t>CUST4023</t>
  </si>
  <si>
    <t>CUST4024</t>
  </si>
  <si>
    <t>CUST4025</t>
  </si>
  <si>
    <t>CUST4026</t>
  </si>
  <si>
    <t>CUST4027</t>
  </si>
  <si>
    <t>CUST4028</t>
  </si>
  <si>
    <t>CUST4029</t>
  </si>
  <si>
    <t>CUST4030</t>
  </si>
  <si>
    <t>CUST4031</t>
  </si>
  <si>
    <t>CUST4032</t>
  </si>
  <si>
    <t>CUST4033</t>
  </si>
  <si>
    <t>CUST4034</t>
  </si>
  <si>
    <t>CUST4035</t>
  </si>
  <si>
    <t>CUST4036</t>
  </si>
  <si>
    <t>CUST4037</t>
  </si>
  <si>
    <t>CUST4038</t>
  </si>
  <si>
    <t>CUST4039</t>
  </si>
  <si>
    <t>CUST4040</t>
  </si>
  <si>
    <t>CUST4041</t>
  </si>
  <si>
    <t>CUST4042</t>
  </si>
  <si>
    <t>CUST4043</t>
  </si>
  <si>
    <t>CUST4044</t>
  </si>
  <si>
    <t>CUST4046</t>
  </si>
  <si>
    <t>CUST4047</t>
  </si>
  <si>
    <t>CUST4048</t>
  </si>
  <si>
    <t>CUST4049</t>
  </si>
  <si>
    <t>CUST4050</t>
  </si>
  <si>
    <t>CUST4051</t>
  </si>
  <si>
    <t>CUST4052</t>
  </si>
  <si>
    <t>CUST4053</t>
  </si>
  <si>
    <t>CUST4054</t>
  </si>
  <si>
    <t>CUST4055</t>
  </si>
  <si>
    <t>CUST4056</t>
  </si>
  <si>
    <t>CUST4057</t>
  </si>
  <si>
    <t>CUST4058</t>
  </si>
  <si>
    <t>CUST4059</t>
  </si>
  <si>
    <t>CUST4060</t>
  </si>
  <si>
    <t>CUST4061</t>
  </si>
  <si>
    <t>CUST4062</t>
  </si>
  <si>
    <t>CUST4063</t>
  </si>
  <si>
    <t>CUST4064</t>
  </si>
  <si>
    <t>CUST4065</t>
  </si>
  <si>
    <t>CUST4066</t>
  </si>
  <si>
    <t>CUST4067</t>
  </si>
  <si>
    <t>CUST4068</t>
  </si>
  <si>
    <t>CUST4069</t>
  </si>
  <si>
    <t>CUST4070</t>
  </si>
  <si>
    <t>CUST4071</t>
  </si>
  <si>
    <t>CUST4072</t>
  </si>
  <si>
    <t>CUST4073</t>
  </si>
  <si>
    <t>CUST4074</t>
  </si>
  <si>
    <t>CUST4075</t>
  </si>
  <si>
    <t>CUST4076</t>
  </si>
  <si>
    <t>CUST4077</t>
  </si>
  <si>
    <t>CUST4078</t>
  </si>
  <si>
    <t>CUST4079</t>
  </si>
  <si>
    <t>CUST4080</t>
  </si>
  <si>
    <t>CUST4081</t>
  </si>
  <si>
    <t>CUST4082</t>
  </si>
  <si>
    <t>CUST4083</t>
  </si>
  <si>
    <t>CUST4084</t>
  </si>
  <si>
    <t>CUST4085</t>
  </si>
  <si>
    <t>CUST4086</t>
  </si>
  <si>
    <t>CUST4087</t>
  </si>
  <si>
    <t>CUST4088</t>
  </si>
  <si>
    <t>CUST4089</t>
  </si>
  <si>
    <t>CUST4090</t>
  </si>
  <si>
    <t>CUST4091</t>
  </si>
  <si>
    <t>CUST4092</t>
  </si>
  <si>
    <t>CUST4093</t>
  </si>
  <si>
    <t>CUST4094</t>
  </si>
  <si>
    <t>CUST4095</t>
  </si>
  <si>
    <t>CUST4096</t>
  </si>
  <si>
    <t>CUST4097</t>
  </si>
  <si>
    <t>CUST4098</t>
  </si>
  <si>
    <t>CUST4099</t>
  </si>
  <si>
    <t>CUST4100</t>
  </si>
  <si>
    <t>CUST4101</t>
  </si>
  <si>
    <t>CUST4102</t>
  </si>
  <si>
    <t>CUST4103</t>
  </si>
  <si>
    <t>CUST4106</t>
  </si>
  <si>
    <t>CUST4107</t>
  </si>
  <si>
    <t>CUST4108</t>
  </si>
  <si>
    <t>CUST4109</t>
  </si>
  <si>
    <t>CUST4110</t>
  </si>
  <si>
    <t>CUST4111</t>
  </si>
  <si>
    <t>CUST4112</t>
  </si>
  <si>
    <t>CUST4113</t>
  </si>
  <si>
    <t>CUST4114</t>
  </si>
  <si>
    <t>CUST4115</t>
  </si>
  <si>
    <t>CUST4116</t>
  </si>
  <si>
    <t>CUST4118</t>
  </si>
  <si>
    <t>CUST4119</t>
  </si>
  <si>
    <t>CUST4120</t>
  </si>
  <si>
    <t>CUST4121</t>
  </si>
  <si>
    <t>CUST4122</t>
  </si>
  <si>
    <t>CUST4124</t>
  </si>
  <si>
    <t>CUST4125</t>
  </si>
  <si>
    <t>CUST4126</t>
  </si>
  <si>
    <t>CUST4127</t>
  </si>
  <si>
    <t>CUST4128</t>
  </si>
  <si>
    <t>CUST4129</t>
  </si>
  <si>
    <t>CUST4130</t>
  </si>
  <si>
    <t>CUST4131</t>
  </si>
  <si>
    <t>CUST4132</t>
  </si>
  <si>
    <t>CUST4133</t>
  </si>
  <si>
    <t>CUST4134</t>
  </si>
  <si>
    <t>CUST4135</t>
  </si>
  <si>
    <t>CUST4136</t>
  </si>
  <si>
    <t>CUST4137</t>
  </si>
  <si>
    <t>CUST4138</t>
  </si>
  <si>
    <t>CUST4139</t>
  </si>
  <si>
    <t>CUST4140</t>
  </si>
  <si>
    <t>CUST4141</t>
  </si>
  <si>
    <t>CUST4142</t>
  </si>
  <si>
    <t>CUST4143</t>
  </si>
  <si>
    <t>CUST4144</t>
  </si>
  <si>
    <t>CUST4145</t>
  </si>
  <si>
    <t>CUST4146</t>
  </si>
  <si>
    <t>CUST4147</t>
  </si>
  <si>
    <t>CUST4148</t>
  </si>
  <si>
    <t>CUST4149</t>
  </si>
  <si>
    <t>CUST4150</t>
  </si>
  <si>
    <t>CUST4151</t>
  </si>
  <si>
    <t>CUST4152</t>
  </si>
  <si>
    <t>CUST4153</t>
  </si>
  <si>
    <t>CUST4154</t>
  </si>
  <si>
    <t>CUST4155</t>
  </si>
  <si>
    <t>CUST4156</t>
  </si>
  <si>
    <t>CUST4157</t>
  </si>
  <si>
    <t>CUST4158</t>
  </si>
  <si>
    <t>CUST4159</t>
  </si>
  <si>
    <t>CUST4160</t>
  </si>
  <si>
    <t>CUST4161</t>
  </si>
  <si>
    <t>CUST4162</t>
  </si>
  <si>
    <t>CUST4163</t>
  </si>
  <si>
    <t>CUST4164</t>
  </si>
  <si>
    <t>CUST4165</t>
  </si>
  <si>
    <t>CUST4166</t>
  </si>
  <si>
    <t>CUST4167</t>
  </si>
  <si>
    <t>CUST4168</t>
  </si>
  <si>
    <t>CUST4169</t>
  </si>
  <si>
    <t>CUST4170</t>
  </si>
  <si>
    <t>CUST4171</t>
  </si>
  <si>
    <t>CUST4172</t>
  </si>
  <si>
    <t>CUST4173</t>
  </si>
  <si>
    <t>CUST4176</t>
  </si>
  <si>
    <t>CUST4177</t>
  </si>
  <si>
    <t>CUST4178</t>
  </si>
  <si>
    <t>CUST4179</t>
  </si>
  <si>
    <t>CUST4180</t>
  </si>
  <si>
    <t>CUST4181</t>
  </si>
  <si>
    <t>CUST4182</t>
  </si>
  <si>
    <t>CUST4183</t>
  </si>
  <si>
    <t>CUST4184</t>
  </si>
  <si>
    <t>CUST4185</t>
  </si>
  <si>
    <t>CUST4186</t>
  </si>
  <si>
    <t>CUST4187</t>
  </si>
  <si>
    <t>CUST4188</t>
  </si>
  <si>
    <t>CUST4189</t>
  </si>
  <si>
    <t>CUST4190</t>
  </si>
  <si>
    <t>CUST4192</t>
  </si>
  <si>
    <t>CUST4193</t>
  </si>
  <si>
    <t>CUST4194</t>
  </si>
  <si>
    <t>CUST4195</t>
  </si>
  <si>
    <t>CUST4196</t>
  </si>
  <si>
    <t>CUST4197</t>
  </si>
  <si>
    <t>CUST4198</t>
  </si>
  <si>
    <t>CUST4199</t>
  </si>
  <si>
    <t>CUST4200</t>
  </si>
  <si>
    <t>CUST4201</t>
  </si>
  <si>
    <t>CUST4202</t>
  </si>
  <si>
    <t>CUST4203</t>
  </si>
  <si>
    <t>CUST4205</t>
  </si>
  <si>
    <t>CUST4206</t>
  </si>
  <si>
    <t>CUST4207</t>
  </si>
  <si>
    <t>CUST4209</t>
  </si>
  <si>
    <t>CUST4210</t>
  </si>
  <si>
    <t>CUST4211</t>
  </si>
  <si>
    <t>CUST4212</t>
  </si>
  <si>
    <t>CUST4213</t>
  </si>
  <si>
    <t>CUST4214</t>
  </si>
  <si>
    <t>CUST4215</t>
  </si>
  <si>
    <t>CUST4216</t>
  </si>
  <si>
    <t>CUST4217</t>
  </si>
  <si>
    <t>CUST4218</t>
  </si>
  <si>
    <t>CUST4219</t>
  </si>
  <si>
    <t>CUST4220</t>
  </si>
  <si>
    <t>CUST4221</t>
  </si>
  <si>
    <t>CUST4222</t>
  </si>
  <si>
    <t>CUST4223</t>
  </si>
  <si>
    <t>CUST4224</t>
  </si>
  <si>
    <t>CUST4225</t>
  </si>
  <si>
    <t>CUST4226</t>
  </si>
  <si>
    <t>CUST4227</t>
  </si>
  <si>
    <t>CUST4229</t>
  </si>
  <si>
    <t>CUST4230</t>
  </si>
  <si>
    <t>CUST4231</t>
  </si>
  <si>
    <t>CUST4232</t>
  </si>
  <si>
    <t>CUST4233</t>
  </si>
  <si>
    <t>CUST4234</t>
  </si>
  <si>
    <t>CUST4235</t>
  </si>
  <si>
    <t>CUST4236</t>
  </si>
  <si>
    <t>CUST4237</t>
  </si>
  <si>
    <t>CUST4238</t>
  </si>
  <si>
    <t>CUST4239</t>
  </si>
  <si>
    <t>CUST4240</t>
  </si>
  <si>
    <t>CUST4241</t>
  </si>
  <si>
    <t>CUST4242</t>
  </si>
  <si>
    <t>CUST4243</t>
  </si>
  <si>
    <t>CUST4244</t>
  </si>
  <si>
    <t>CUST4245</t>
  </si>
  <si>
    <t>CUST4246</t>
  </si>
  <si>
    <t>CUST4247</t>
  </si>
  <si>
    <t>CUST4248</t>
  </si>
  <si>
    <t>CUST4249</t>
  </si>
  <si>
    <t>CUST4250</t>
  </si>
  <si>
    <t>CUST4251</t>
  </si>
  <si>
    <t>CUST4252</t>
  </si>
  <si>
    <t>CUST4253</t>
  </si>
  <si>
    <t>CUST4254</t>
  </si>
  <si>
    <t>CUST4255</t>
  </si>
  <si>
    <t>CUST4256</t>
  </si>
  <si>
    <t>CUST4257</t>
  </si>
  <si>
    <t>CUST4258</t>
  </si>
  <si>
    <t>CUST4259</t>
  </si>
  <si>
    <t>CUST4260</t>
  </si>
  <si>
    <t>CUST4261</t>
  </si>
  <si>
    <t>CUST4262</t>
  </si>
  <si>
    <t>CUST4263</t>
  </si>
  <si>
    <t>CUST4264</t>
  </si>
  <si>
    <t>CUST4265</t>
  </si>
  <si>
    <t>CUST4266</t>
  </si>
  <si>
    <t>CUST4267</t>
  </si>
  <si>
    <t>CUST4268</t>
  </si>
  <si>
    <t>CUST4269</t>
  </si>
  <si>
    <t>CUST4270</t>
  </si>
  <si>
    <t>CUST4271</t>
  </si>
  <si>
    <t>CUST4272</t>
  </si>
  <si>
    <t>CUST4273</t>
  </si>
  <si>
    <t>CUST4274</t>
  </si>
  <si>
    <t>CUST4275</t>
  </si>
  <si>
    <t>CUST4276</t>
  </si>
  <si>
    <t>CUST4277</t>
  </si>
  <si>
    <t>CUST4278</t>
  </si>
  <si>
    <t>CUST4279</t>
  </si>
  <si>
    <t>CUST4280</t>
  </si>
  <si>
    <t>CUST4281</t>
  </si>
  <si>
    <t>CUST4282</t>
  </si>
  <si>
    <t>CUST4283</t>
  </si>
  <si>
    <t>CUST4284</t>
  </si>
  <si>
    <t>CUST4285</t>
  </si>
  <si>
    <t>CUST4286</t>
  </si>
  <si>
    <t>CUST4287</t>
  </si>
  <si>
    <t>CUST4288</t>
  </si>
  <si>
    <t>CUST4289</t>
  </si>
  <si>
    <t>CUST4290</t>
  </si>
  <si>
    <t>CUST4291</t>
  </si>
  <si>
    <t>CUST4292</t>
  </si>
  <si>
    <t>CUST4293</t>
  </si>
  <si>
    <t>CUST4294</t>
  </si>
  <si>
    <t>CUST4295</t>
  </si>
  <si>
    <t>CUST4296</t>
  </si>
  <si>
    <t>CUST4297</t>
  </si>
  <si>
    <t>CUST4298</t>
  </si>
  <si>
    <t>CUST4299</t>
  </si>
  <si>
    <t>CUST4300</t>
  </si>
  <si>
    <t>CUST4301</t>
  </si>
  <si>
    <t>CUST4302</t>
  </si>
  <si>
    <t>CUST4303</t>
  </si>
  <si>
    <t>CUST4304</t>
  </si>
  <si>
    <t>CUST4306</t>
  </si>
  <si>
    <t>CUST4307</t>
  </si>
  <si>
    <t>CUST4308</t>
  </si>
  <si>
    <t>CUST4309</t>
  </si>
  <si>
    <t>CUST4310</t>
  </si>
  <si>
    <t>CUST4311</t>
  </si>
  <si>
    <t>CUST4312</t>
  </si>
  <si>
    <t>CUST4313</t>
  </si>
  <si>
    <t>CUST4314</t>
  </si>
  <si>
    <t>CUST4315</t>
  </si>
  <si>
    <t>CUST4316</t>
  </si>
  <si>
    <t>CUST4317</t>
  </si>
  <si>
    <t>CUST4318</t>
  </si>
  <si>
    <t>CUST4319</t>
  </si>
  <si>
    <t>CUST4320</t>
  </si>
  <si>
    <t>CUST4321</t>
  </si>
  <si>
    <t>CUST4322</t>
  </si>
  <si>
    <t>CUST4323</t>
  </si>
  <si>
    <t>CUST4324</t>
  </si>
  <si>
    <t>CUST4325</t>
  </si>
  <si>
    <t>CUST4326</t>
  </si>
  <si>
    <t>CUST4327</t>
  </si>
  <si>
    <t>CUST4328</t>
  </si>
  <si>
    <t>CUST4329</t>
  </si>
  <si>
    <t>CUST4330</t>
  </si>
  <si>
    <t>CUST4331</t>
  </si>
  <si>
    <t>CUST4332</t>
  </si>
  <si>
    <t>CUST4333</t>
  </si>
  <si>
    <t>CUST4334</t>
  </si>
  <si>
    <t>CUST4335</t>
  </si>
  <si>
    <t>CUST4336</t>
  </si>
  <si>
    <t>CUST4337</t>
  </si>
  <si>
    <t>CUST4338</t>
  </si>
  <si>
    <t>CUST4340</t>
  </si>
  <si>
    <t>CUST4341</t>
  </si>
  <si>
    <t>CUST4342</t>
  </si>
  <si>
    <t>CUST4343</t>
  </si>
  <si>
    <t>CUST4344</t>
  </si>
  <si>
    <t>CUST4345</t>
  </si>
  <si>
    <t>CUST4346</t>
  </si>
  <si>
    <t>CUST4347</t>
  </si>
  <si>
    <t>CUST4348</t>
  </si>
  <si>
    <t>CUST4349</t>
  </si>
  <si>
    <t>CUST4350</t>
  </si>
  <si>
    <t>CUST4351</t>
  </si>
  <si>
    <t>CUST4352</t>
  </si>
  <si>
    <t>CUST4353</t>
  </si>
  <si>
    <t>CUST4354</t>
  </si>
  <si>
    <t>CUST4356</t>
  </si>
  <si>
    <t>CUST4357</t>
  </si>
  <si>
    <t>CUST4359</t>
  </si>
  <si>
    <t>CUST4360</t>
  </si>
  <si>
    <t>CUST4361</t>
  </si>
  <si>
    <t>CUST4362</t>
  </si>
  <si>
    <t>CUST4363</t>
  </si>
  <si>
    <t>CUST4364</t>
  </si>
  <si>
    <t>CUST4365</t>
  </si>
  <si>
    <t>CUST4366</t>
  </si>
  <si>
    <t>CUST4367</t>
  </si>
  <si>
    <t>CUST4368</t>
  </si>
  <si>
    <t>CUST4369</t>
  </si>
  <si>
    <t>CUST4370</t>
  </si>
  <si>
    <t>CUST4371</t>
  </si>
  <si>
    <t>CUST4372</t>
  </si>
  <si>
    <t>CUST4373</t>
  </si>
  <si>
    <t>CUST4374</t>
  </si>
  <si>
    <t>CUST4375</t>
  </si>
  <si>
    <t>CUST4376</t>
  </si>
  <si>
    <t>CUST4377</t>
  </si>
  <si>
    <t>CUST4378</t>
  </si>
  <si>
    <t>CUST4379</t>
  </si>
  <si>
    <t>CUST4380</t>
  </si>
  <si>
    <t>CUST4381</t>
  </si>
  <si>
    <t>CUST4382</t>
  </si>
  <si>
    <t>CUST4383</t>
  </si>
  <si>
    <t>CUST4384</t>
  </si>
  <si>
    <t>CUST4385</t>
  </si>
  <si>
    <t>CUST4386</t>
  </si>
  <si>
    <t>CUST4387</t>
  </si>
  <si>
    <t>CUST4388</t>
  </si>
  <si>
    <t>CUST4389</t>
  </si>
  <si>
    <t>CUST4390</t>
  </si>
  <si>
    <t>CUST4391</t>
  </si>
  <si>
    <t>CUST4392</t>
  </si>
  <si>
    <t>CUST4394</t>
  </si>
  <si>
    <t>CUST4395</t>
  </si>
  <si>
    <t>CUST4396</t>
  </si>
  <si>
    <t>CUST4397</t>
  </si>
  <si>
    <t>CUST4398</t>
  </si>
  <si>
    <t>CUST4399</t>
  </si>
  <si>
    <t>CUST4400</t>
  </si>
  <si>
    <t>CUST4401</t>
  </si>
  <si>
    <t>CUST4402</t>
  </si>
  <si>
    <t>CUST4403</t>
  </si>
  <si>
    <t>CUST4404</t>
  </si>
  <si>
    <t>CUST4405</t>
  </si>
  <si>
    <t>CUST4406</t>
  </si>
  <si>
    <t>CUST4407</t>
  </si>
  <si>
    <t>CUST4408</t>
  </si>
  <si>
    <t>CUST4409</t>
  </si>
  <si>
    <t>CUST4410</t>
  </si>
  <si>
    <t>CUST4411</t>
  </si>
  <si>
    <t>CUST4412</t>
  </si>
  <si>
    <t>CUST4413</t>
  </si>
  <si>
    <t>CUST4414</t>
  </si>
  <si>
    <t>CUST4415</t>
  </si>
  <si>
    <t>CUST4416</t>
  </si>
  <si>
    <t>CUST4417</t>
  </si>
  <si>
    <t>CUST4418</t>
  </si>
  <si>
    <t>CUST4419</t>
  </si>
  <si>
    <t>CUST4420</t>
  </si>
  <si>
    <t>CUST4421</t>
  </si>
  <si>
    <t>CUST4422</t>
  </si>
  <si>
    <t>CUST4423</t>
  </si>
  <si>
    <t>CUST4424</t>
  </si>
  <si>
    <t>CUST4425</t>
  </si>
  <si>
    <t>CUST4426</t>
  </si>
  <si>
    <t>CUST4427</t>
  </si>
  <si>
    <t>CUST4428</t>
  </si>
  <si>
    <t>CUST4429</t>
  </si>
  <si>
    <t>CUST4430</t>
  </si>
  <si>
    <t>CUST4431</t>
  </si>
  <si>
    <t>CUST4432</t>
  </si>
  <si>
    <t>CUST4433</t>
  </si>
  <si>
    <t>CUST4434</t>
  </si>
  <si>
    <t>CUST4435</t>
  </si>
  <si>
    <t>CUST4436</t>
  </si>
  <si>
    <t>CUST4437</t>
  </si>
  <si>
    <t>CUST4438</t>
  </si>
  <si>
    <t>CUST4439</t>
  </si>
  <si>
    <t>CUST4440</t>
  </si>
  <si>
    <t>CUST4441</t>
  </si>
  <si>
    <t>CUST4442</t>
  </si>
  <si>
    <t>CUST4443</t>
  </si>
  <si>
    <t>CUST4444</t>
  </si>
  <si>
    <t>CUST4445</t>
  </si>
  <si>
    <t>CUST4446</t>
  </si>
  <si>
    <t>CUST4447</t>
  </si>
  <si>
    <t>CUST4448</t>
  </si>
  <si>
    <t>CUST4449</t>
  </si>
  <si>
    <t>CUST4450</t>
  </si>
  <si>
    <t>CUST4451</t>
  </si>
  <si>
    <t>CUST4452</t>
  </si>
  <si>
    <t>CUST4453</t>
  </si>
  <si>
    <t>CUST4454</t>
  </si>
  <si>
    <t>CUST4456</t>
  </si>
  <si>
    <t>CUST4457</t>
  </si>
  <si>
    <t>CUST4458</t>
  </si>
  <si>
    <t>CUST4459</t>
  </si>
  <si>
    <t>CUST4460</t>
  </si>
  <si>
    <t>CUST4461</t>
  </si>
  <si>
    <t>CUST4462</t>
  </si>
  <si>
    <t>CUST4463</t>
  </si>
  <si>
    <t>CUST4464</t>
  </si>
  <si>
    <t>CUST4465</t>
  </si>
  <si>
    <t>CUST4466</t>
  </si>
  <si>
    <t>CUST4467</t>
  </si>
  <si>
    <t>CUST4468</t>
  </si>
  <si>
    <t>CUST4469</t>
  </si>
  <si>
    <t>CUST4470</t>
  </si>
  <si>
    <t>CUST4471</t>
  </si>
  <si>
    <t>CUST4472</t>
  </si>
  <si>
    <t>CUST4473</t>
  </si>
  <si>
    <t>CUST4474</t>
  </si>
  <si>
    <t>CUST4475</t>
  </si>
  <si>
    <t>CUST4476</t>
  </si>
  <si>
    <t>CUST4477</t>
  </si>
  <si>
    <t>CUST4478</t>
  </si>
  <si>
    <t>CUST4479</t>
  </si>
  <si>
    <t>CUST4480</t>
  </si>
  <si>
    <t>CUST4481</t>
  </si>
  <si>
    <t>CUST4482</t>
  </si>
  <si>
    <t>CUST4483</t>
  </si>
  <si>
    <t>CUST4484</t>
  </si>
  <si>
    <t>CUST4485</t>
  </si>
  <si>
    <t>CUST4486</t>
  </si>
  <si>
    <t>CUST4487</t>
  </si>
  <si>
    <t>CUST4488</t>
  </si>
  <si>
    <t>CUST4489</t>
  </si>
  <si>
    <t>CUST4491</t>
  </si>
  <si>
    <t>CUST4492</t>
  </si>
  <si>
    <t>CUST4493</t>
  </si>
  <si>
    <t>CUST4494</t>
  </si>
  <si>
    <t>CUST4495</t>
  </si>
  <si>
    <t>CUST4496</t>
  </si>
  <si>
    <t>CUST4497</t>
  </si>
  <si>
    <t>CUST4498</t>
  </si>
  <si>
    <t>CUST4499</t>
  </si>
  <si>
    <t>CUST4500</t>
  </si>
  <si>
    <t>CUST4501</t>
  </si>
  <si>
    <t>CUST4502</t>
  </si>
  <si>
    <t>CUST4503</t>
  </si>
  <si>
    <t>CUST4504</t>
  </si>
  <si>
    <t>CUST4505</t>
  </si>
  <si>
    <t>CUST4506</t>
  </si>
  <si>
    <t>CUST4507</t>
  </si>
  <si>
    <t>CUST4508</t>
  </si>
  <si>
    <t>CUST4509</t>
  </si>
  <si>
    <t>CUST4510</t>
  </si>
  <si>
    <t>CUST4511</t>
  </si>
  <si>
    <t>CUST4512</t>
  </si>
  <si>
    <t>CUST4513</t>
  </si>
  <si>
    <t>CUST4514</t>
  </si>
  <si>
    <t>CUST4515</t>
  </si>
  <si>
    <t>CUST4516</t>
  </si>
  <si>
    <t>CUST4517</t>
  </si>
  <si>
    <t>CUST4518</t>
  </si>
  <si>
    <t>CUST4519</t>
  </si>
  <si>
    <t>CUST4520</t>
  </si>
  <si>
    <t>CUST4521</t>
  </si>
  <si>
    <t>CUST4522</t>
  </si>
  <si>
    <t>CUST4523</t>
  </si>
  <si>
    <t>CUST4524</t>
  </si>
  <si>
    <t>CUST4525</t>
  </si>
  <si>
    <t>CUST4526</t>
  </si>
  <si>
    <t>CUST4527</t>
  </si>
  <si>
    <t>CUST4528</t>
  </si>
  <si>
    <t>CUST4529</t>
  </si>
  <si>
    <t>CUST4530</t>
  </si>
  <si>
    <t>CUST4531</t>
  </si>
  <si>
    <t>CUST4532</t>
  </si>
  <si>
    <t>CUST4533</t>
  </si>
  <si>
    <t>CUST4534</t>
  </si>
  <si>
    <t>CUST4535</t>
  </si>
  <si>
    <t>CUST4536</t>
  </si>
  <si>
    <t>CUST4537</t>
  </si>
  <si>
    <t>CUST4538</t>
  </si>
  <si>
    <t>CUST4539</t>
  </si>
  <si>
    <t>CUST4541</t>
  </si>
  <si>
    <t>CUST4542</t>
  </si>
  <si>
    <t>CUST4543</t>
  </si>
  <si>
    <t>CUST4544</t>
  </si>
  <si>
    <t>CUST4545</t>
  </si>
  <si>
    <t>CUST4546</t>
  </si>
  <si>
    <t>CUST4547</t>
  </si>
  <si>
    <t>CUST4548</t>
  </si>
  <si>
    <t>CUST4549</t>
  </si>
  <si>
    <t>CUST4550</t>
  </si>
  <si>
    <t>CUST4551</t>
  </si>
  <si>
    <t>CUST4552</t>
  </si>
  <si>
    <t>CUST4553</t>
  </si>
  <si>
    <t>CUST4554</t>
  </si>
  <si>
    <t>CUST4556</t>
  </si>
  <si>
    <t>CUST4557</t>
  </si>
  <si>
    <t>CUST4558</t>
  </si>
  <si>
    <t>CUST4559</t>
  </si>
  <si>
    <t>CUST4560</t>
  </si>
  <si>
    <t>CUST4561</t>
  </si>
  <si>
    <t>CUST4562</t>
  </si>
  <si>
    <t>CUST4563</t>
  </si>
  <si>
    <t>CUST4565</t>
  </si>
  <si>
    <t>CUST4566</t>
  </si>
  <si>
    <t>CUST4567</t>
  </si>
  <si>
    <t>CUST4568</t>
  </si>
  <si>
    <t>CUST4569</t>
  </si>
  <si>
    <t>CUST4570</t>
  </si>
  <si>
    <t>CUST4571</t>
  </si>
  <si>
    <t>CUST4572</t>
  </si>
  <si>
    <t>CUST4573</t>
  </si>
  <si>
    <t>CUST4574</t>
  </si>
  <si>
    <t>CUST4575</t>
  </si>
  <si>
    <t>CUST4576</t>
  </si>
  <si>
    <t>CUST4577</t>
  </si>
  <si>
    <t>CUST4578</t>
  </si>
  <si>
    <t>CUST4579</t>
  </si>
  <si>
    <t>CUST4580</t>
  </si>
  <si>
    <t>CUST4581</t>
  </si>
  <si>
    <t>CUST4582</t>
  </si>
  <si>
    <t>CUST4583</t>
  </si>
  <si>
    <t>CUST4584</t>
  </si>
  <si>
    <t>CUST4585</t>
  </si>
  <si>
    <t>CUST4586</t>
  </si>
  <si>
    <t>CUST4587</t>
  </si>
  <si>
    <t>CUST4588</t>
  </si>
  <si>
    <t>CUST4589</t>
  </si>
  <si>
    <t>CUST4590</t>
  </si>
  <si>
    <t>CUST4591</t>
  </si>
  <si>
    <t>CUST4592</t>
  </si>
  <si>
    <t>CUST4593</t>
  </si>
  <si>
    <t>CUST4594</t>
  </si>
  <si>
    <t>CUST4595</t>
  </si>
  <si>
    <t>CUST4596</t>
  </si>
  <si>
    <t>CUST4597</t>
  </si>
  <si>
    <t>CUST4598</t>
  </si>
  <si>
    <t>CUST4599</t>
  </si>
  <si>
    <t>CUST4600</t>
  </si>
  <si>
    <t>CUST4602</t>
  </si>
  <si>
    <t>CUST4603</t>
  </si>
  <si>
    <t>CUST4604</t>
  </si>
  <si>
    <t>CUST4605</t>
  </si>
  <si>
    <t>CUST4606</t>
  </si>
  <si>
    <t>CUST4607</t>
  </si>
  <si>
    <t>CUST4608</t>
  </si>
  <si>
    <t>CUST4609</t>
  </si>
  <si>
    <t>CUST4610</t>
  </si>
  <si>
    <t>CUST4611</t>
  </si>
  <si>
    <t>CUST4612</t>
  </si>
  <si>
    <t>CUST4613</t>
  </si>
  <si>
    <t>CUST4614</t>
  </si>
  <si>
    <t>CUST4615</t>
  </si>
  <si>
    <t>CUST4617</t>
  </si>
  <si>
    <t>CUST4618</t>
  </si>
  <si>
    <t>CUST4619</t>
  </si>
  <si>
    <t>CUST4620</t>
  </si>
  <si>
    <t>CUST4621</t>
  </si>
  <si>
    <t>CUST4622</t>
  </si>
  <si>
    <t>CUST4623</t>
  </si>
  <si>
    <t>CUST4624</t>
  </si>
  <si>
    <t>CUST4625</t>
  </si>
  <si>
    <t>CUST4626</t>
  </si>
  <si>
    <t>CUST4627</t>
  </si>
  <si>
    <t>CUST4628</t>
  </si>
  <si>
    <t>CUST4629</t>
  </si>
  <si>
    <t>CUST4630</t>
  </si>
  <si>
    <t>CUST4631</t>
  </si>
  <si>
    <t>CUST4632</t>
  </si>
  <si>
    <t>CUST4633</t>
  </si>
  <si>
    <t>CUST4634</t>
  </si>
  <si>
    <t>CUST4635</t>
  </si>
  <si>
    <t>CUST4636</t>
  </si>
  <si>
    <t>CUST4638</t>
  </si>
  <si>
    <t>CUST4640</t>
  </si>
  <si>
    <t>CUST4641</t>
  </si>
  <si>
    <t>CUST4642</t>
  </si>
  <si>
    <t>CUST4643</t>
  </si>
  <si>
    <t>CUST4644</t>
  </si>
  <si>
    <t>CUST4645</t>
  </si>
  <si>
    <t>CUST4646</t>
  </si>
  <si>
    <t>CUST4647</t>
  </si>
  <si>
    <t>CUST4648</t>
  </si>
  <si>
    <t>CUST4649</t>
  </si>
  <si>
    <t>CUST4650</t>
  </si>
  <si>
    <t>CUST4652</t>
  </si>
  <si>
    <t>CUST4653</t>
  </si>
  <si>
    <t>CUST4654</t>
  </si>
  <si>
    <t>CUST4655</t>
  </si>
  <si>
    <t>CUST4656</t>
  </si>
  <si>
    <t>CUST4657</t>
  </si>
  <si>
    <t>CUST4658</t>
  </si>
  <si>
    <t>CUST4659</t>
  </si>
  <si>
    <t>CUST4660</t>
  </si>
  <si>
    <t>CUST4661</t>
  </si>
  <si>
    <t>CUST4662</t>
  </si>
  <si>
    <t>CUST4663</t>
  </si>
  <si>
    <t>CUST4664</t>
  </si>
  <si>
    <t>CUST4665</t>
  </si>
  <si>
    <t>CUST4666</t>
  </si>
  <si>
    <t>CUST4667</t>
  </si>
  <si>
    <t>CUST4668</t>
  </si>
  <si>
    <t>CUST4669</t>
  </si>
  <si>
    <t>CUST4670</t>
  </si>
  <si>
    <t>CUST4671</t>
  </si>
  <si>
    <t>CUST4672</t>
  </si>
  <si>
    <t>CUST4673</t>
  </si>
  <si>
    <t>CUST4674</t>
  </si>
  <si>
    <t>CUST4675</t>
  </si>
  <si>
    <t>CUST4676</t>
  </si>
  <si>
    <t>CUST4677</t>
  </si>
  <si>
    <t>CUST4678</t>
  </si>
  <si>
    <t>CUST4679</t>
  </si>
  <si>
    <t>CUST4680</t>
  </si>
  <si>
    <t>CUST4681</t>
  </si>
  <si>
    <t>CUST4682</t>
  </si>
  <si>
    <t>CUST4684</t>
  </si>
  <si>
    <t>CUST4685</t>
  </si>
  <si>
    <t>CUST4686</t>
  </si>
  <si>
    <t>CUST4687</t>
  </si>
  <si>
    <t>CUST4688</t>
  </si>
  <si>
    <t>CUST4689</t>
  </si>
  <si>
    <t>CUST4690</t>
  </si>
  <si>
    <t>CUST4691</t>
  </si>
  <si>
    <t>CUST4692</t>
  </si>
  <si>
    <t>CUST4693</t>
  </si>
  <si>
    <t>CUST4694</t>
  </si>
  <si>
    <t>CUST4695</t>
  </si>
  <si>
    <t>CUST4696</t>
  </si>
  <si>
    <t>CUST4697</t>
  </si>
  <si>
    <t>CUST4698</t>
  </si>
  <si>
    <t>CUST4699</t>
  </si>
  <si>
    <t>CUST4700</t>
  </si>
  <si>
    <t>CUST4701</t>
  </si>
  <si>
    <t>CUST4702</t>
  </si>
  <si>
    <t>CUST4703</t>
  </si>
  <si>
    <t>CUST4704</t>
  </si>
  <si>
    <t>CUST4705</t>
  </si>
  <si>
    <t>CUST4706</t>
  </si>
  <si>
    <t>CUST4707</t>
  </si>
  <si>
    <t>CUST4708</t>
  </si>
  <si>
    <t>CUST4709</t>
  </si>
  <si>
    <t>CUST4710</t>
  </si>
  <si>
    <t>CUST4713</t>
  </si>
  <si>
    <t>CUST4714</t>
  </si>
  <si>
    <t>CUST4715</t>
  </si>
  <si>
    <t>CUST4716</t>
  </si>
  <si>
    <t>CUST4717</t>
  </si>
  <si>
    <t>CUST4718</t>
  </si>
  <si>
    <t>CUST4719</t>
  </si>
  <si>
    <t>CUST4720</t>
  </si>
  <si>
    <t>CUST4721</t>
  </si>
  <si>
    <t>CUST4722</t>
  </si>
  <si>
    <t>CUST4723</t>
  </si>
  <si>
    <t>CUST4724</t>
  </si>
  <si>
    <t>CUST4725</t>
  </si>
  <si>
    <t>CUST4726</t>
  </si>
  <si>
    <t>CUST4727</t>
  </si>
  <si>
    <t>CUST4728</t>
  </si>
  <si>
    <t>CUST4729</t>
  </si>
  <si>
    <t>CUST4730</t>
  </si>
  <si>
    <t>CUST4731</t>
  </si>
  <si>
    <t>CUST4732</t>
  </si>
  <si>
    <t>CUST4733</t>
  </si>
  <si>
    <t>CUST4734</t>
  </si>
  <si>
    <t>CUST4735</t>
  </si>
  <si>
    <t>CUST4736</t>
  </si>
  <si>
    <t>CUST4738</t>
  </si>
  <si>
    <t>CUST4740</t>
  </si>
  <si>
    <t>CUST4741</t>
  </si>
  <si>
    <t>CUST4742</t>
  </si>
  <si>
    <t>CUST4743</t>
  </si>
  <si>
    <t>CUST4744</t>
  </si>
  <si>
    <t>CUST4745</t>
  </si>
  <si>
    <t>CUST4746</t>
  </si>
  <si>
    <t>CUST4747</t>
  </si>
  <si>
    <t>CUST4748</t>
  </si>
  <si>
    <t>CUST4749</t>
  </si>
  <si>
    <t>CUST4750</t>
  </si>
  <si>
    <t>CUST4751</t>
  </si>
  <si>
    <t>CUST4752</t>
  </si>
  <si>
    <t>CUST4753</t>
  </si>
  <si>
    <t>CUST4754</t>
  </si>
  <si>
    <t>CUST4755</t>
  </si>
  <si>
    <t>CUST4756</t>
  </si>
  <si>
    <t>CUST4758</t>
  </si>
  <si>
    <t>CUST4759</t>
  </si>
  <si>
    <t>CUST4760</t>
  </si>
  <si>
    <t>CUST4761</t>
  </si>
  <si>
    <t>CUST4762</t>
  </si>
  <si>
    <t>CUST4763</t>
  </si>
  <si>
    <t>CUST4764</t>
  </si>
  <si>
    <t>CUST4765</t>
  </si>
  <si>
    <t>CUST4766</t>
  </si>
  <si>
    <t>CUST4767</t>
  </si>
  <si>
    <t>CUST4768</t>
  </si>
  <si>
    <t>CUST4769</t>
  </si>
  <si>
    <t>CUST4771</t>
  </si>
  <si>
    <t>CUST4772</t>
  </si>
  <si>
    <t>CUST4773</t>
  </si>
  <si>
    <t>CUST4774</t>
  </si>
  <si>
    <t>CUST4775</t>
  </si>
  <si>
    <t>CUST4776</t>
  </si>
  <si>
    <t>CUST4777</t>
  </si>
  <si>
    <t>CUST4778</t>
  </si>
  <si>
    <t>CUST4779</t>
  </si>
  <si>
    <t>CUST4780</t>
  </si>
  <si>
    <t>CUST4781</t>
  </si>
  <si>
    <t>CUST4782</t>
  </si>
  <si>
    <t>CUST4783</t>
  </si>
  <si>
    <t>CUST4784</t>
  </si>
  <si>
    <t>CUST4785</t>
  </si>
  <si>
    <t>CUST4786</t>
  </si>
  <si>
    <t>CUST4787</t>
  </si>
  <si>
    <t>CUST4788</t>
  </si>
  <si>
    <t>CUST4789</t>
  </si>
  <si>
    <t>CUST4791</t>
  </si>
  <si>
    <t>CUST4792</t>
  </si>
  <si>
    <t>CUST4793</t>
  </si>
  <si>
    <t>CUST4794</t>
  </si>
  <si>
    <t>CUST4795</t>
  </si>
  <si>
    <t>CUST4796</t>
  </si>
  <si>
    <t>CUST4797</t>
  </si>
  <si>
    <t>CUST4798</t>
  </si>
  <si>
    <t>CUST4799</t>
  </si>
  <si>
    <t>CUST4800</t>
  </si>
  <si>
    <t>CUST4801</t>
  </si>
  <si>
    <t>CUST4802</t>
  </si>
  <si>
    <t>CUST4803</t>
  </si>
  <si>
    <t>CUST4804</t>
  </si>
  <si>
    <t>CUST4805</t>
  </si>
  <si>
    <t>CUST4806</t>
  </si>
  <si>
    <t>CUST4807</t>
  </si>
  <si>
    <t>CUST4808</t>
  </si>
  <si>
    <t>CUST4809</t>
  </si>
  <si>
    <t>CUST4810</t>
  </si>
  <si>
    <t>CUST4811</t>
  </si>
  <si>
    <t>CUST4812</t>
  </si>
  <si>
    <t>CUST4813</t>
  </si>
  <si>
    <t>CUST4814</t>
  </si>
  <si>
    <t>CUST4815</t>
  </si>
  <si>
    <t>CUST4816</t>
  </si>
  <si>
    <t>CUST4817</t>
  </si>
  <si>
    <t>CUST4819</t>
  </si>
  <si>
    <t>CUST4820</t>
  </si>
  <si>
    <t>CUST4821</t>
  </si>
  <si>
    <t>CUST4822</t>
  </si>
  <si>
    <t>CUST4823</t>
  </si>
  <si>
    <t>CUST4824</t>
  </si>
  <si>
    <t>CUST4825</t>
  </si>
  <si>
    <t>CUST4826</t>
  </si>
  <si>
    <t>CUST4827</t>
  </si>
  <si>
    <t>CUST4828</t>
  </si>
  <si>
    <t>CUST4829</t>
  </si>
  <si>
    <t>CUST4830</t>
  </si>
  <si>
    <t>CUST4831</t>
  </si>
  <si>
    <t>CUST4832</t>
  </si>
  <si>
    <t>CUST4833</t>
  </si>
  <si>
    <t>CUST4834</t>
  </si>
  <si>
    <t>CUST4836</t>
  </si>
  <si>
    <t>CUST4837</t>
  </si>
  <si>
    <t>CUST4838</t>
  </si>
  <si>
    <t>CUST4839</t>
  </si>
  <si>
    <t>CUST4840</t>
  </si>
  <si>
    <t>CUST4841</t>
  </si>
  <si>
    <t>CUST4842</t>
  </si>
  <si>
    <t>CUST4843</t>
  </si>
  <si>
    <t>CUST4845</t>
  </si>
  <si>
    <t>CUST4846</t>
  </si>
  <si>
    <t>CUST4847</t>
  </si>
  <si>
    <t>CUST4848</t>
  </si>
  <si>
    <t>CUST4849</t>
  </si>
  <si>
    <t>CUST4850</t>
  </si>
  <si>
    <t>CUST4851</t>
  </si>
  <si>
    <t>CUST4852</t>
  </si>
  <si>
    <t>CUST4853</t>
  </si>
  <si>
    <t>CUST4854</t>
  </si>
  <si>
    <t>CUST4855</t>
  </si>
  <si>
    <t>CUST4856</t>
  </si>
  <si>
    <t>CUST4857</t>
  </si>
  <si>
    <t>CUST4858</t>
  </si>
  <si>
    <t>CUST4859</t>
  </si>
  <si>
    <t>CUST4860</t>
  </si>
  <si>
    <t>CUST4861</t>
  </si>
  <si>
    <t>CUST4862</t>
  </si>
  <si>
    <t>CUST4863</t>
  </si>
  <si>
    <t>CUST4864</t>
  </si>
  <si>
    <t>CUST4865</t>
  </si>
  <si>
    <t>CUST4866</t>
  </si>
  <si>
    <t>CUST4867</t>
  </si>
  <si>
    <t>CUST4868</t>
  </si>
  <si>
    <t>CUST4869</t>
  </si>
  <si>
    <t>CUST4870</t>
  </si>
  <si>
    <t>CUST4871</t>
  </si>
  <si>
    <t>CUST4872</t>
  </si>
  <si>
    <t>CUST4873</t>
  </si>
  <si>
    <t>CUST4874</t>
  </si>
  <si>
    <t>CUST4875</t>
  </si>
  <si>
    <t>CUST4876</t>
  </si>
  <si>
    <t>CUST4877</t>
  </si>
  <si>
    <t>CUST4878</t>
  </si>
  <si>
    <t>CUST4879</t>
  </si>
  <si>
    <t>CUST4880</t>
  </si>
  <si>
    <t>CUST4881</t>
  </si>
  <si>
    <t>CUST4882</t>
  </si>
  <si>
    <t>CUST4883</t>
  </si>
  <si>
    <t>CUST4884</t>
  </si>
  <si>
    <t>CUST4885</t>
  </si>
  <si>
    <t>CUST4886</t>
  </si>
  <si>
    <t>CUST4887</t>
  </si>
  <si>
    <t>CUST4888</t>
  </si>
  <si>
    <t>CUST4889</t>
  </si>
  <si>
    <t>CUST4890</t>
  </si>
  <si>
    <t>CUST4891</t>
  </si>
  <si>
    <t>CUST4892</t>
  </si>
  <si>
    <t>CUST4893</t>
  </si>
  <si>
    <t>CUST4894</t>
  </si>
  <si>
    <t>CUST4895</t>
  </si>
  <si>
    <t>CUST4896</t>
  </si>
  <si>
    <t>CUST4897</t>
  </si>
  <si>
    <t>CUST4898</t>
  </si>
  <si>
    <t>CUST4899</t>
  </si>
  <si>
    <t>CUST4900</t>
  </si>
  <si>
    <t>CUST4901</t>
  </si>
  <si>
    <t>CUST4902</t>
  </si>
  <si>
    <t>CUST4903</t>
  </si>
  <si>
    <t>CUST4904</t>
  </si>
  <si>
    <t>CUST4905</t>
  </si>
  <si>
    <t>CUST4906</t>
  </si>
  <si>
    <t>CUST4907</t>
  </si>
  <si>
    <t>CUST4908</t>
  </si>
  <si>
    <t>CUST4909</t>
  </si>
  <si>
    <t>CUST4910</t>
  </si>
  <si>
    <t>CUST4911</t>
  </si>
  <si>
    <t>CUST4912</t>
  </si>
  <si>
    <t>CUST4913</t>
  </si>
  <si>
    <t>CUST4914</t>
  </si>
  <si>
    <t>CUST4915</t>
  </si>
  <si>
    <t>CUST4916</t>
  </si>
  <si>
    <t>CUST4917</t>
  </si>
  <si>
    <t>CUST4918</t>
  </si>
  <si>
    <t>CUST4919</t>
  </si>
  <si>
    <t>CUST4920</t>
  </si>
  <si>
    <t>CUST4921</t>
  </si>
  <si>
    <t>CUST4922</t>
  </si>
  <si>
    <t>CUST4923</t>
  </si>
  <si>
    <t>CUST4924</t>
  </si>
  <si>
    <t>CUST4925</t>
  </si>
  <si>
    <t>CUST4926</t>
  </si>
  <si>
    <t>CUST4927</t>
  </si>
  <si>
    <t>CUST4928</t>
  </si>
  <si>
    <t>CUST4930</t>
  </si>
  <si>
    <t>CUST4931</t>
  </si>
  <si>
    <t>CUST4932</t>
  </si>
  <si>
    <t>CUST4933</t>
  </si>
  <si>
    <t>CUST4934</t>
  </si>
  <si>
    <t>CUST4935</t>
  </si>
  <si>
    <t>CUST4936</t>
  </si>
  <si>
    <t>CUST4937</t>
  </si>
  <si>
    <t>CUST4938</t>
  </si>
  <si>
    <t>CUST4939</t>
  </si>
  <si>
    <t>CUST4940</t>
  </si>
  <si>
    <t>CUST4941</t>
  </si>
  <si>
    <t>CUST4942</t>
  </si>
  <si>
    <t>CUST4943</t>
  </si>
  <si>
    <t>CUST4945</t>
  </si>
  <si>
    <t>CUST4946</t>
  </si>
  <si>
    <t>CUST4948</t>
  </si>
  <si>
    <t>CUST4949</t>
  </si>
  <si>
    <t>CUST4950</t>
  </si>
  <si>
    <t>CUST4951</t>
  </si>
  <si>
    <t>CUST4952</t>
  </si>
  <si>
    <t>CUST4953</t>
  </si>
  <si>
    <t>CUST4954</t>
  </si>
  <si>
    <t>CUST4955</t>
  </si>
  <si>
    <t>CUST4957</t>
  </si>
  <si>
    <t>CUST4958</t>
  </si>
  <si>
    <t>CUST4959</t>
  </si>
  <si>
    <t>CUST4960</t>
  </si>
  <si>
    <t>CUST4961</t>
  </si>
  <si>
    <t>CUST4962</t>
  </si>
  <si>
    <t>CUST4963</t>
  </si>
  <si>
    <t>CUST4964</t>
  </si>
  <si>
    <t>CUST4965</t>
  </si>
  <si>
    <t>CUST4966</t>
  </si>
  <si>
    <t>CUST4967</t>
  </si>
  <si>
    <t>CUST4968</t>
  </si>
  <si>
    <t>CUST4969</t>
  </si>
  <si>
    <t>CUST4970</t>
  </si>
  <si>
    <t>CUST4971</t>
  </si>
  <si>
    <t>CUST4972</t>
  </si>
  <si>
    <t>CUST4973</t>
  </si>
  <si>
    <t>CUST4974</t>
  </si>
  <si>
    <t>CUST4975</t>
  </si>
  <si>
    <t>CUST4976</t>
  </si>
  <si>
    <t>CUST4977</t>
  </si>
  <si>
    <t>CUST4978</t>
  </si>
  <si>
    <t>CUST4979</t>
  </si>
  <si>
    <t>CUST4980</t>
  </si>
  <si>
    <t>CUST4981</t>
  </si>
  <si>
    <t>CUST4982</t>
  </si>
  <si>
    <t>CUST4983</t>
  </si>
  <si>
    <t>CUST4984</t>
  </si>
  <si>
    <t>CUST4985</t>
  </si>
  <si>
    <t>CUST4986</t>
  </si>
  <si>
    <t>CUST4987</t>
  </si>
  <si>
    <t>CUST4988</t>
  </si>
  <si>
    <t>CUST4989</t>
  </si>
  <si>
    <t>CUST4990</t>
  </si>
  <si>
    <t>CUST4991</t>
  </si>
  <si>
    <t>CUST4992</t>
  </si>
  <si>
    <t>CUST4993</t>
  </si>
  <si>
    <t>CUST4994</t>
  </si>
  <si>
    <t>CUST4995</t>
  </si>
  <si>
    <t>CUST4996</t>
  </si>
  <si>
    <t>CUST4997</t>
  </si>
  <si>
    <t>CUST4998</t>
  </si>
  <si>
    <t>CUST4999</t>
  </si>
  <si>
    <t>CUST5000</t>
  </si>
  <si>
    <t>Asia</t>
  </si>
  <si>
    <t>Europe</t>
  </si>
  <si>
    <t>North America</t>
  </si>
  <si>
    <t>South America</t>
  </si>
  <si>
    <t>Africa</t>
  </si>
  <si>
    <t>Male</t>
  </si>
  <si>
    <t>Female</t>
  </si>
  <si>
    <t>Moblie</t>
  </si>
  <si>
    <t>TV</t>
  </si>
  <si>
    <t>Laptop</t>
  </si>
  <si>
    <t>Tablet</t>
  </si>
  <si>
    <t>Thriller</t>
  </si>
  <si>
    <t>Drama</t>
  </si>
  <si>
    <t>Documentary</t>
  </si>
  <si>
    <t>Action</t>
  </si>
  <si>
    <t>Comedy</t>
  </si>
  <si>
    <t xml:space="preserve">CUST0051         </t>
  </si>
  <si>
    <t/>
  </si>
  <si>
    <t xml:space="preserve">CUST0507         </t>
  </si>
  <si>
    <t xml:space="preserve">CUST0710         </t>
  </si>
  <si>
    <t xml:space="preserve">CUST0907         </t>
  </si>
  <si>
    <t xml:space="preserve">CUST1014         </t>
  </si>
  <si>
    <t xml:space="preserve">CUST1060         </t>
  </si>
  <si>
    <t xml:space="preserve">CUST1091         </t>
  </si>
  <si>
    <t xml:space="preserve">CUST1100         </t>
  </si>
  <si>
    <t xml:space="preserve">CUST1241         </t>
  </si>
  <si>
    <t xml:space="preserve">CUST1401         </t>
  </si>
  <si>
    <t xml:space="preserve">CUST1472         </t>
  </si>
  <si>
    <t xml:space="preserve">CUST1712         </t>
  </si>
  <si>
    <t xml:space="preserve">CUST1789         </t>
  </si>
  <si>
    <t xml:space="preserve">CUST1887         </t>
  </si>
  <si>
    <t xml:space="preserve">CUST2016         </t>
  </si>
  <si>
    <t xml:space="preserve">CUST2146         </t>
  </si>
  <si>
    <t xml:space="preserve">CUST2210         </t>
  </si>
  <si>
    <t xml:space="preserve">CUST2241         </t>
  </si>
  <si>
    <t xml:space="preserve">CUST2290         </t>
  </si>
  <si>
    <t xml:space="preserve">CUST2292         </t>
  </si>
  <si>
    <t xml:space="preserve">CUST2302         </t>
  </si>
  <si>
    <t xml:space="preserve">CUST2506         </t>
  </si>
  <si>
    <t xml:space="preserve">CUST2565         </t>
  </si>
  <si>
    <t xml:space="preserve">CUST2710         </t>
  </si>
  <si>
    <t xml:space="preserve">CUST2754         </t>
  </si>
  <si>
    <t xml:space="preserve">CUST2855         </t>
  </si>
  <si>
    <t xml:space="preserve">CUST2868         </t>
  </si>
  <si>
    <t xml:space="preserve">CUST3076         </t>
  </si>
  <si>
    <t xml:space="preserve">CUST3115         </t>
  </si>
  <si>
    <t xml:space="preserve">CUST3164         </t>
  </si>
  <si>
    <t xml:space="preserve">CUST3250         </t>
  </si>
  <si>
    <t xml:space="preserve">CUST3426         </t>
  </si>
  <si>
    <t xml:space="preserve">CUST3735         </t>
  </si>
  <si>
    <t xml:space="preserve">CUST3805         </t>
  </si>
  <si>
    <t xml:space="preserve">CUST3938         </t>
  </si>
  <si>
    <t xml:space="preserve">CUST4018         </t>
  </si>
  <si>
    <t xml:space="preserve">CUST4540         </t>
  </si>
  <si>
    <t xml:space="preserve">CUST4616         </t>
  </si>
  <si>
    <t xml:space="preserve">CUST4637         </t>
  </si>
  <si>
    <t xml:space="preserve">CUST4639         </t>
  </si>
  <si>
    <t xml:space="preserve">CUST4757         </t>
  </si>
  <si>
    <t xml:space="preserve">CUST4944         </t>
  </si>
  <si>
    <t>GEN_1036</t>
  </si>
  <si>
    <t>GEN_1110</t>
  </si>
  <si>
    <t>GEN_1257</t>
  </si>
  <si>
    <t>GEN_1425</t>
  </si>
  <si>
    <t>GEN_1493</t>
  </si>
  <si>
    <t>GEN_1547</t>
  </si>
  <si>
    <t>GEN_1565</t>
  </si>
  <si>
    <t>GEN_1673</t>
  </si>
  <si>
    <t>GEN_1764</t>
  </si>
  <si>
    <t>GEN_1836</t>
  </si>
  <si>
    <t>GEN_1875</t>
  </si>
  <si>
    <t>GEN_1966</t>
  </si>
  <si>
    <t>GEN_2268</t>
  </si>
  <si>
    <t>GEN_2337</t>
  </si>
  <si>
    <t>GEN_2415</t>
  </si>
  <si>
    <t>GEN_2433</t>
  </si>
  <si>
    <t>GEN_2564</t>
  </si>
  <si>
    <t>GEN_2569</t>
  </si>
  <si>
    <t>GEN_2588</t>
  </si>
  <si>
    <t>GEN_2676</t>
  </si>
  <si>
    <t>GEN_2682</t>
  </si>
  <si>
    <t>GEN_2832</t>
  </si>
  <si>
    <t>GEN_3157</t>
  </si>
  <si>
    <t>GEN_3385</t>
  </si>
  <si>
    <t>GEN_3390</t>
  </si>
  <si>
    <t>GEN_3466</t>
  </si>
  <si>
    <t>GEN_3516</t>
  </si>
  <si>
    <t>GEN_3608</t>
  </si>
  <si>
    <t>GEN_3843</t>
  </si>
  <si>
    <t>GEN_4046</t>
  </si>
  <si>
    <t>GEN_4118</t>
  </si>
  <si>
    <t>GEN_4124</t>
  </si>
  <si>
    <t>GEN_4229</t>
  </si>
  <si>
    <t>GEN_4456</t>
  </si>
  <si>
    <t>GEN_4819</t>
  </si>
  <si>
    <t>GEN_4930</t>
  </si>
  <si>
    <t>GEN_4948</t>
  </si>
  <si>
    <t>GEN_0391</t>
  </si>
  <si>
    <t>GEN_0392</t>
  </si>
  <si>
    <t>GEN_0475</t>
  </si>
  <si>
    <t>GEN_0698</t>
  </si>
  <si>
    <t>GEN_0718</t>
  </si>
  <si>
    <t>GEN_0732</t>
  </si>
  <si>
    <t>Churn</t>
  </si>
  <si>
    <t>Active</t>
  </si>
  <si>
    <t>Churned_Flag</t>
  </si>
  <si>
    <t>Median</t>
  </si>
  <si>
    <t>Age_Group</t>
  </si>
  <si>
    <t>Total Users</t>
  </si>
  <si>
    <t>Row Labels</t>
  </si>
  <si>
    <t>Grand Total</t>
  </si>
  <si>
    <t>Column Labels</t>
  </si>
  <si>
    <t>Churn Rate</t>
  </si>
  <si>
    <t>Churned Customers</t>
  </si>
  <si>
    <t>Middle Adulthood</t>
  </si>
  <si>
    <t>Old</t>
  </si>
  <si>
    <t>Young Adult</t>
  </si>
  <si>
    <t>Lost Revenue</t>
  </si>
  <si>
    <t>Retention Rate</t>
  </si>
  <si>
    <t>Remaining revenue</t>
  </si>
  <si>
    <t>ARPU</t>
  </si>
  <si>
    <t>Lost_Revenue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</si>
</sst>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
    <numFmt numFmtId="165" formatCode="0.00%;\-0.00%;0.00%"/>
    <numFmt numFmtId="166" formatCode="[$$-409]#,##0"/>
    <numFmt numFmtId="167" formatCode="0.0%;\-0.0%;0.0%"/>
    <numFmt numFmtId="168" formatCode="\$#,##0;\(\$#,##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1" applyNumberFormat="1" applyFont="1"/>
    <xf numFmtId="9" fontId="0" fillId="0" borderId="0" xfId="1" applyFont="1"/>
    <xf numFmtId="9" fontId="0" fillId="0" borderId="0" xfId="0" applyNumberFormat="1"/>
    <xf numFmtId="3"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0" fontId="0" fillId="0" borderId="0" xfId="0" applyNumberFormat="1"/>
    <xf numFmtId="166" fontId="0" fillId="0" borderId="0" xfId="0" applyNumberFormat="1"/>
    <xf numFmtId="167" fontId="0" fillId="0" borderId="0" xfId="0" applyNumberFormat="1"/>
    <xf numFmtId="168" fontId="0" fillId="0" borderId="0" xfId="0" applyNumberFormat="1"/>
    <xf numFmtId="0" fontId="0" fillId="2" borderId="0" xfId="0" applyFill="1"/>
    <xf numFmtId="0" fontId="0" fillId="0" borderId="0" xfId="0" applyNumberFormat="1"/>
  </cellXfs>
  <cellStyles count="2">
    <cellStyle name="Normal" xfId="0" builtinId="0"/>
    <cellStyle name="Percent" xfId="1" builtinId="5"/>
  </cellStyles>
  <dxfs count="44">
    <dxf>
      <numFmt numFmtId="166" formatCode="[$$-409]#,##0"/>
    </dxf>
    <dxf>
      <numFmt numFmtId="166" formatCode="[$$-409]#,##0"/>
    </dxf>
    <dxf>
      <numFmt numFmtId="166" formatCode="[$$-409]#,##0"/>
    </dxf>
    <dxf>
      <numFmt numFmtId="166" formatCode="[$$-409]#,##0"/>
    </dxf>
    <dxf>
      <numFmt numFmtId="167" formatCode="0.0%;\-0.0%;0.0%"/>
    </dxf>
    <dxf>
      <numFmt numFmtId="166" formatCode="[$$-409]#,##0"/>
    </dxf>
    <dxf>
      <numFmt numFmtId="165" formatCode="0.00%;\-0.00%;0.00%"/>
    </dxf>
    <dxf>
      <numFmt numFmtId="166" formatCode="[$$-409]#,##0"/>
    </dxf>
    <dxf>
      <numFmt numFmtId="166" formatCode="[$$-409]#,##0"/>
    </dxf>
    <dxf>
      <numFmt numFmtId="166" formatCode="[$$-409]#,##0"/>
    </dxf>
    <dxf>
      <numFmt numFmtId="166" formatCode="[$$-409]#,##0"/>
    </dxf>
    <dxf>
      <numFmt numFmtId="167" formatCode="0.0%;\-0.0%;0.0%"/>
    </dxf>
    <dxf>
      <numFmt numFmtId="166" formatCode="[$$-409]#,##0"/>
    </dxf>
    <dxf>
      <numFmt numFmtId="165" formatCode="0.00%;\-0.00%;0.00%"/>
    </dxf>
    <dxf>
      <numFmt numFmtId="166" formatCode="[$$-409]#,##0"/>
    </dxf>
    <dxf>
      <numFmt numFmtId="166" formatCode="[$$-409]#,##0"/>
    </dxf>
    <dxf>
      <numFmt numFmtId="166" formatCode="[$$-409]#,##0"/>
    </dxf>
    <dxf>
      <numFmt numFmtId="166" formatCode="[$$-409]#,##0"/>
    </dxf>
    <dxf>
      <numFmt numFmtId="167" formatCode="0.0%;\-0.0%;0.0%"/>
    </dxf>
    <dxf>
      <numFmt numFmtId="166" formatCode="[$$-409]#,##0"/>
    </dxf>
    <dxf>
      <numFmt numFmtId="165" formatCode="0.00%;\-0.00%;0.00%"/>
    </dxf>
    <dxf>
      <font>
        <color rgb="FF9C0006"/>
      </font>
      <fill>
        <patternFill>
          <bgColor rgb="FFFFC7CE"/>
        </patternFill>
      </fill>
    </dxf>
    <dxf>
      <numFmt numFmtId="165" formatCode="0.00%;\-0.00%;0.00%"/>
    </dxf>
    <dxf>
      <numFmt numFmtId="167" formatCode="0.0%;\-0.0%;0.0%"/>
    </dxf>
    <dxf>
      <numFmt numFmtId="166" formatCode="[$$-409]#,##0"/>
    </dxf>
    <dxf>
      <numFmt numFmtId="166" formatCode="[$$-409]#,##0"/>
    </dxf>
    <dxf>
      <numFmt numFmtId="166" formatCode="[$$-409]#,##0"/>
    </dxf>
    <dxf>
      <numFmt numFmtId="166" formatCode="[$$-409]#,##0"/>
    </dxf>
    <dxf>
      <numFmt numFmtId="166" formatCode="[$$-409]#,##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2E4CE7FF-A4F1-4340-AA87-090D8B388B7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8.xml"/><Relationship Id="rId21" Type="http://schemas.openxmlformats.org/officeDocument/2006/relationships/pivotCacheDefinition" Target="pivotCache/pivotCacheDefinition3.xml"/><Relationship Id="rId34" Type="http://schemas.openxmlformats.org/officeDocument/2006/relationships/pivotCacheDefinition" Target="pivotCache/pivotCacheDefinition16.xml"/><Relationship Id="rId42" Type="http://schemas.openxmlformats.org/officeDocument/2006/relationships/calcChain" Target="calcChain.xml"/><Relationship Id="rId47" Type="http://schemas.openxmlformats.org/officeDocument/2006/relationships/customXml" Target="../customXml/item5.xml"/><Relationship Id="rId50" Type="http://schemas.openxmlformats.org/officeDocument/2006/relationships/customXml" Target="../customXml/item8.xml"/><Relationship Id="rId55" Type="http://schemas.openxmlformats.org/officeDocument/2006/relationships/customXml" Target="../customXml/item13.xml"/><Relationship Id="rId63" Type="http://schemas.openxmlformats.org/officeDocument/2006/relationships/customXml" Target="../customXml/item21.xml"/><Relationship Id="rId68"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1.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openxmlformats.org/officeDocument/2006/relationships/pivotCacheDefinition" Target="pivotCache/pivotCacheDefinition14.xml"/><Relationship Id="rId37" Type="http://schemas.openxmlformats.org/officeDocument/2006/relationships/theme" Target="theme/theme1.xml"/><Relationship Id="rId40" Type="http://schemas.openxmlformats.org/officeDocument/2006/relationships/sharedStrings" Target="sharedStrings.xml"/><Relationship Id="rId45" Type="http://schemas.openxmlformats.org/officeDocument/2006/relationships/customXml" Target="../customXml/item3.xml"/><Relationship Id="rId53" Type="http://schemas.openxmlformats.org/officeDocument/2006/relationships/customXml" Target="../customXml/item11.xml"/><Relationship Id="rId58" Type="http://schemas.openxmlformats.org/officeDocument/2006/relationships/customXml" Target="../customXml/item16.xml"/><Relationship Id="rId66" Type="http://schemas.openxmlformats.org/officeDocument/2006/relationships/customXml" Target="../customXml/item24.xml"/><Relationship Id="rId5" Type="http://schemas.openxmlformats.org/officeDocument/2006/relationships/worksheet" Target="worksheets/sheet5.xml"/><Relationship Id="rId61" Type="http://schemas.openxmlformats.org/officeDocument/2006/relationships/customXml" Target="../customXml/item19.xml"/><Relationship Id="rId19" Type="http://schemas.openxmlformats.org/officeDocument/2006/relationships/pivotCacheDefinition" Target="pivotCache/pivotCacheDefinition1.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openxmlformats.org/officeDocument/2006/relationships/pivotCacheDefinition" Target="pivotCache/pivotCacheDefinition9.xml"/><Relationship Id="rId30" Type="http://schemas.openxmlformats.org/officeDocument/2006/relationships/pivotCacheDefinition" Target="pivotCache/pivotCacheDefinition12.xml"/><Relationship Id="rId35" Type="http://schemas.openxmlformats.org/officeDocument/2006/relationships/pivotCacheDefinition" Target="pivotCache/pivotCacheDefinition17.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8" Type="http://schemas.openxmlformats.org/officeDocument/2006/relationships/worksheet" Target="worksheets/sheet8.xml"/><Relationship Id="rId51" Type="http://schemas.openxmlformats.org/officeDocument/2006/relationships/customXml" Target="../customXml/item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7.xml"/><Relationship Id="rId33" Type="http://schemas.openxmlformats.org/officeDocument/2006/relationships/pivotCacheDefinition" Target="pivotCache/pivotCacheDefinition15.xml"/><Relationship Id="rId38" Type="http://schemas.openxmlformats.org/officeDocument/2006/relationships/connections" Target="connection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2.xml"/><Relationship Id="rId41" Type="http://schemas.openxmlformats.org/officeDocument/2006/relationships/powerPivotData" Target="model/item.data"/><Relationship Id="rId54" Type="http://schemas.openxmlformats.org/officeDocument/2006/relationships/customXml" Target="../customXml/item12.xml"/><Relationship Id="rId62"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openxmlformats.org/officeDocument/2006/relationships/pivotCacheDefinition" Target="pivotCache/pivotCacheDefinition10.xml"/><Relationship Id="rId36" Type="http://schemas.microsoft.com/office/2007/relationships/slicerCache" Target="slicerCaches/slicerCache1.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worksheet" Target="worksheets/sheet10.xml"/><Relationship Id="rId31" Type="http://schemas.openxmlformats.org/officeDocument/2006/relationships/pivotCacheDefinition" Target="pivotCache/pivotCacheDefinition13.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plan!PivotTable8</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'Churn by plan'!$B$2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F6F-41EA-ABB0-6A8BC74678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F6F-41EA-ABB0-6A8BC746782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F6F-41EA-ABB0-6A8BC7467820}"/>
              </c:ext>
            </c:extLst>
          </c:dPt>
          <c:cat>
            <c:strRef>
              <c:f>'Churn by plan'!$A$3:$A$6</c:f>
              <c:strCache>
                <c:ptCount val="3"/>
                <c:pt idx="0">
                  <c:v>Basic</c:v>
                </c:pt>
                <c:pt idx="1">
                  <c:v>Standard</c:v>
                </c:pt>
                <c:pt idx="2">
                  <c:v>Premium</c:v>
                </c:pt>
              </c:strCache>
            </c:strRef>
          </c:cat>
          <c:val>
            <c:numRef>
              <c:f>'Churn by plan'!$B$3:$B$6</c:f>
              <c:numCache>
                <c:formatCode>0.00%</c:formatCode>
                <c:ptCount val="3"/>
                <c:pt idx="0">
                  <c:v>0.24657534246575341</c:v>
                </c:pt>
                <c:pt idx="1">
                  <c:v>0.17005379557680814</c:v>
                </c:pt>
                <c:pt idx="2">
                  <c:v>0.16775244299674266</c:v>
                </c:pt>
              </c:numCache>
            </c:numRef>
          </c:val>
          <c:extLst>
            <c:ext xmlns:c16="http://schemas.microsoft.com/office/drawing/2014/chart" uri="{C3380CC4-5D6E-409C-BE32-E72D297353CC}">
              <c16:uniqueId val="{00000000-D709-4494-BACE-25088445E2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.xlsx]Revenue lost by plan!PivotTable9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'Revenue lost by plan'!$B$2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DB-4318-AE62-12FF9BE649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DB-4318-AE62-12FF9BE649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DB-4318-AE62-12FF9BE64947}"/>
              </c:ext>
            </c:extLst>
          </c:dPt>
          <c:cat>
            <c:strRef>
              <c:f>'Revenue lost by plan'!$A$3:$A$6</c:f>
              <c:strCache>
                <c:ptCount val="3"/>
                <c:pt idx="0">
                  <c:v>Standard</c:v>
                </c:pt>
                <c:pt idx="1">
                  <c:v>Premium</c:v>
                </c:pt>
                <c:pt idx="2">
                  <c:v>Basic</c:v>
                </c:pt>
              </c:strCache>
            </c:strRef>
          </c:cat>
          <c:val>
            <c:numRef>
              <c:f>'Revenue lost by plan'!$B$3:$B$6</c:f>
              <c:numCache>
                <c:formatCode>[$$-409]#,##0</c:formatCode>
                <c:ptCount val="3"/>
                <c:pt idx="0">
                  <c:v>7960.3099999999095</c:v>
                </c:pt>
                <c:pt idx="1">
                  <c:v>3705.9399999999805</c:v>
                </c:pt>
                <c:pt idx="2">
                  <c:v>647.28000000000043</c:v>
                </c:pt>
              </c:numCache>
            </c:numRef>
          </c:val>
          <c:extLst>
            <c:ext xmlns:c16="http://schemas.microsoft.com/office/drawing/2014/chart" uri="{C3380CC4-5D6E-409C-BE32-E72D297353CC}">
              <c16:uniqueId val="{00000000-B5C2-4538-A8B8-2C4F196C82F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.xlsx]Retention rate by plan!PivotTable10</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'Retention rate by plan'!$B$2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2A3-4197-8133-F0493AA0C2D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2A3-4197-8133-F0493AA0C2D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2A3-4197-8133-F0493AA0C2DD}"/>
              </c:ext>
            </c:extLst>
          </c:dPt>
          <c:cat>
            <c:strRef>
              <c:f>'Retention rate by plan'!$A$3:$A$6</c:f>
              <c:strCache>
                <c:ptCount val="3"/>
                <c:pt idx="0">
                  <c:v>Basic</c:v>
                </c:pt>
                <c:pt idx="1">
                  <c:v>Standard</c:v>
                </c:pt>
                <c:pt idx="2">
                  <c:v>Premium</c:v>
                </c:pt>
              </c:strCache>
            </c:strRef>
          </c:cat>
          <c:val>
            <c:numRef>
              <c:f>'Retention rate by plan'!$B$3:$B$6</c:f>
              <c:numCache>
                <c:formatCode>0.0%;\-0.0%;0.0%</c:formatCode>
                <c:ptCount val="3"/>
                <c:pt idx="0">
                  <c:v>0.75342465753424659</c:v>
                </c:pt>
                <c:pt idx="1">
                  <c:v>0.82994620442319189</c:v>
                </c:pt>
                <c:pt idx="2">
                  <c:v>0.83224755700325737</c:v>
                </c:pt>
              </c:numCache>
            </c:numRef>
          </c:val>
          <c:extLst>
            <c:ext xmlns:c16="http://schemas.microsoft.com/office/drawing/2014/chart" uri="{C3380CC4-5D6E-409C-BE32-E72D297353CC}">
              <c16:uniqueId val="{00000000-3E17-4643-84DD-59F6C26647E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.xlsx]Age group plan churn!PivotTable11</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group plan churn'!$B$2:$B$3</c:f>
              <c:strCache>
                <c:ptCount val="1"/>
                <c:pt idx="0">
                  <c:v>Middle Adulthood</c:v>
                </c:pt>
              </c:strCache>
            </c:strRef>
          </c:tx>
          <c:spPr>
            <a:solidFill>
              <a:schemeClr val="accent1"/>
            </a:solidFill>
            <a:ln>
              <a:noFill/>
            </a:ln>
            <a:effectLst/>
          </c:spPr>
          <c:invertIfNegative val="0"/>
          <c:cat>
            <c:strRef>
              <c:f>'Age group plan churn'!$A$4:$A$7</c:f>
              <c:strCache>
                <c:ptCount val="3"/>
                <c:pt idx="0">
                  <c:v>Basic</c:v>
                </c:pt>
                <c:pt idx="1">
                  <c:v>Premium</c:v>
                </c:pt>
                <c:pt idx="2">
                  <c:v>Standard</c:v>
                </c:pt>
              </c:strCache>
            </c:strRef>
          </c:cat>
          <c:val>
            <c:numRef>
              <c:f>'Age group plan churn'!$B$4:$B$7</c:f>
              <c:numCache>
                <c:formatCode>0%;\-0%;0%</c:formatCode>
                <c:ptCount val="3"/>
                <c:pt idx="0">
                  <c:v>0.21705426356589147</c:v>
                </c:pt>
                <c:pt idx="1">
                  <c:v>0.16161616161616163</c:v>
                </c:pt>
                <c:pt idx="2">
                  <c:v>0.17824561403508771</c:v>
                </c:pt>
              </c:numCache>
            </c:numRef>
          </c:val>
          <c:extLst>
            <c:ext xmlns:c16="http://schemas.microsoft.com/office/drawing/2014/chart" uri="{C3380CC4-5D6E-409C-BE32-E72D297353CC}">
              <c16:uniqueId val="{00000000-C6AA-4EB0-973B-9914BB19D459}"/>
            </c:ext>
          </c:extLst>
        </c:ser>
        <c:ser>
          <c:idx val="1"/>
          <c:order val="1"/>
          <c:tx>
            <c:strRef>
              <c:f>'Age group plan churn'!$C$2:$C$3</c:f>
              <c:strCache>
                <c:ptCount val="1"/>
                <c:pt idx="0">
                  <c:v>Old</c:v>
                </c:pt>
              </c:strCache>
            </c:strRef>
          </c:tx>
          <c:spPr>
            <a:solidFill>
              <a:schemeClr val="accent2"/>
            </a:solidFill>
            <a:ln>
              <a:noFill/>
            </a:ln>
            <a:effectLst/>
          </c:spPr>
          <c:invertIfNegative val="0"/>
          <c:cat>
            <c:strRef>
              <c:f>'Age group plan churn'!$A$4:$A$7</c:f>
              <c:strCache>
                <c:ptCount val="3"/>
                <c:pt idx="0">
                  <c:v>Basic</c:v>
                </c:pt>
                <c:pt idx="1">
                  <c:v>Premium</c:v>
                </c:pt>
                <c:pt idx="2">
                  <c:v>Standard</c:v>
                </c:pt>
              </c:strCache>
            </c:strRef>
          </c:cat>
          <c:val>
            <c:numRef>
              <c:f>'Age group plan churn'!$C$4:$C$7</c:f>
              <c:numCache>
                <c:formatCode>0%;\-0%;0%</c:formatCode>
                <c:ptCount val="3"/>
                <c:pt idx="0">
                  <c:v>0.23636363636363636</c:v>
                </c:pt>
                <c:pt idx="1">
                  <c:v>0.17607973421926909</c:v>
                </c:pt>
                <c:pt idx="2">
                  <c:v>0.15616797900262466</c:v>
                </c:pt>
              </c:numCache>
            </c:numRef>
          </c:val>
          <c:extLst>
            <c:ext xmlns:c16="http://schemas.microsoft.com/office/drawing/2014/chart" uri="{C3380CC4-5D6E-409C-BE32-E72D297353CC}">
              <c16:uniqueId val="{00000001-C6AA-4EB0-973B-9914BB19D459}"/>
            </c:ext>
          </c:extLst>
        </c:ser>
        <c:ser>
          <c:idx val="2"/>
          <c:order val="2"/>
          <c:tx>
            <c:strRef>
              <c:f>'Age group plan churn'!$D$2:$D$3</c:f>
              <c:strCache>
                <c:ptCount val="1"/>
                <c:pt idx="0">
                  <c:v>Young Adult</c:v>
                </c:pt>
              </c:strCache>
            </c:strRef>
          </c:tx>
          <c:spPr>
            <a:solidFill>
              <a:schemeClr val="accent3"/>
            </a:solidFill>
            <a:ln>
              <a:noFill/>
            </a:ln>
            <a:effectLst/>
          </c:spPr>
          <c:invertIfNegative val="0"/>
          <c:cat>
            <c:strRef>
              <c:f>'Age group plan churn'!$A$4:$A$7</c:f>
              <c:strCache>
                <c:ptCount val="3"/>
                <c:pt idx="0">
                  <c:v>Basic</c:v>
                </c:pt>
                <c:pt idx="1">
                  <c:v>Premium</c:v>
                </c:pt>
                <c:pt idx="2">
                  <c:v>Standard</c:v>
                </c:pt>
              </c:strCache>
            </c:strRef>
          </c:cat>
          <c:val>
            <c:numRef>
              <c:f>'Age group plan churn'!$D$4:$D$7</c:f>
              <c:numCache>
                <c:formatCode>0%;\-0%;0%</c:formatCode>
                <c:ptCount val="3"/>
                <c:pt idx="0">
                  <c:v>0.28703703703703703</c:v>
                </c:pt>
                <c:pt idx="1">
                  <c:v>0.16898148148148148</c:v>
                </c:pt>
                <c:pt idx="2">
                  <c:v>0.16911130284728215</c:v>
                </c:pt>
              </c:numCache>
            </c:numRef>
          </c:val>
          <c:extLst>
            <c:ext xmlns:c16="http://schemas.microsoft.com/office/drawing/2014/chart" uri="{C3380CC4-5D6E-409C-BE32-E72D297353CC}">
              <c16:uniqueId val="{00000002-C6AA-4EB0-973B-9914BB19D459}"/>
            </c:ext>
          </c:extLst>
        </c:ser>
        <c:dLbls>
          <c:showLegendKey val="0"/>
          <c:showVal val="0"/>
          <c:showCatName val="0"/>
          <c:showSerName val="0"/>
          <c:showPercent val="0"/>
          <c:showBubbleSize val="0"/>
        </c:dLbls>
        <c:gapWidth val="219"/>
        <c:overlap val="-27"/>
        <c:axId val="1298611983"/>
        <c:axId val="1298613423"/>
      </c:barChart>
      <c:catAx>
        <c:axId val="1298611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613423"/>
        <c:crosses val="autoZero"/>
        <c:auto val="1"/>
        <c:lblAlgn val="ctr"/>
        <c:lblOffset val="100"/>
        <c:noMultiLvlLbl val="0"/>
      </c:catAx>
      <c:valAx>
        <c:axId val="129861342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611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.xlsx]Genderplan churn!PivotTable12</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'Genderplan churn'!$B$2:$B$3</c:f>
              <c:strCache>
                <c:ptCount val="1"/>
                <c:pt idx="0">
                  <c:v>Female</c:v>
                </c:pt>
              </c:strCache>
            </c:strRef>
          </c:tx>
          <c:spPr>
            <a:solidFill>
              <a:schemeClr val="accent1"/>
            </a:solidFill>
            <a:ln>
              <a:noFill/>
            </a:ln>
            <a:effectLst/>
          </c:spPr>
          <c:invertIfNegative val="0"/>
          <c:cat>
            <c:strRef>
              <c:f>'Genderplan churn'!$A$4:$A$7</c:f>
              <c:strCache>
                <c:ptCount val="3"/>
                <c:pt idx="0">
                  <c:v>Basic</c:v>
                </c:pt>
                <c:pt idx="1">
                  <c:v>Premium</c:v>
                </c:pt>
                <c:pt idx="2">
                  <c:v>Standard</c:v>
                </c:pt>
              </c:strCache>
            </c:strRef>
          </c:cat>
          <c:val>
            <c:numRef>
              <c:f>'Genderplan churn'!$B$4:$B$7</c:f>
              <c:numCache>
                <c:formatCode>0.00%;\-0.00%;0.00%</c:formatCode>
                <c:ptCount val="3"/>
                <c:pt idx="0">
                  <c:v>0.21472392638036811</c:v>
                </c:pt>
                <c:pt idx="1">
                  <c:v>0.17189835575485798</c:v>
                </c:pt>
                <c:pt idx="2">
                  <c:v>0.17640320733104239</c:v>
                </c:pt>
              </c:numCache>
            </c:numRef>
          </c:val>
          <c:extLst>
            <c:ext xmlns:c16="http://schemas.microsoft.com/office/drawing/2014/chart" uri="{C3380CC4-5D6E-409C-BE32-E72D297353CC}">
              <c16:uniqueId val="{00000000-9EE2-4664-8925-AF83A4D14911}"/>
            </c:ext>
          </c:extLst>
        </c:ser>
        <c:ser>
          <c:idx val="1"/>
          <c:order val="1"/>
          <c:tx>
            <c:strRef>
              <c:f>'Genderplan churn'!$C$2:$C$3</c:f>
              <c:strCache>
                <c:ptCount val="1"/>
                <c:pt idx="0">
                  <c:v>Male</c:v>
                </c:pt>
              </c:strCache>
            </c:strRef>
          </c:tx>
          <c:spPr>
            <a:solidFill>
              <a:schemeClr val="accent2"/>
            </a:solidFill>
            <a:ln>
              <a:noFill/>
            </a:ln>
            <a:effectLst/>
          </c:spPr>
          <c:invertIfNegative val="0"/>
          <c:cat>
            <c:strRef>
              <c:f>'Genderplan churn'!$A$4:$A$7</c:f>
              <c:strCache>
                <c:ptCount val="3"/>
                <c:pt idx="0">
                  <c:v>Basic</c:v>
                </c:pt>
                <c:pt idx="1">
                  <c:v>Premium</c:v>
                </c:pt>
                <c:pt idx="2">
                  <c:v>Standard</c:v>
                </c:pt>
              </c:strCache>
            </c:strRef>
          </c:cat>
          <c:val>
            <c:numRef>
              <c:f>'Genderplan churn'!$C$4:$C$7</c:f>
              <c:numCache>
                <c:formatCode>0.00%;\-0.00%;0.00%</c:formatCode>
                <c:ptCount val="3"/>
                <c:pt idx="0">
                  <c:v>0.2868217054263566</c:v>
                </c:pt>
                <c:pt idx="1">
                  <c:v>0.16279069767441862</c:v>
                </c:pt>
                <c:pt idx="2">
                  <c:v>0.16312499999999999</c:v>
                </c:pt>
              </c:numCache>
            </c:numRef>
          </c:val>
          <c:extLst>
            <c:ext xmlns:c16="http://schemas.microsoft.com/office/drawing/2014/chart" uri="{C3380CC4-5D6E-409C-BE32-E72D297353CC}">
              <c16:uniqueId val="{00000000-2390-4D58-9929-0F17B6C6D9A2}"/>
            </c:ext>
          </c:extLst>
        </c:ser>
        <c:dLbls>
          <c:showLegendKey val="0"/>
          <c:showVal val="0"/>
          <c:showCatName val="0"/>
          <c:showSerName val="0"/>
          <c:showPercent val="0"/>
          <c:showBubbleSize val="0"/>
        </c:dLbls>
        <c:gapWidth val="219"/>
        <c:overlap val="-27"/>
        <c:axId val="196476479"/>
        <c:axId val="196477439"/>
      </c:barChart>
      <c:catAx>
        <c:axId val="19647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77439"/>
        <c:crosses val="autoZero"/>
        <c:auto val="1"/>
        <c:lblAlgn val="ctr"/>
        <c:lblOffset val="100"/>
        <c:noMultiLvlLbl val="0"/>
      </c:catAx>
      <c:valAx>
        <c:axId val="196477439"/>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7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device!PivotTable13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'churn by device'!$B$2</c:f>
              <c:strCache>
                <c:ptCount val="1"/>
                <c:pt idx="0">
                  <c:v>Total</c:v>
                </c:pt>
              </c:strCache>
            </c:strRef>
          </c:tx>
          <c:spPr>
            <a:solidFill>
              <a:schemeClr val="accent1"/>
            </a:solidFill>
            <a:ln>
              <a:noFill/>
            </a:ln>
            <a:effectLst/>
          </c:spPr>
          <c:invertIfNegative val="0"/>
          <c:cat>
            <c:strRef>
              <c:f>'churn by device'!$A$3:$A$7</c:f>
              <c:strCache>
                <c:ptCount val="4"/>
                <c:pt idx="0">
                  <c:v>Tablet</c:v>
                </c:pt>
                <c:pt idx="1">
                  <c:v>Laptop</c:v>
                </c:pt>
                <c:pt idx="2">
                  <c:v>Moblie</c:v>
                </c:pt>
                <c:pt idx="3">
                  <c:v>TV</c:v>
                </c:pt>
              </c:strCache>
            </c:strRef>
          </c:cat>
          <c:val>
            <c:numRef>
              <c:f>'churn by device'!$B$3:$B$7</c:f>
              <c:numCache>
                <c:formatCode>#,##0</c:formatCode>
                <c:ptCount val="4"/>
                <c:pt idx="0">
                  <c:v>18</c:v>
                </c:pt>
                <c:pt idx="1">
                  <c:v>186</c:v>
                </c:pt>
                <c:pt idx="2">
                  <c:v>280</c:v>
                </c:pt>
                <c:pt idx="3">
                  <c:v>363</c:v>
                </c:pt>
              </c:numCache>
            </c:numRef>
          </c:val>
          <c:extLst>
            <c:ext xmlns:c16="http://schemas.microsoft.com/office/drawing/2014/chart" uri="{C3380CC4-5D6E-409C-BE32-E72D297353CC}">
              <c16:uniqueId val="{00000000-0E47-44D9-93BF-9AD05BBEBC2F}"/>
            </c:ext>
          </c:extLst>
        </c:ser>
        <c:dLbls>
          <c:showLegendKey val="0"/>
          <c:showVal val="0"/>
          <c:showCatName val="0"/>
          <c:showSerName val="0"/>
          <c:showPercent val="0"/>
          <c:showBubbleSize val="0"/>
        </c:dLbls>
        <c:gapWidth val="182"/>
        <c:axId val="1298553903"/>
        <c:axId val="1298559183"/>
      </c:barChart>
      <c:catAx>
        <c:axId val="12985539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559183"/>
        <c:crosses val="autoZero"/>
        <c:auto val="1"/>
        <c:lblAlgn val="ctr"/>
        <c:lblOffset val="100"/>
        <c:noMultiLvlLbl val="0"/>
      </c:catAx>
      <c:valAx>
        <c:axId val="12985591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55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region!PivotTable14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'churn by region'!$B$2</c:f>
              <c:strCache>
                <c:ptCount val="1"/>
                <c:pt idx="0">
                  <c:v>Total</c:v>
                </c:pt>
              </c:strCache>
            </c:strRef>
          </c:tx>
          <c:spPr>
            <a:solidFill>
              <a:schemeClr val="accent1"/>
            </a:solidFill>
            <a:ln>
              <a:noFill/>
            </a:ln>
            <a:effectLst/>
          </c:spPr>
          <c:invertIfNegative val="0"/>
          <c:cat>
            <c:strRef>
              <c:f>'churn by region'!$A$3:$A$8</c:f>
              <c:strCache>
                <c:ptCount val="5"/>
                <c:pt idx="0">
                  <c:v>Africa</c:v>
                </c:pt>
                <c:pt idx="1">
                  <c:v>South America</c:v>
                </c:pt>
                <c:pt idx="2">
                  <c:v>Asia</c:v>
                </c:pt>
                <c:pt idx="3">
                  <c:v>North America</c:v>
                </c:pt>
                <c:pt idx="4">
                  <c:v>Europe</c:v>
                </c:pt>
              </c:strCache>
            </c:strRef>
          </c:cat>
          <c:val>
            <c:numRef>
              <c:f>'churn by region'!$B$3:$B$8</c:f>
              <c:numCache>
                <c:formatCode>#,##0</c:formatCode>
                <c:ptCount val="5"/>
                <c:pt idx="0">
                  <c:v>9</c:v>
                </c:pt>
                <c:pt idx="1">
                  <c:v>48</c:v>
                </c:pt>
                <c:pt idx="2">
                  <c:v>230</c:v>
                </c:pt>
                <c:pt idx="3">
                  <c:v>238</c:v>
                </c:pt>
                <c:pt idx="4">
                  <c:v>322</c:v>
                </c:pt>
              </c:numCache>
            </c:numRef>
          </c:val>
          <c:extLst>
            <c:ext xmlns:c16="http://schemas.microsoft.com/office/drawing/2014/chart" uri="{C3380CC4-5D6E-409C-BE32-E72D297353CC}">
              <c16:uniqueId val="{00000000-9E24-4649-86CC-6B7A2FECA50B}"/>
            </c:ext>
          </c:extLst>
        </c:ser>
        <c:dLbls>
          <c:showLegendKey val="0"/>
          <c:showVal val="0"/>
          <c:showCatName val="0"/>
          <c:showSerName val="0"/>
          <c:showPercent val="0"/>
          <c:showBubbleSize val="0"/>
        </c:dLbls>
        <c:gapWidth val="182"/>
        <c:axId val="196456799"/>
        <c:axId val="196473599"/>
      </c:barChart>
      <c:catAx>
        <c:axId val="1964567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73599"/>
        <c:crosses val="autoZero"/>
        <c:auto val="1"/>
        <c:lblAlgn val="ctr"/>
        <c:lblOffset val="100"/>
        <c:noMultiLvlLbl val="0"/>
      </c:catAx>
      <c:valAx>
        <c:axId val="19647359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56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.xlsx]avg watch btw churn &amp; active!PivotTable15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 watch btw churn &amp; active'!$B$2</c:f>
              <c:strCache>
                <c:ptCount val="1"/>
                <c:pt idx="0">
                  <c:v>Total</c:v>
                </c:pt>
              </c:strCache>
            </c:strRef>
          </c:tx>
          <c:spPr>
            <a:solidFill>
              <a:schemeClr val="accent1"/>
            </a:solidFill>
            <a:ln>
              <a:noFill/>
            </a:ln>
            <a:effectLst/>
          </c:spPr>
          <c:invertIfNegative val="0"/>
          <c:cat>
            <c:strRef>
              <c:f>'avg watch btw churn &amp; active'!$A$3:$A$5</c:f>
              <c:strCache>
                <c:ptCount val="2"/>
                <c:pt idx="0">
                  <c:v>Churn</c:v>
                </c:pt>
                <c:pt idx="1">
                  <c:v>Active</c:v>
                </c:pt>
              </c:strCache>
            </c:strRef>
          </c:cat>
          <c:val>
            <c:numRef>
              <c:f>'avg watch btw churn &amp; active'!$B$3:$B$5</c:f>
              <c:numCache>
                <c:formatCode>General</c:formatCode>
                <c:ptCount val="2"/>
                <c:pt idx="0">
                  <c:v>2.0574262101534804</c:v>
                </c:pt>
                <c:pt idx="1">
                  <c:v>2.146882309032097</c:v>
                </c:pt>
              </c:numCache>
            </c:numRef>
          </c:val>
          <c:extLst>
            <c:ext xmlns:c16="http://schemas.microsoft.com/office/drawing/2014/chart" uri="{C3380CC4-5D6E-409C-BE32-E72D297353CC}">
              <c16:uniqueId val="{00000000-8723-4BD2-B3DA-C0F0D6A8BC8F}"/>
            </c:ext>
          </c:extLst>
        </c:ser>
        <c:dLbls>
          <c:showLegendKey val="0"/>
          <c:showVal val="0"/>
          <c:showCatName val="0"/>
          <c:showSerName val="0"/>
          <c:showPercent val="0"/>
          <c:showBubbleSize val="0"/>
        </c:dLbls>
        <c:gapWidth val="219"/>
        <c:overlap val="-27"/>
        <c:axId val="1010735280"/>
        <c:axId val="1010735760"/>
      </c:barChart>
      <c:catAx>
        <c:axId val="101073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010735760"/>
        <c:crosses val="autoZero"/>
        <c:auto val="1"/>
        <c:lblAlgn val="ctr"/>
        <c:lblOffset val="100"/>
        <c:noMultiLvlLbl val="0"/>
      </c:catAx>
      <c:valAx>
        <c:axId val="1010735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010735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favorite genre!PivotTable16</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by favorite genre'!$B$2</c:f>
              <c:strCache>
                <c:ptCount val="1"/>
                <c:pt idx="0">
                  <c:v>Total</c:v>
                </c:pt>
              </c:strCache>
            </c:strRef>
          </c:tx>
          <c:spPr>
            <a:solidFill>
              <a:schemeClr val="accent1"/>
            </a:solidFill>
            <a:ln>
              <a:noFill/>
            </a:ln>
            <a:effectLst/>
          </c:spPr>
          <c:invertIfNegative val="0"/>
          <c:cat>
            <c:strRef>
              <c:f>'churn by favorite genre'!$A$3:$A$8</c:f>
              <c:strCache>
                <c:ptCount val="5"/>
                <c:pt idx="0">
                  <c:v>Documentary</c:v>
                </c:pt>
                <c:pt idx="1">
                  <c:v>Action</c:v>
                </c:pt>
                <c:pt idx="2">
                  <c:v>Comedy</c:v>
                </c:pt>
                <c:pt idx="3">
                  <c:v>Drama</c:v>
                </c:pt>
                <c:pt idx="4">
                  <c:v>Thriller</c:v>
                </c:pt>
              </c:strCache>
            </c:strRef>
          </c:cat>
          <c:val>
            <c:numRef>
              <c:f>'churn by favorite genre'!$B$3:$B$8</c:f>
              <c:numCache>
                <c:formatCode>#,##0</c:formatCode>
                <c:ptCount val="5"/>
                <c:pt idx="0">
                  <c:v>196</c:v>
                </c:pt>
                <c:pt idx="1">
                  <c:v>175</c:v>
                </c:pt>
                <c:pt idx="2">
                  <c:v>164</c:v>
                </c:pt>
                <c:pt idx="3">
                  <c:v>164</c:v>
                </c:pt>
                <c:pt idx="4">
                  <c:v>148</c:v>
                </c:pt>
              </c:numCache>
            </c:numRef>
          </c:val>
          <c:extLst>
            <c:ext xmlns:c16="http://schemas.microsoft.com/office/drawing/2014/chart" uri="{C3380CC4-5D6E-409C-BE32-E72D297353CC}">
              <c16:uniqueId val="{00000000-CC37-47FC-9CDD-E01C3115A3FC}"/>
            </c:ext>
          </c:extLst>
        </c:ser>
        <c:dLbls>
          <c:showLegendKey val="0"/>
          <c:showVal val="0"/>
          <c:showCatName val="0"/>
          <c:showSerName val="0"/>
          <c:showPercent val="0"/>
          <c:showBubbleSize val="0"/>
        </c:dLbls>
        <c:gapWidth val="219"/>
        <c:overlap val="-27"/>
        <c:axId val="191161823"/>
        <c:axId val="191157503"/>
      </c:barChart>
      <c:catAx>
        <c:axId val="19116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1157503"/>
        <c:crosses val="autoZero"/>
        <c:auto val="1"/>
        <c:lblAlgn val="ctr"/>
        <c:lblOffset val="100"/>
        <c:noMultiLvlLbl val="0"/>
      </c:catAx>
      <c:valAx>
        <c:axId val="1911575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116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plan!PivotTable8</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7763325053641025E-2"/>
              <c:y val="-0.23326730772040488"/>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27306754648020115"/>
                  <c:h val="0.1409855505879275"/>
                </c:manualLayout>
              </c15:layout>
            </c:ext>
          </c:extLst>
        </c:dLbl>
      </c:pivotFmt>
      <c:pivotFmt>
        <c:idx val="7"/>
        <c:spPr>
          <a:solidFill>
            <a:schemeClr val="accent1"/>
          </a:solidFill>
          <a:ln w="19050">
            <a:solidFill>
              <a:schemeClr val="lt1"/>
            </a:solidFill>
          </a:ln>
          <a:effectLst/>
        </c:spPr>
        <c:dLbl>
          <c:idx val="0"/>
          <c:layout>
            <c:manualLayout>
              <c:x val="0.24797297409583594"/>
              <c:y val="0.12739475200852782"/>
            </c:manualLayout>
          </c:layout>
          <c:numFmt formatCode="0.00%" sourceLinked="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31905994975433855"/>
                  <c:h val="0.13237919713132976"/>
                </c:manualLayout>
              </c15:layout>
            </c:ext>
          </c:extLst>
        </c:dLbl>
      </c:pivotFmt>
      <c:pivotFmt>
        <c:idx val="8"/>
        <c:spPr>
          <a:solidFill>
            <a:schemeClr val="accent1"/>
          </a:solidFill>
          <a:ln w="19050">
            <a:solidFill>
              <a:schemeClr val="lt1"/>
            </a:solidFill>
          </a:ln>
          <a:effectLst/>
        </c:spPr>
        <c:dLbl>
          <c:idx val="0"/>
          <c:layout>
            <c:manualLayout>
              <c:x val="-0.12220153542676809"/>
              <c:y val="-0.13641829381348725"/>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25899732499608086"/>
                  <c:h val="0.1409855505879275"/>
                </c:manualLayout>
              </c15:layout>
            </c:ext>
          </c:extLst>
        </c:dLbl>
      </c:pivotFmt>
    </c:pivotFmts>
    <c:plotArea>
      <c:layout/>
      <c:doughnutChart>
        <c:varyColors val="1"/>
        <c:ser>
          <c:idx val="0"/>
          <c:order val="0"/>
          <c:tx>
            <c:strRef>
              <c:f>'Churn by plan'!$B$2</c:f>
              <c:strCache>
                <c:ptCount val="1"/>
                <c:pt idx="0">
                  <c:v>Total</c:v>
                </c:pt>
              </c:strCache>
            </c:strRef>
          </c:tx>
          <c:explosion val="12"/>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A16-4086-BB5C-487DA1305F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A16-4086-BB5C-487DA1305FF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A16-4086-BB5C-487DA1305FF0}"/>
              </c:ext>
            </c:extLst>
          </c:dPt>
          <c:dLbls>
            <c:dLbl>
              <c:idx val="0"/>
              <c:layout>
                <c:manualLayout>
                  <c:x val="8.7763325053641025E-2"/>
                  <c:y val="-0.23326730772040488"/>
                </c:manualLayout>
              </c:layout>
              <c:showLegendKey val="0"/>
              <c:showVal val="1"/>
              <c:showCatName val="0"/>
              <c:showSerName val="0"/>
              <c:showPercent val="0"/>
              <c:showBubbleSize val="0"/>
              <c:extLst>
                <c:ext xmlns:c15="http://schemas.microsoft.com/office/drawing/2012/chart" uri="{CE6537A1-D6FC-4f65-9D91-7224C49458BB}">
                  <c15:layout>
                    <c:manualLayout>
                      <c:w val="0.27306754648020115"/>
                      <c:h val="0.1409855505879275"/>
                    </c:manualLayout>
                  </c15:layout>
                </c:ext>
                <c:ext xmlns:c16="http://schemas.microsoft.com/office/drawing/2014/chart" uri="{C3380CC4-5D6E-409C-BE32-E72D297353CC}">
                  <c16:uniqueId val="{00000001-1A16-4086-BB5C-487DA1305FF0}"/>
                </c:ext>
              </c:extLst>
            </c:dLbl>
            <c:dLbl>
              <c:idx val="1"/>
              <c:layout>
                <c:manualLayout>
                  <c:x val="0.24797297409583594"/>
                  <c:y val="0.12739475200852782"/>
                </c:manualLayout>
              </c:layout>
              <c:numFmt formatCode="0.00%" sourceLinked="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31905994975433855"/>
                      <c:h val="0.13237919713132976"/>
                    </c:manualLayout>
                  </c15:layout>
                </c:ext>
                <c:ext xmlns:c16="http://schemas.microsoft.com/office/drawing/2014/chart" uri="{C3380CC4-5D6E-409C-BE32-E72D297353CC}">
                  <c16:uniqueId val="{00000003-1A16-4086-BB5C-487DA1305FF0}"/>
                </c:ext>
              </c:extLst>
            </c:dLbl>
            <c:dLbl>
              <c:idx val="2"/>
              <c:layout>
                <c:manualLayout>
                  <c:x val="-0.12220153542676809"/>
                  <c:y val="-0.13641829381348725"/>
                </c:manualLayout>
              </c:layout>
              <c:showLegendKey val="0"/>
              <c:showVal val="1"/>
              <c:showCatName val="0"/>
              <c:showSerName val="0"/>
              <c:showPercent val="0"/>
              <c:showBubbleSize val="0"/>
              <c:extLst>
                <c:ext xmlns:c15="http://schemas.microsoft.com/office/drawing/2012/chart" uri="{CE6537A1-D6FC-4f65-9D91-7224C49458BB}">
                  <c15:layout>
                    <c:manualLayout>
                      <c:w val="0.25899732499608086"/>
                      <c:h val="0.1409855505879275"/>
                    </c:manualLayout>
                  </c15:layout>
                </c:ext>
                <c:ext xmlns:c16="http://schemas.microsoft.com/office/drawing/2014/chart" uri="{C3380CC4-5D6E-409C-BE32-E72D297353CC}">
                  <c16:uniqueId val="{00000005-1A16-4086-BB5C-487DA1305FF0}"/>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'Churn by plan'!$A$3:$A$6</c:f>
              <c:strCache>
                <c:ptCount val="3"/>
                <c:pt idx="0">
                  <c:v>Basic</c:v>
                </c:pt>
                <c:pt idx="1">
                  <c:v>Standard</c:v>
                </c:pt>
                <c:pt idx="2">
                  <c:v>Premium</c:v>
                </c:pt>
              </c:strCache>
            </c:strRef>
          </c:cat>
          <c:val>
            <c:numRef>
              <c:f>'Churn by plan'!$B$3:$B$6</c:f>
              <c:numCache>
                <c:formatCode>0.00%</c:formatCode>
                <c:ptCount val="3"/>
                <c:pt idx="0">
                  <c:v>0.24657534246575341</c:v>
                </c:pt>
                <c:pt idx="1">
                  <c:v>0.17005379557680814</c:v>
                </c:pt>
                <c:pt idx="2">
                  <c:v>0.16775244299674266</c:v>
                </c:pt>
              </c:numCache>
            </c:numRef>
          </c:val>
          <c:extLst>
            <c:ext xmlns:c16="http://schemas.microsoft.com/office/drawing/2014/chart" uri="{C3380CC4-5D6E-409C-BE32-E72D297353CC}">
              <c16:uniqueId val="{00000006-1A16-4086-BB5C-487DA1305FF0}"/>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b"/>
      <c:layout>
        <c:manualLayout>
          <c:xMode val="edge"/>
          <c:yMode val="edge"/>
          <c:x val="2.8960451332284969E-2"/>
          <c:y val="0.8171299148875989"/>
          <c:w val="0.89999950113104676"/>
          <c:h val="0.1093446122555323"/>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.xlsx]Revenue lost by plan!PivotTable9</c:name>
    <c:fmtId val="4"/>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dLbl>
          <c:idx val="0"/>
          <c:spPr>
            <a:noFill/>
            <a:ln>
              <a:noFill/>
            </a:ln>
            <a:effectLst/>
          </c:spPr>
          <c:txPr>
            <a:bodyPr wrap="square" lIns="38100" tIns="19050" rIns="38100" bIns="19050" anchor="ctr">
              <a:spAutoFit/>
            </a:bodyPr>
            <a:lstStyle/>
            <a:p>
              <a:pPr>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6.2999399769498254E-2"/>
              <c:y val="0.14907977363273373"/>
            </c:manualLayout>
          </c:layout>
          <c:spPr>
            <a:noFill/>
            <a:ln>
              <a:noFill/>
            </a:ln>
            <a:effectLst/>
          </c:spPr>
          <c:txPr>
            <a:bodyPr wrap="square" lIns="38100" tIns="19050" rIns="38100" bIns="19050" anchor="ctr">
              <a:noAutofit/>
            </a:bodyPr>
            <a:lstStyle/>
            <a:p>
              <a:pPr>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34697026036576462"/>
                  <c:h val="0.12343565699396206"/>
                </c:manualLayout>
              </c15:layout>
            </c:ext>
          </c:extLst>
        </c:dLbl>
      </c:pivotFmt>
      <c:pivotFmt>
        <c:idx val="11"/>
        <c:spPr>
          <a:solidFill>
            <a:schemeClr val="accent2"/>
          </a:solidFill>
          <a:ln w="19050">
            <a:solidFill>
              <a:schemeClr val="lt1"/>
            </a:solidFill>
          </a:ln>
          <a:effectLst/>
        </c:spPr>
        <c:dLbl>
          <c:idx val="0"/>
          <c:layout>
            <c:manualLayout>
              <c:x val="-1.0917140080791365E-2"/>
              <c:y val="0.31046857959656926"/>
            </c:manualLayout>
          </c:layout>
          <c:spPr>
            <a:noFill/>
            <a:ln>
              <a:noFill/>
            </a:ln>
            <a:effectLst/>
          </c:spPr>
          <c:txPr>
            <a:bodyPr wrap="square" lIns="38100" tIns="19050" rIns="38100" bIns="19050" anchor="ctr">
              <a:spAutoFit/>
            </a:bodyPr>
            <a:lstStyle/>
            <a:p>
              <a:pPr>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27170213575130503"/>
                  <c:h val="0.14024352167325166"/>
                </c:manualLayout>
              </c15:layout>
            </c:ext>
          </c:extLst>
        </c:dLbl>
      </c:pivotFmt>
      <c:pivotFmt>
        <c:idx val="12"/>
        <c:spPr>
          <a:solidFill>
            <a:schemeClr val="accent3"/>
          </a:solidFill>
          <a:ln w="19050">
            <a:solidFill>
              <a:schemeClr val="lt1"/>
            </a:solidFill>
          </a:ln>
          <a:effectLst/>
        </c:spPr>
        <c:dLbl>
          <c:idx val="0"/>
          <c:layout>
            <c:manualLayout>
              <c:x val="0.34825854275463186"/>
              <c:y val="-9.4909945574169902E-2"/>
            </c:manualLayout>
          </c:layout>
          <c:spPr>
            <a:noFill/>
            <a:ln>
              <a:noFill/>
            </a:ln>
            <a:effectLst/>
          </c:spPr>
          <c:txPr>
            <a:bodyPr wrap="square" lIns="38100" tIns="19050" rIns="38100" bIns="19050" anchor="ctr">
              <a:spAutoFit/>
            </a:bodyPr>
            <a:lstStyle/>
            <a:p>
              <a:pPr>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22088695692234"/>
          <c:y val="0.18711707511295986"/>
          <c:w val="0.72176720095559954"/>
          <c:h val="0.54639232184352815"/>
        </c:manualLayout>
      </c:layout>
      <c:doughnutChart>
        <c:varyColors val="1"/>
        <c:ser>
          <c:idx val="0"/>
          <c:order val="0"/>
          <c:tx>
            <c:strRef>
              <c:f>'Revenue lost by plan'!$B$2</c:f>
              <c:strCache>
                <c:ptCount val="1"/>
                <c:pt idx="0">
                  <c:v>Total</c:v>
                </c:pt>
              </c:strCache>
            </c:strRef>
          </c:tx>
          <c:explosion val="9"/>
          <c:dPt>
            <c:idx val="0"/>
            <c:bubble3D val="0"/>
            <c:spPr>
              <a:solidFill>
                <a:schemeClr val="accent1"/>
              </a:solidFill>
              <a:ln w="19050">
                <a:solidFill>
                  <a:schemeClr val="lt1"/>
                </a:solidFill>
              </a:ln>
              <a:effectLst/>
            </c:spPr>
            <c:extLst>
              <c:ext xmlns:c16="http://schemas.microsoft.com/office/drawing/2014/chart" uri="{C3380CC4-5D6E-409C-BE32-E72D297353CC}">
                <c16:uniqueId val="{00000009-4298-40D8-AB29-DF8CEBFBED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4298-40D8-AB29-DF8CEBFBEDB1}"/>
              </c:ext>
            </c:extLst>
          </c:dPt>
          <c:dPt>
            <c:idx val="2"/>
            <c:bubble3D val="0"/>
            <c:explosion val="23"/>
            <c:spPr>
              <a:solidFill>
                <a:schemeClr val="accent3"/>
              </a:solidFill>
              <a:ln w="19050">
                <a:solidFill>
                  <a:schemeClr val="lt1"/>
                </a:solidFill>
              </a:ln>
              <a:effectLst/>
            </c:spPr>
            <c:extLst>
              <c:ext xmlns:c16="http://schemas.microsoft.com/office/drawing/2014/chart" uri="{C3380CC4-5D6E-409C-BE32-E72D297353CC}">
                <c16:uniqueId val="{0000000D-4298-40D8-AB29-DF8CEBFBEDB1}"/>
              </c:ext>
            </c:extLst>
          </c:dPt>
          <c:dLbls>
            <c:dLbl>
              <c:idx val="0"/>
              <c:layout>
                <c:manualLayout>
                  <c:x val="6.2999399769498254E-2"/>
                  <c:y val="0.14907977363273373"/>
                </c:manualLayout>
              </c:layout>
              <c:spPr>
                <a:noFill/>
                <a:ln>
                  <a:noFill/>
                </a:ln>
                <a:effectLst/>
              </c:spPr>
              <c:txPr>
                <a:bodyPr wrap="square" lIns="38100" tIns="19050" rIns="38100" bIns="19050" anchor="ctr">
                  <a:noAutofit/>
                </a:bodyPr>
                <a:lstStyle/>
                <a:p>
                  <a:pPr>
                    <a:defRPr/>
                  </a:pPr>
                  <a:endParaRPr lang="en-NG"/>
                </a:p>
              </c:txPr>
              <c:showLegendKey val="0"/>
              <c:showVal val="1"/>
              <c:showCatName val="0"/>
              <c:showSerName val="0"/>
              <c:showPercent val="0"/>
              <c:showBubbleSize val="0"/>
              <c:extLst>
                <c:ext xmlns:c15="http://schemas.microsoft.com/office/drawing/2012/chart" uri="{CE6537A1-D6FC-4f65-9D91-7224C49458BB}">
                  <c15:layout>
                    <c:manualLayout>
                      <c:w val="0.34697026036576462"/>
                      <c:h val="0.12343565699396206"/>
                    </c:manualLayout>
                  </c15:layout>
                </c:ext>
                <c:ext xmlns:c16="http://schemas.microsoft.com/office/drawing/2014/chart" uri="{C3380CC4-5D6E-409C-BE32-E72D297353CC}">
                  <c16:uniqueId val="{00000009-4298-40D8-AB29-DF8CEBFBEDB1}"/>
                </c:ext>
              </c:extLst>
            </c:dLbl>
            <c:dLbl>
              <c:idx val="1"/>
              <c:layout>
                <c:manualLayout>
                  <c:x val="-1.0917140080791365E-2"/>
                  <c:y val="0.31046857959656926"/>
                </c:manualLayout>
              </c:layout>
              <c:showLegendKey val="0"/>
              <c:showVal val="1"/>
              <c:showCatName val="0"/>
              <c:showSerName val="0"/>
              <c:showPercent val="0"/>
              <c:showBubbleSize val="0"/>
              <c:extLst>
                <c:ext xmlns:c15="http://schemas.microsoft.com/office/drawing/2012/chart" uri="{CE6537A1-D6FC-4f65-9D91-7224C49458BB}">
                  <c15:layout>
                    <c:manualLayout>
                      <c:w val="0.27170213575130503"/>
                      <c:h val="0.14024352167325166"/>
                    </c:manualLayout>
                  </c15:layout>
                </c:ext>
                <c:ext xmlns:c16="http://schemas.microsoft.com/office/drawing/2014/chart" uri="{C3380CC4-5D6E-409C-BE32-E72D297353CC}">
                  <c16:uniqueId val="{0000000B-4298-40D8-AB29-DF8CEBFBEDB1}"/>
                </c:ext>
              </c:extLst>
            </c:dLbl>
            <c:dLbl>
              <c:idx val="2"/>
              <c:layout>
                <c:manualLayout>
                  <c:x val="0.34825854275463186"/>
                  <c:y val="-9.49099455741699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298-40D8-AB29-DF8CEBFBEDB1}"/>
                </c:ext>
              </c:extLst>
            </c:dLbl>
            <c:spPr>
              <a:noFill/>
              <a:ln>
                <a:noFill/>
              </a:ln>
              <a:effectLst/>
            </c:spPr>
            <c:txPr>
              <a:bodyPr wrap="square" lIns="38100" tIns="19050" rIns="38100" bIns="19050" anchor="ctr">
                <a:spAutoFit/>
              </a:bodyPr>
              <a:lstStyle/>
              <a:p>
                <a:pPr>
                  <a:defRPr/>
                </a:pPr>
                <a:endParaRPr lang="en-NG"/>
              </a:p>
            </c:txPr>
            <c:showLegendKey val="0"/>
            <c:showVal val="1"/>
            <c:showCatName val="0"/>
            <c:showSerName val="0"/>
            <c:showPercent val="0"/>
            <c:showBubbleSize val="0"/>
            <c:showLeaderLines val="1"/>
            <c:extLst>
              <c:ext xmlns:c15="http://schemas.microsoft.com/office/drawing/2012/chart" uri="{CE6537A1-D6FC-4f65-9D91-7224C49458BB}"/>
            </c:extLst>
          </c:dLbls>
          <c:cat>
            <c:strRef>
              <c:f>'Revenue lost by plan'!$A$3:$A$6</c:f>
              <c:strCache>
                <c:ptCount val="3"/>
                <c:pt idx="0">
                  <c:v>Standard</c:v>
                </c:pt>
                <c:pt idx="1">
                  <c:v>Premium</c:v>
                </c:pt>
                <c:pt idx="2">
                  <c:v>Basic</c:v>
                </c:pt>
              </c:strCache>
            </c:strRef>
          </c:cat>
          <c:val>
            <c:numRef>
              <c:f>'Revenue lost by plan'!$B$3:$B$6</c:f>
              <c:numCache>
                <c:formatCode>[$$-409]#,##0</c:formatCode>
                <c:ptCount val="3"/>
                <c:pt idx="0">
                  <c:v>7960.3099999999095</c:v>
                </c:pt>
                <c:pt idx="1">
                  <c:v>3705.9399999999805</c:v>
                </c:pt>
                <c:pt idx="2">
                  <c:v>647.28000000000043</c:v>
                </c:pt>
              </c:numCache>
            </c:numRef>
          </c:val>
          <c:extLst>
            <c:ext xmlns:c16="http://schemas.microsoft.com/office/drawing/2014/chart" uri="{C3380CC4-5D6E-409C-BE32-E72D297353CC}">
              <c16:uniqueId val="{0000000E-4298-40D8-AB29-DF8CEBFBEDB1}"/>
            </c:ext>
          </c:extLst>
        </c:ser>
        <c:dLbls>
          <c:showLegendKey val="0"/>
          <c:showVal val="1"/>
          <c:showCatName val="0"/>
          <c:showSerName val="0"/>
          <c:showPercent val="0"/>
          <c:showBubbleSize val="0"/>
          <c:showLeaderLines val="1"/>
        </c:dLbls>
        <c:firstSliceAng val="0"/>
        <c:holeSize val="60"/>
      </c:doughnutChart>
    </c:plotArea>
    <c:legend>
      <c:legendPos val="b"/>
      <c:layout>
        <c:manualLayout>
          <c:xMode val="edge"/>
          <c:yMode val="edge"/>
          <c:x val="2.1982688729142694E-2"/>
          <c:y val="0.82159329701210837"/>
          <c:w val="0.89999966908492057"/>
          <c:h val="0.17309894496816181"/>
        </c:manualLayout>
      </c:layout>
      <c:overlay val="0"/>
    </c:legend>
    <c:plotVisOnly val="1"/>
    <c:dispBlanksAs val="gap"/>
    <c:showDLblsOverMax val="0"/>
    <c:extLst/>
  </c:chart>
  <c:txPr>
    <a:bodyPr/>
    <a:lstStyle/>
    <a:p>
      <a:pPr>
        <a:defRPr lang="en-US" sz="1000" b="0" i="0" u="none" strike="noStrike" kern="1200" baseline="0">
          <a:solidFill>
            <a:schemeClr val="tx1"/>
          </a:solidFill>
          <a:latin typeface="+mn-lt"/>
          <a:ea typeface="+mn-ea"/>
          <a:cs typeface="+mn-cs"/>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.xlsx]Retention rate by plan!PivotTable10</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3166790440680962"/>
              <c:y val="-0.10470807060127169"/>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32570481616421326"/>
              <c:y val="9.4237263541144409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3166790440680962"/>
              <c:y val="-0.1465912988417803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'Retention rate by plan'!$B$2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87A-4407-85B1-BCCCCCD3A44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87A-4407-85B1-BCCCCCD3A44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87A-4407-85B1-BCCCCCD3A442}"/>
              </c:ext>
            </c:extLst>
          </c:dPt>
          <c:dLbls>
            <c:dLbl>
              <c:idx val="0"/>
              <c:layout>
                <c:manualLayout>
                  <c:x val="0.13166790440680962"/>
                  <c:y val="-0.1465912988417803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87A-4407-85B1-BCCCCCD3A442}"/>
                </c:ext>
              </c:extLst>
            </c:dLbl>
            <c:dLbl>
              <c:idx val="1"/>
              <c:layout>
                <c:manualLayout>
                  <c:x val="0.32570481616421326"/>
                  <c:y val="9.42372635411444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87A-4407-85B1-BCCCCCD3A442}"/>
                </c:ext>
              </c:extLst>
            </c:dLbl>
            <c:dLbl>
              <c:idx val="2"/>
              <c:layout>
                <c:manualLayout>
                  <c:x val="-0.13166790440680962"/>
                  <c:y val="-0.104708070601271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87A-4407-85B1-BCCCCCD3A442}"/>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'Retention rate by plan'!$A$3:$A$6</c:f>
              <c:strCache>
                <c:ptCount val="3"/>
                <c:pt idx="0">
                  <c:v>Basic</c:v>
                </c:pt>
                <c:pt idx="1">
                  <c:v>Standard</c:v>
                </c:pt>
                <c:pt idx="2">
                  <c:v>Premium</c:v>
                </c:pt>
              </c:strCache>
            </c:strRef>
          </c:cat>
          <c:val>
            <c:numRef>
              <c:f>'Retention rate by plan'!$B$3:$B$6</c:f>
              <c:numCache>
                <c:formatCode>0.0%;\-0.0%;0.0%</c:formatCode>
                <c:ptCount val="3"/>
                <c:pt idx="0">
                  <c:v>0.75342465753424659</c:v>
                </c:pt>
                <c:pt idx="1">
                  <c:v>0.82994620442319189</c:v>
                </c:pt>
                <c:pt idx="2">
                  <c:v>0.83224755700325737</c:v>
                </c:pt>
              </c:numCache>
            </c:numRef>
          </c:val>
          <c:extLst>
            <c:ext xmlns:c16="http://schemas.microsoft.com/office/drawing/2014/chart" uri="{C3380CC4-5D6E-409C-BE32-E72D297353CC}">
              <c16:uniqueId val="{00000006-E87A-4407-85B1-BCCCCCD3A442}"/>
            </c:ext>
          </c:extLst>
        </c:ser>
        <c:dLbls>
          <c:showLegendKey val="0"/>
          <c:showVal val="0"/>
          <c:showCatName val="0"/>
          <c:showSerName val="0"/>
          <c:showPercent val="0"/>
          <c:showBubbleSize val="0"/>
          <c:showLeaderLines val="1"/>
        </c:dLbls>
        <c:firstSliceAng val="2"/>
        <c:holeSize val="64"/>
      </c:doughnutChart>
      <c:spPr>
        <a:noFill/>
        <a:ln>
          <a:noFill/>
        </a:ln>
        <a:effectLst/>
      </c:spPr>
    </c:plotArea>
    <c:legend>
      <c:legendPos val="b"/>
      <c:layout>
        <c:manualLayout>
          <c:xMode val="edge"/>
          <c:yMode val="edge"/>
          <c:x val="1.5836704829129727E-2"/>
          <c:y val="0.8228660987079639"/>
          <c:w val="0.9"/>
          <c:h val="0.17186401025429507"/>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.xlsx]Age group plan churn!PivotTable11</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group plan churn'!$B$2:$B$3</c:f>
              <c:strCache>
                <c:ptCount val="1"/>
                <c:pt idx="0">
                  <c:v>Middle Adulthood</c:v>
                </c:pt>
              </c:strCache>
            </c:strRef>
          </c:tx>
          <c:spPr>
            <a:solidFill>
              <a:schemeClr val="accent1"/>
            </a:solidFill>
            <a:ln>
              <a:noFill/>
            </a:ln>
            <a:effectLst/>
          </c:spPr>
          <c:invertIfNegative val="0"/>
          <c:cat>
            <c:strRef>
              <c:f>'Age group plan churn'!$A$4:$A$7</c:f>
              <c:strCache>
                <c:ptCount val="3"/>
                <c:pt idx="0">
                  <c:v>Basic</c:v>
                </c:pt>
                <c:pt idx="1">
                  <c:v>Premium</c:v>
                </c:pt>
                <c:pt idx="2">
                  <c:v>Standard</c:v>
                </c:pt>
              </c:strCache>
            </c:strRef>
          </c:cat>
          <c:val>
            <c:numRef>
              <c:f>'Age group plan churn'!$B$4:$B$7</c:f>
              <c:numCache>
                <c:formatCode>0%;\-0%;0%</c:formatCode>
                <c:ptCount val="3"/>
                <c:pt idx="0">
                  <c:v>0.21705426356589147</c:v>
                </c:pt>
                <c:pt idx="1">
                  <c:v>0.16161616161616163</c:v>
                </c:pt>
                <c:pt idx="2">
                  <c:v>0.17824561403508771</c:v>
                </c:pt>
              </c:numCache>
            </c:numRef>
          </c:val>
          <c:extLst>
            <c:ext xmlns:c16="http://schemas.microsoft.com/office/drawing/2014/chart" uri="{C3380CC4-5D6E-409C-BE32-E72D297353CC}">
              <c16:uniqueId val="{00000000-65D1-4E50-BBD1-8C9B0BC101C4}"/>
            </c:ext>
          </c:extLst>
        </c:ser>
        <c:ser>
          <c:idx val="1"/>
          <c:order val="1"/>
          <c:tx>
            <c:strRef>
              <c:f>'Age group plan churn'!$C$2:$C$3</c:f>
              <c:strCache>
                <c:ptCount val="1"/>
                <c:pt idx="0">
                  <c:v>Old</c:v>
                </c:pt>
              </c:strCache>
            </c:strRef>
          </c:tx>
          <c:spPr>
            <a:solidFill>
              <a:schemeClr val="accent2"/>
            </a:solidFill>
            <a:ln>
              <a:noFill/>
            </a:ln>
            <a:effectLst/>
          </c:spPr>
          <c:invertIfNegative val="0"/>
          <c:cat>
            <c:strRef>
              <c:f>'Age group plan churn'!$A$4:$A$7</c:f>
              <c:strCache>
                <c:ptCount val="3"/>
                <c:pt idx="0">
                  <c:v>Basic</c:v>
                </c:pt>
                <c:pt idx="1">
                  <c:v>Premium</c:v>
                </c:pt>
                <c:pt idx="2">
                  <c:v>Standard</c:v>
                </c:pt>
              </c:strCache>
            </c:strRef>
          </c:cat>
          <c:val>
            <c:numRef>
              <c:f>'Age group plan churn'!$C$4:$C$7</c:f>
              <c:numCache>
                <c:formatCode>0%;\-0%;0%</c:formatCode>
                <c:ptCount val="3"/>
                <c:pt idx="0">
                  <c:v>0.23636363636363636</c:v>
                </c:pt>
                <c:pt idx="1">
                  <c:v>0.17607973421926909</c:v>
                </c:pt>
                <c:pt idx="2">
                  <c:v>0.15616797900262466</c:v>
                </c:pt>
              </c:numCache>
            </c:numRef>
          </c:val>
          <c:extLst>
            <c:ext xmlns:c16="http://schemas.microsoft.com/office/drawing/2014/chart" uri="{C3380CC4-5D6E-409C-BE32-E72D297353CC}">
              <c16:uniqueId val="{00000001-65D1-4E50-BBD1-8C9B0BC101C4}"/>
            </c:ext>
          </c:extLst>
        </c:ser>
        <c:ser>
          <c:idx val="2"/>
          <c:order val="2"/>
          <c:tx>
            <c:strRef>
              <c:f>'Age group plan churn'!$D$2:$D$3</c:f>
              <c:strCache>
                <c:ptCount val="1"/>
                <c:pt idx="0">
                  <c:v>Young Adult</c:v>
                </c:pt>
              </c:strCache>
            </c:strRef>
          </c:tx>
          <c:spPr>
            <a:solidFill>
              <a:schemeClr val="accent3"/>
            </a:solidFill>
            <a:ln>
              <a:noFill/>
            </a:ln>
            <a:effectLst/>
          </c:spPr>
          <c:invertIfNegative val="0"/>
          <c:cat>
            <c:strRef>
              <c:f>'Age group plan churn'!$A$4:$A$7</c:f>
              <c:strCache>
                <c:ptCount val="3"/>
                <c:pt idx="0">
                  <c:v>Basic</c:v>
                </c:pt>
                <c:pt idx="1">
                  <c:v>Premium</c:v>
                </c:pt>
                <c:pt idx="2">
                  <c:v>Standard</c:v>
                </c:pt>
              </c:strCache>
            </c:strRef>
          </c:cat>
          <c:val>
            <c:numRef>
              <c:f>'Age group plan churn'!$D$4:$D$7</c:f>
              <c:numCache>
                <c:formatCode>0%;\-0%;0%</c:formatCode>
                <c:ptCount val="3"/>
                <c:pt idx="0">
                  <c:v>0.28703703703703703</c:v>
                </c:pt>
                <c:pt idx="1">
                  <c:v>0.16898148148148148</c:v>
                </c:pt>
                <c:pt idx="2">
                  <c:v>0.16911130284728215</c:v>
                </c:pt>
              </c:numCache>
            </c:numRef>
          </c:val>
          <c:extLst>
            <c:ext xmlns:c16="http://schemas.microsoft.com/office/drawing/2014/chart" uri="{C3380CC4-5D6E-409C-BE32-E72D297353CC}">
              <c16:uniqueId val="{00000002-65D1-4E50-BBD1-8C9B0BC101C4}"/>
            </c:ext>
          </c:extLst>
        </c:ser>
        <c:dLbls>
          <c:showLegendKey val="0"/>
          <c:showVal val="0"/>
          <c:showCatName val="0"/>
          <c:showSerName val="0"/>
          <c:showPercent val="0"/>
          <c:showBubbleSize val="0"/>
        </c:dLbls>
        <c:gapWidth val="219"/>
        <c:overlap val="-27"/>
        <c:axId val="1298611983"/>
        <c:axId val="1298613423"/>
      </c:barChart>
      <c:catAx>
        <c:axId val="1298611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613423"/>
        <c:crosses val="autoZero"/>
        <c:auto val="1"/>
        <c:lblAlgn val="ctr"/>
        <c:lblOffset val="100"/>
        <c:noMultiLvlLbl val="0"/>
      </c:catAx>
      <c:valAx>
        <c:axId val="129861342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611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.xlsx]Genderplan churn!PivotTable12</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'Genderplan churn'!$B$2:$B$3</c:f>
              <c:strCache>
                <c:ptCount val="1"/>
                <c:pt idx="0">
                  <c:v>Female</c:v>
                </c:pt>
              </c:strCache>
            </c:strRef>
          </c:tx>
          <c:spPr>
            <a:solidFill>
              <a:schemeClr val="accent1"/>
            </a:solidFill>
            <a:ln>
              <a:noFill/>
            </a:ln>
            <a:effectLst/>
          </c:spPr>
          <c:invertIfNegative val="0"/>
          <c:cat>
            <c:strRef>
              <c:f>'Genderplan churn'!$A$4:$A$7</c:f>
              <c:strCache>
                <c:ptCount val="3"/>
                <c:pt idx="0">
                  <c:v>Basic</c:v>
                </c:pt>
                <c:pt idx="1">
                  <c:v>Premium</c:v>
                </c:pt>
                <c:pt idx="2">
                  <c:v>Standard</c:v>
                </c:pt>
              </c:strCache>
            </c:strRef>
          </c:cat>
          <c:val>
            <c:numRef>
              <c:f>'Genderplan churn'!$B$4:$B$7</c:f>
              <c:numCache>
                <c:formatCode>0.00%;\-0.00%;0.00%</c:formatCode>
                <c:ptCount val="3"/>
                <c:pt idx="0">
                  <c:v>0.21472392638036811</c:v>
                </c:pt>
                <c:pt idx="1">
                  <c:v>0.17189835575485798</c:v>
                </c:pt>
                <c:pt idx="2">
                  <c:v>0.17640320733104239</c:v>
                </c:pt>
              </c:numCache>
            </c:numRef>
          </c:val>
          <c:extLst>
            <c:ext xmlns:c16="http://schemas.microsoft.com/office/drawing/2014/chart" uri="{C3380CC4-5D6E-409C-BE32-E72D297353CC}">
              <c16:uniqueId val="{00000000-96B3-4752-868A-077041860727}"/>
            </c:ext>
          </c:extLst>
        </c:ser>
        <c:ser>
          <c:idx val="1"/>
          <c:order val="1"/>
          <c:tx>
            <c:strRef>
              <c:f>'Genderplan churn'!$C$2:$C$3</c:f>
              <c:strCache>
                <c:ptCount val="1"/>
                <c:pt idx="0">
                  <c:v>Male</c:v>
                </c:pt>
              </c:strCache>
            </c:strRef>
          </c:tx>
          <c:spPr>
            <a:solidFill>
              <a:schemeClr val="accent2"/>
            </a:solidFill>
            <a:ln>
              <a:noFill/>
            </a:ln>
            <a:effectLst/>
          </c:spPr>
          <c:invertIfNegative val="0"/>
          <c:cat>
            <c:strRef>
              <c:f>'Genderplan churn'!$A$4:$A$7</c:f>
              <c:strCache>
                <c:ptCount val="3"/>
                <c:pt idx="0">
                  <c:v>Basic</c:v>
                </c:pt>
                <c:pt idx="1">
                  <c:v>Premium</c:v>
                </c:pt>
                <c:pt idx="2">
                  <c:v>Standard</c:v>
                </c:pt>
              </c:strCache>
            </c:strRef>
          </c:cat>
          <c:val>
            <c:numRef>
              <c:f>'Genderplan churn'!$C$4:$C$7</c:f>
              <c:numCache>
                <c:formatCode>0.00%;\-0.00%;0.00%</c:formatCode>
                <c:ptCount val="3"/>
                <c:pt idx="0">
                  <c:v>0.2868217054263566</c:v>
                </c:pt>
                <c:pt idx="1">
                  <c:v>0.16279069767441862</c:v>
                </c:pt>
                <c:pt idx="2">
                  <c:v>0.16312499999999999</c:v>
                </c:pt>
              </c:numCache>
            </c:numRef>
          </c:val>
          <c:extLst>
            <c:ext xmlns:c16="http://schemas.microsoft.com/office/drawing/2014/chart" uri="{C3380CC4-5D6E-409C-BE32-E72D297353CC}">
              <c16:uniqueId val="{00000001-DAA3-41E2-A5BF-E2CF44C68893}"/>
            </c:ext>
          </c:extLst>
        </c:ser>
        <c:dLbls>
          <c:showLegendKey val="0"/>
          <c:showVal val="0"/>
          <c:showCatName val="0"/>
          <c:showSerName val="0"/>
          <c:showPercent val="0"/>
          <c:showBubbleSize val="0"/>
        </c:dLbls>
        <c:gapWidth val="219"/>
        <c:overlap val="-27"/>
        <c:axId val="196476479"/>
        <c:axId val="196477439"/>
      </c:barChart>
      <c:catAx>
        <c:axId val="19647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77439"/>
        <c:crosses val="autoZero"/>
        <c:auto val="1"/>
        <c:lblAlgn val="ctr"/>
        <c:lblOffset val="100"/>
        <c:noMultiLvlLbl val="0"/>
      </c:catAx>
      <c:valAx>
        <c:axId val="196477439"/>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7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device!PivotTable13</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'churn by device'!$B$2</c:f>
              <c:strCache>
                <c:ptCount val="1"/>
                <c:pt idx="0">
                  <c:v>Total</c:v>
                </c:pt>
              </c:strCache>
            </c:strRef>
          </c:tx>
          <c:spPr>
            <a:solidFill>
              <a:schemeClr val="accent1"/>
            </a:solidFill>
            <a:ln>
              <a:noFill/>
            </a:ln>
            <a:effectLst/>
          </c:spPr>
          <c:invertIfNegative val="0"/>
          <c:cat>
            <c:strRef>
              <c:f>'churn by device'!$A$3:$A$7</c:f>
              <c:strCache>
                <c:ptCount val="4"/>
                <c:pt idx="0">
                  <c:v>Tablet</c:v>
                </c:pt>
                <c:pt idx="1">
                  <c:v>Laptop</c:v>
                </c:pt>
                <c:pt idx="2">
                  <c:v>Moblie</c:v>
                </c:pt>
                <c:pt idx="3">
                  <c:v>TV</c:v>
                </c:pt>
              </c:strCache>
            </c:strRef>
          </c:cat>
          <c:val>
            <c:numRef>
              <c:f>'churn by device'!$B$3:$B$7</c:f>
              <c:numCache>
                <c:formatCode>#,##0</c:formatCode>
                <c:ptCount val="4"/>
                <c:pt idx="0">
                  <c:v>18</c:v>
                </c:pt>
                <c:pt idx="1">
                  <c:v>186</c:v>
                </c:pt>
                <c:pt idx="2">
                  <c:v>280</c:v>
                </c:pt>
                <c:pt idx="3">
                  <c:v>363</c:v>
                </c:pt>
              </c:numCache>
            </c:numRef>
          </c:val>
          <c:extLst>
            <c:ext xmlns:c16="http://schemas.microsoft.com/office/drawing/2014/chart" uri="{C3380CC4-5D6E-409C-BE32-E72D297353CC}">
              <c16:uniqueId val="{00000000-8E84-42FA-8C67-94B70832E083}"/>
            </c:ext>
          </c:extLst>
        </c:ser>
        <c:dLbls>
          <c:showLegendKey val="0"/>
          <c:showVal val="0"/>
          <c:showCatName val="0"/>
          <c:showSerName val="0"/>
          <c:showPercent val="0"/>
          <c:showBubbleSize val="0"/>
        </c:dLbls>
        <c:gapWidth val="182"/>
        <c:axId val="1298553903"/>
        <c:axId val="1298559183"/>
      </c:barChart>
      <c:catAx>
        <c:axId val="12985539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559183"/>
        <c:crosses val="autoZero"/>
        <c:auto val="1"/>
        <c:lblAlgn val="ctr"/>
        <c:lblOffset val="100"/>
        <c:noMultiLvlLbl val="0"/>
      </c:catAx>
      <c:valAx>
        <c:axId val="12985591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9855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region!PivotTable14</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'churn by region'!$B$2</c:f>
              <c:strCache>
                <c:ptCount val="1"/>
                <c:pt idx="0">
                  <c:v>Total</c:v>
                </c:pt>
              </c:strCache>
            </c:strRef>
          </c:tx>
          <c:spPr>
            <a:solidFill>
              <a:schemeClr val="accent1"/>
            </a:solidFill>
            <a:ln>
              <a:noFill/>
            </a:ln>
            <a:effectLst/>
          </c:spPr>
          <c:invertIfNegative val="0"/>
          <c:cat>
            <c:strRef>
              <c:f>'churn by region'!$A$3:$A$8</c:f>
              <c:strCache>
                <c:ptCount val="5"/>
                <c:pt idx="0">
                  <c:v>Africa</c:v>
                </c:pt>
                <c:pt idx="1">
                  <c:v>South America</c:v>
                </c:pt>
                <c:pt idx="2">
                  <c:v>Asia</c:v>
                </c:pt>
                <c:pt idx="3">
                  <c:v>North America</c:v>
                </c:pt>
                <c:pt idx="4">
                  <c:v>Europe</c:v>
                </c:pt>
              </c:strCache>
            </c:strRef>
          </c:cat>
          <c:val>
            <c:numRef>
              <c:f>'churn by region'!$B$3:$B$8</c:f>
              <c:numCache>
                <c:formatCode>#,##0</c:formatCode>
                <c:ptCount val="5"/>
                <c:pt idx="0">
                  <c:v>9</c:v>
                </c:pt>
                <c:pt idx="1">
                  <c:v>48</c:v>
                </c:pt>
                <c:pt idx="2">
                  <c:v>230</c:v>
                </c:pt>
                <c:pt idx="3">
                  <c:v>238</c:v>
                </c:pt>
                <c:pt idx="4">
                  <c:v>322</c:v>
                </c:pt>
              </c:numCache>
            </c:numRef>
          </c:val>
          <c:extLst>
            <c:ext xmlns:c16="http://schemas.microsoft.com/office/drawing/2014/chart" uri="{C3380CC4-5D6E-409C-BE32-E72D297353CC}">
              <c16:uniqueId val="{00000000-6D5F-4797-9F7E-AF1E8DC3C834}"/>
            </c:ext>
          </c:extLst>
        </c:ser>
        <c:dLbls>
          <c:showLegendKey val="0"/>
          <c:showVal val="0"/>
          <c:showCatName val="0"/>
          <c:showSerName val="0"/>
          <c:showPercent val="0"/>
          <c:showBubbleSize val="0"/>
        </c:dLbls>
        <c:gapWidth val="182"/>
        <c:axId val="196456799"/>
        <c:axId val="196473599"/>
      </c:barChart>
      <c:catAx>
        <c:axId val="1964567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73599"/>
        <c:crosses val="autoZero"/>
        <c:auto val="1"/>
        <c:lblAlgn val="ctr"/>
        <c:lblOffset val="100"/>
        <c:noMultiLvlLbl val="0"/>
      </c:catAx>
      <c:valAx>
        <c:axId val="19647359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6456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.xlsx]churn by favorite genre!PivotTable16</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'churn by favorite genre'!$B$2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'churn by favorite genre'!$A$3:$A$8</c:f>
              <c:strCache>
                <c:ptCount val="5"/>
                <c:pt idx="0">
                  <c:v>Documentary</c:v>
                </c:pt>
                <c:pt idx="1">
                  <c:v>Action</c:v>
                </c:pt>
                <c:pt idx="2">
                  <c:v>Comedy</c:v>
                </c:pt>
                <c:pt idx="3">
                  <c:v>Drama</c:v>
                </c:pt>
                <c:pt idx="4">
                  <c:v>Thriller</c:v>
                </c:pt>
              </c:strCache>
            </c:strRef>
          </c:cat>
          <c:val>
            <c:numRef>
              <c:f>'churn by favorite genre'!$B$3:$B$8</c:f>
              <c:numCache>
                <c:formatCode>#,##0</c:formatCode>
                <c:ptCount val="5"/>
                <c:pt idx="0">
                  <c:v>196</c:v>
                </c:pt>
                <c:pt idx="1">
                  <c:v>175</c:v>
                </c:pt>
                <c:pt idx="2">
                  <c:v>164</c:v>
                </c:pt>
                <c:pt idx="3">
                  <c:v>164</c:v>
                </c:pt>
                <c:pt idx="4">
                  <c:v>148</c:v>
                </c:pt>
              </c:numCache>
            </c:numRef>
          </c:val>
          <c:extLst>
            <c:ext xmlns:c16="http://schemas.microsoft.com/office/drawing/2014/chart" uri="{C3380CC4-5D6E-409C-BE32-E72D297353CC}">
              <c16:uniqueId val="{00000000-617A-4DEA-B3ED-2C0528CC479E}"/>
            </c:ext>
          </c:extLst>
        </c:ser>
        <c:dLbls>
          <c:showLegendKey val="0"/>
          <c:showVal val="1"/>
          <c:showCatName val="0"/>
          <c:showSerName val="0"/>
          <c:showPercent val="0"/>
          <c:showBubbleSize val="0"/>
        </c:dLbls>
        <c:gapWidth val="219"/>
        <c:overlap val="-27"/>
        <c:axId val="191161823"/>
        <c:axId val="191157503"/>
      </c:barChart>
      <c:catAx>
        <c:axId val="1911618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1157503"/>
        <c:crosses val="autoZero"/>
        <c:auto val="1"/>
        <c:lblAlgn val="ctr"/>
        <c:lblOffset val="100"/>
        <c:noMultiLvlLbl val="0"/>
      </c:catAx>
      <c:valAx>
        <c:axId val="191157503"/>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19116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[bbbbbbbb .xlsx]avg watch btw churn &amp; active!PivotTable15</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'avg watch btw churn &amp; active'!$B$2</c:f>
              <c:strCache>
                <c:ptCount val="1"/>
                <c:pt idx="0">
                  <c:v>Total</c:v>
                </c:pt>
              </c:strCache>
            </c:strRef>
          </c:tx>
          <c:spPr>
            <a:solidFill>
              <a:schemeClr val="accent1"/>
            </a:solidFill>
            <a:ln>
              <a:noFill/>
            </a:ln>
            <a:effectLst>
              <a:softEdge rad="0"/>
            </a:effectLst>
          </c:spPr>
          <c:invertIfNegative val="0"/>
          <c:cat>
            <c:strRef>
              <c:f>'avg watch btw churn &amp; active'!$A$3:$A$5</c:f>
              <c:strCache>
                <c:ptCount val="2"/>
                <c:pt idx="0">
                  <c:v>Churn</c:v>
                </c:pt>
                <c:pt idx="1">
                  <c:v>Active</c:v>
                </c:pt>
              </c:strCache>
            </c:strRef>
          </c:cat>
          <c:val>
            <c:numRef>
              <c:f>'avg watch btw churn &amp; active'!$B$3:$B$5</c:f>
              <c:numCache>
                <c:formatCode>General</c:formatCode>
                <c:ptCount val="2"/>
                <c:pt idx="0">
                  <c:v>2.0574262101534804</c:v>
                </c:pt>
                <c:pt idx="1">
                  <c:v>2.146882309032097</c:v>
                </c:pt>
              </c:numCache>
            </c:numRef>
          </c:val>
          <c:extLst>
            <c:ext xmlns:c16="http://schemas.microsoft.com/office/drawing/2014/chart" uri="{C3380CC4-5D6E-409C-BE32-E72D297353CC}">
              <c16:uniqueId val="{00000000-D0E2-415B-807F-CEABF9D10129}"/>
            </c:ext>
          </c:extLst>
        </c:ser>
        <c:dLbls>
          <c:showLegendKey val="0"/>
          <c:showVal val="0"/>
          <c:showCatName val="0"/>
          <c:showSerName val="0"/>
          <c:showPercent val="0"/>
          <c:showBubbleSize val="0"/>
        </c:dLbls>
        <c:gapWidth val="219"/>
        <c:axId val="1010735280"/>
        <c:axId val="1010735760"/>
      </c:barChart>
      <c:catAx>
        <c:axId val="101073528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010735760"/>
        <c:crosses val="autoZero"/>
        <c:auto val="1"/>
        <c:lblAlgn val="ctr"/>
        <c:lblOffset val="100"/>
        <c:noMultiLvlLbl val="0"/>
      </c:catAx>
      <c:valAx>
        <c:axId val="1010735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010735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3</xdr:col>
      <xdr:colOff>149225</xdr:colOff>
      <xdr:row>2</xdr:row>
      <xdr:rowOff>82550</xdr:rowOff>
    </xdr:from>
    <xdr:to>
      <xdr:col>9</xdr:col>
      <xdr:colOff>266700</xdr:colOff>
      <xdr:row>17</xdr:row>
      <xdr:rowOff>63500</xdr:rowOff>
    </xdr:to>
    <xdr:graphicFrame macro="">
      <xdr:nvGraphicFramePr>
        <xdr:cNvPr id="2" name="Chart 1">
          <a:extLst>
            <a:ext uri="{FF2B5EF4-FFF2-40B4-BE49-F238E27FC236}">
              <a16:creationId xmlns:a16="http://schemas.microsoft.com/office/drawing/2014/main" id="{7372B45F-FD14-FACF-56AC-96E3B58CB9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219075</xdr:colOff>
      <xdr:row>2</xdr:row>
      <xdr:rowOff>82550</xdr:rowOff>
    </xdr:from>
    <xdr:to>
      <xdr:col>10</xdr:col>
      <xdr:colOff>523875</xdr:colOff>
      <xdr:row>17</xdr:row>
      <xdr:rowOff>63500</xdr:rowOff>
    </xdr:to>
    <xdr:graphicFrame macro="">
      <xdr:nvGraphicFramePr>
        <xdr:cNvPr id="2" name="Chart 1">
          <a:extLst>
            <a:ext uri="{FF2B5EF4-FFF2-40B4-BE49-F238E27FC236}">
              <a16:creationId xmlns:a16="http://schemas.microsoft.com/office/drawing/2014/main" id="{A0884DAA-0C9E-7FEA-4597-061051832B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123825</xdr:colOff>
      <xdr:row>2</xdr:row>
      <xdr:rowOff>82550</xdr:rowOff>
    </xdr:from>
    <xdr:to>
      <xdr:col>10</xdr:col>
      <xdr:colOff>428625</xdr:colOff>
      <xdr:row>17</xdr:row>
      <xdr:rowOff>63500</xdr:rowOff>
    </xdr:to>
    <xdr:graphicFrame macro="">
      <xdr:nvGraphicFramePr>
        <xdr:cNvPr id="2" name="Chart 1">
          <a:extLst>
            <a:ext uri="{FF2B5EF4-FFF2-40B4-BE49-F238E27FC236}">
              <a16:creationId xmlns:a16="http://schemas.microsoft.com/office/drawing/2014/main" id="{00C1004A-6F42-B304-8595-93EA1A01EC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269875</xdr:colOff>
      <xdr:row>1</xdr:row>
      <xdr:rowOff>158750</xdr:rowOff>
    </xdr:from>
    <xdr:to>
      <xdr:col>12</xdr:col>
      <xdr:colOff>574675</xdr:colOff>
      <xdr:row>16</xdr:row>
      <xdr:rowOff>139700</xdr:rowOff>
    </xdr:to>
    <xdr:graphicFrame macro="">
      <xdr:nvGraphicFramePr>
        <xdr:cNvPr id="4" name="Chart 3">
          <a:extLst>
            <a:ext uri="{FF2B5EF4-FFF2-40B4-BE49-F238E27FC236}">
              <a16:creationId xmlns:a16="http://schemas.microsoft.com/office/drawing/2014/main" id="{11B98B76-58A2-04F9-99A5-25FACC5B18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235467</xdr:colOff>
      <xdr:row>3</xdr:row>
      <xdr:rowOff>141620</xdr:rowOff>
    </xdr:from>
    <xdr:to>
      <xdr:col>12</xdr:col>
      <xdr:colOff>536724</xdr:colOff>
      <xdr:row>18</xdr:row>
      <xdr:rowOff>122570</xdr:rowOff>
    </xdr:to>
    <xdr:graphicFrame macro="">
      <xdr:nvGraphicFramePr>
        <xdr:cNvPr id="2" name="Chart 1">
          <a:extLst>
            <a:ext uri="{FF2B5EF4-FFF2-40B4-BE49-F238E27FC236}">
              <a16:creationId xmlns:a16="http://schemas.microsoft.com/office/drawing/2014/main" id="{A9383507-6C4E-3488-4B3F-E0F3DB36C2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1171575</xdr:colOff>
      <xdr:row>6</xdr:row>
      <xdr:rowOff>120650</xdr:rowOff>
    </xdr:from>
    <xdr:to>
      <xdr:col>9</xdr:col>
      <xdr:colOff>238125</xdr:colOff>
      <xdr:row>21</xdr:row>
      <xdr:rowOff>101600</xdr:rowOff>
    </xdr:to>
    <xdr:graphicFrame macro="">
      <xdr:nvGraphicFramePr>
        <xdr:cNvPr id="2" name="Chart 1">
          <a:extLst>
            <a:ext uri="{FF2B5EF4-FFF2-40B4-BE49-F238E27FC236}">
              <a16:creationId xmlns:a16="http://schemas.microsoft.com/office/drawing/2014/main" id="{9E0CEDBC-5C8E-31D0-B31C-6394B8711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434975</xdr:colOff>
      <xdr:row>1</xdr:row>
      <xdr:rowOff>12700</xdr:rowOff>
    </xdr:from>
    <xdr:to>
      <xdr:col>14</xdr:col>
      <xdr:colOff>130175</xdr:colOff>
      <xdr:row>15</xdr:row>
      <xdr:rowOff>177800</xdr:rowOff>
    </xdr:to>
    <xdr:graphicFrame macro="">
      <xdr:nvGraphicFramePr>
        <xdr:cNvPr id="2" name="Chart 1">
          <a:extLst>
            <a:ext uri="{FF2B5EF4-FFF2-40B4-BE49-F238E27FC236}">
              <a16:creationId xmlns:a16="http://schemas.microsoft.com/office/drawing/2014/main" id="{A832BBDD-4CEB-CE21-79CA-F31CD6CF5C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498475</xdr:colOff>
      <xdr:row>2</xdr:row>
      <xdr:rowOff>82550</xdr:rowOff>
    </xdr:from>
    <xdr:to>
      <xdr:col>10</xdr:col>
      <xdr:colOff>193675</xdr:colOff>
      <xdr:row>17</xdr:row>
      <xdr:rowOff>63500</xdr:rowOff>
    </xdr:to>
    <xdr:graphicFrame macro="">
      <xdr:nvGraphicFramePr>
        <xdr:cNvPr id="2" name="Chart 1">
          <a:extLst>
            <a:ext uri="{FF2B5EF4-FFF2-40B4-BE49-F238E27FC236}">
              <a16:creationId xmlns:a16="http://schemas.microsoft.com/office/drawing/2014/main" id="{0691BDEA-AC71-2BAE-EDDE-7C09BE4D20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422275</xdr:colOff>
      <xdr:row>2</xdr:row>
      <xdr:rowOff>82550</xdr:rowOff>
    </xdr:from>
    <xdr:to>
      <xdr:col>10</xdr:col>
      <xdr:colOff>117475</xdr:colOff>
      <xdr:row>17</xdr:row>
      <xdr:rowOff>63500</xdr:rowOff>
    </xdr:to>
    <xdr:graphicFrame macro="">
      <xdr:nvGraphicFramePr>
        <xdr:cNvPr id="3" name="Chart 2">
          <a:extLst>
            <a:ext uri="{FF2B5EF4-FFF2-40B4-BE49-F238E27FC236}">
              <a16:creationId xmlns:a16="http://schemas.microsoft.com/office/drawing/2014/main" id="{F5085123-827C-F251-1FCF-95D83961D4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7</xdr:col>
      <xdr:colOff>184150</xdr:colOff>
      <xdr:row>3</xdr:row>
      <xdr:rowOff>38100</xdr:rowOff>
    </xdr:from>
    <xdr:to>
      <xdr:col>10</xdr:col>
      <xdr:colOff>184150</xdr:colOff>
      <xdr:row>17</xdr:row>
      <xdr:rowOff>79372</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732A3B5C-1FBE-2066-2BA4-88EB0FD2414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972050" y="590550"/>
              <a:ext cx="1828800" cy="2619372"/>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3</xdr:col>
      <xdr:colOff>492796</xdr:colOff>
      <xdr:row>3</xdr:row>
      <xdr:rowOff>67257</xdr:rowOff>
    </xdr:from>
    <xdr:to>
      <xdr:col>5</xdr:col>
      <xdr:colOff>402465</xdr:colOff>
      <xdr:row>7</xdr:row>
      <xdr:rowOff>10107</xdr:rowOff>
    </xdr:to>
    <xdr:sp macro="" textlink="">
      <xdr:nvSpPr>
        <xdr:cNvPr id="9" name="Rectangle 8">
          <a:extLst>
            <a:ext uri="{FF2B5EF4-FFF2-40B4-BE49-F238E27FC236}">
              <a16:creationId xmlns:a16="http://schemas.microsoft.com/office/drawing/2014/main" id="{2B7D1474-6937-A0A9-719C-9F6D2DFB2272}"/>
            </a:ext>
          </a:extLst>
        </xdr:cNvPr>
        <xdr:cNvSpPr/>
      </xdr:nvSpPr>
      <xdr:spPr>
        <a:xfrm>
          <a:off x="2317303" y="630708"/>
          <a:ext cx="1126007" cy="694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467843</xdr:colOff>
      <xdr:row>3</xdr:row>
      <xdr:rowOff>76201</xdr:rowOff>
    </xdr:from>
    <xdr:to>
      <xdr:col>8</xdr:col>
      <xdr:colOff>8943</xdr:colOff>
      <xdr:row>7</xdr:row>
      <xdr:rowOff>19051</xdr:rowOff>
    </xdr:to>
    <xdr:sp macro="" textlink="">
      <xdr:nvSpPr>
        <xdr:cNvPr id="16" name="Rectangle 15">
          <a:extLst>
            <a:ext uri="{FF2B5EF4-FFF2-40B4-BE49-F238E27FC236}">
              <a16:creationId xmlns:a16="http://schemas.microsoft.com/office/drawing/2014/main" id="{F50642A6-51E8-4F84-82C2-18881205B147}"/>
            </a:ext>
          </a:extLst>
        </xdr:cNvPr>
        <xdr:cNvSpPr/>
      </xdr:nvSpPr>
      <xdr:spPr>
        <a:xfrm>
          <a:off x="3508688" y="639652"/>
          <a:ext cx="1365607" cy="694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19050</xdr:colOff>
      <xdr:row>0</xdr:row>
      <xdr:rowOff>19050</xdr:rowOff>
    </xdr:from>
    <xdr:to>
      <xdr:col>15</xdr:col>
      <xdr:colOff>37353</xdr:colOff>
      <xdr:row>3</xdr:row>
      <xdr:rowOff>19050</xdr:rowOff>
    </xdr:to>
    <xdr:sp macro="" textlink="">
      <xdr:nvSpPr>
        <xdr:cNvPr id="2" name="Rectangle 1">
          <a:extLst>
            <a:ext uri="{FF2B5EF4-FFF2-40B4-BE49-F238E27FC236}">
              <a16:creationId xmlns:a16="http://schemas.microsoft.com/office/drawing/2014/main" id="{8D184118-9BBD-6538-99FC-DACFACDE10C8}"/>
            </a:ext>
          </a:extLst>
        </xdr:cNvPr>
        <xdr:cNvSpPr/>
      </xdr:nvSpPr>
      <xdr:spPr>
        <a:xfrm>
          <a:off x="19050" y="19050"/>
          <a:ext cx="9123082" cy="56029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19050</xdr:colOff>
      <xdr:row>3</xdr:row>
      <xdr:rowOff>76200</xdr:rowOff>
    </xdr:from>
    <xdr:to>
      <xdr:col>1</xdr:col>
      <xdr:colOff>482958</xdr:colOff>
      <xdr:row>7</xdr:row>
      <xdr:rowOff>0</xdr:rowOff>
    </xdr:to>
    <xdr:sp macro="" textlink="">
      <xdr:nvSpPr>
        <xdr:cNvPr id="3" name="Rectangle 2">
          <a:extLst>
            <a:ext uri="{FF2B5EF4-FFF2-40B4-BE49-F238E27FC236}">
              <a16:creationId xmlns:a16="http://schemas.microsoft.com/office/drawing/2014/main" id="{5D4FB841-DF15-CC76-4EF4-B976B226ED1C}"/>
            </a:ext>
          </a:extLst>
        </xdr:cNvPr>
        <xdr:cNvSpPr/>
      </xdr:nvSpPr>
      <xdr:spPr>
        <a:xfrm>
          <a:off x="19050" y="639651"/>
          <a:ext cx="1072077" cy="67506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0</xdr:colOff>
      <xdr:row>3</xdr:row>
      <xdr:rowOff>31750</xdr:rowOff>
    </xdr:from>
    <xdr:to>
      <xdr:col>1</xdr:col>
      <xdr:colOff>536620</xdr:colOff>
      <xdr:row>4</xdr:row>
      <xdr:rowOff>152042</xdr:rowOff>
    </xdr:to>
    <xdr:sp macro="" textlink="">
      <xdr:nvSpPr>
        <xdr:cNvPr id="4" name="TextBox 3">
          <a:extLst>
            <a:ext uri="{FF2B5EF4-FFF2-40B4-BE49-F238E27FC236}">
              <a16:creationId xmlns:a16="http://schemas.microsoft.com/office/drawing/2014/main" id="{F290092A-5E84-B0DB-55BE-007CFE20C18A}"/>
            </a:ext>
          </a:extLst>
        </xdr:cNvPr>
        <xdr:cNvSpPr txBox="1"/>
      </xdr:nvSpPr>
      <xdr:spPr>
        <a:xfrm>
          <a:off x="0" y="595201"/>
          <a:ext cx="1144789" cy="3081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Total Users</a:t>
          </a:r>
          <a:endParaRPr lang="en-NG" sz="1400" b="1">
            <a:latin typeface="Times New Roman" panose="02020603050405020304" pitchFamily="18" charset="0"/>
            <a:cs typeface="Times New Roman" panose="02020603050405020304" pitchFamily="18" charset="0"/>
          </a:endParaRPr>
        </a:p>
      </xdr:txBody>
    </xdr:sp>
    <xdr:clientData/>
  </xdr:twoCellAnchor>
  <xdr:twoCellAnchor>
    <xdr:from>
      <xdr:col>0</xdr:col>
      <xdr:colOff>283337</xdr:colOff>
      <xdr:row>4</xdr:row>
      <xdr:rowOff>149807</xdr:rowOff>
    </xdr:from>
    <xdr:to>
      <xdr:col>1</xdr:col>
      <xdr:colOff>600837</xdr:colOff>
      <xdr:row>7</xdr:row>
      <xdr:rowOff>54557</xdr:rowOff>
    </xdr:to>
    <xdr:sp macro="" textlink="'Total Users'!B4">
      <xdr:nvSpPr>
        <xdr:cNvPr id="5" name="TextBox 4">
          <a:extLst>
            <a:ext uri="{FF2B5EF4-FFF2-40B4-BE49-F238E27FC236}">
              <a16:creationId xmlns:a16="http://schemas.microsoft.com/office/drawing/2014/main" id="{9DCEEAA0-348A-E1BB-8570-0FCC6FA4BDA7}"/>
            </a:ext>
          </a:extLst>
        </xdr:cNvPr>
        <xdr:cNvSpPr txBox="1"/>
      </xdr:nvSpPr>
      <xdr:spPr>
        <a:xfrm>
          <a:off x="283337" y="901075"/>
          <a:ext cx="925669" cy="46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A16F7B0-4391-4B20-8D53-116FC0452748}" type="TxLink">
            <a:rPr lang="en-US" sz="2400" b="1" i="0" u="none" strike="noStrike">
              <a:solidFill>
                <a:srgbClr val="000000"/>
              </a:solidFill>
              <a:latin typeface="Times New Roman" panose="02020603050405020304" pitchFamily="18" charset="0"/>
              <a:cs typeface="Times New Roman" panose="02020603050405020304" pitchFamily="18" charset="0"/>
            </a:rPr>
            <a:pPr/>
            <a:t>4,866</a:t>
          </a:fld>
          <a:endParaRPr lang="en-NG" sz="2400" b="1">
            <a:latin typeface="Times New Roman" panose="02020603050405020304" pitchFamily="18" charset="0"/>
            <a:cs typeface="Times New Roman" panose="02020603050405020304" pitchFamily="18" charset="0"/>
          </a:endParaRPr>
        </a:p>
      </xdr:txBody>
    </xdr:sp>
    <xdr:clientData/>
  </xdr:twoCellAnchor>
  <xdr:twoCellAnchor>
    <xdr:from>
      <xdr:col>1</xdr:col>
      <xdr:colOff>521773</xdr:colOff>
      <xdr:row>3</xdr:row>
      <xdr:rowOff>67256</xdr:rowOff>
    </xdr:from>
    <xdr:to>
      <xdr:col>3</xdr:col>
      <xdr:colOff>429296</xdr:colOff>
      <xdr:row>6</xdr:row>
      <xdr:rowOff>185223</xdr:rowOff>
    </xdr:to>
    <xdr:sp macro="" textlink="">
      <xdr:nvSpPr>
        <xdr:cNvPr id="6" name="Rectangle 5">
          <a:extLst>
            <a:ext uri="{FF2B5EF4-FFF2-40B4-BE49-F238E27FC236}">
              <a16:creationId xmlns:a16="http://schemas.microsoft.com/office/drawing/2014/main" id="{1F13CA1E-74C1-92A3-6BD8-5D878E9A9080}"/>
            </a:ext>
          </a:extLst>
        </xdr:cNvPr>
        <xdr:cNvSpPr/>
      </xdr:nvSpPr>
      <xdr:spPr>
        <a:xfrm>
          <a:off x="1129942" y="630707"/>
          <a:ext cx="1123861" cy="6814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435645</xdr:colOff>
      <xdr:row>3</xdr:row>
      <xdr:rowOff>31750</xdr:rowOff>
    </xdr:from>
    <xdr:to>
      <xdr:col>5</xdr:col>
      <xdr:colOff>505495</xdr:colOff>
      <xdr:row>4</xdr:row>
      <xdr:rowOff>134155</xdr:rowOff>
    </xdr:to>
    <xdr:sp macro="" textlink="">
      <xdr:nvSpPr>
        <xdr:cNvPr id="7" name="TextBox 6">
          <a:extLst>
            <a:ext uri="{FF2B5EF4-FFF2-40B4-BE49-F238E27FC236}">
              <a16:creationId xmlns:a16="http://schemas.microsoft.com/office/drawing/2014/main" id="{D40D72B9-ED67-D708-B2A7-7EBE7E59E816}"/>
            </a:ext>
          </a:extLst>
        </xdr:cNvPr>
        <xdr:cNvSpPr txBox="1"/>
      </xdr:nvSpPr>
      <xdr:spPr>
        <a:xfrm>
          <a:off x="2260152" y="595201"/>
          <a:ext cx="1286188" cy="290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dk1"/>
              </a:solidFill>
              <a:latin typeface="Times New Roman" panose="02020603050405020304" pitchFamily="18" charset="0"/>
              <a:ea typeface="+mn-ea"/>
              <a:cs typeface="Times New Roman" panose="02020603050405020304" pitchFamily="18" charset="0"/>
            </a:rPr>
            <a:t>Churn</a:t>
          </a:r>
          <a:r>
            <a:rPr lang="en-US" sz="1400" b="1">
              <a:latin typeface="Times New Roman" panose="02020603050405020304" pitchFamily="18" charset="0"/>
              <a:cs typeface="Times New Roman" panose="02020603050405020304" pitchFamily="18" charset="0"/>
            </a:rPr>
            <a:t> Rate</a:t>
          </a:r>
          <a:endParaRPr lang="en-NG" sz="1400" b="1">
            <a:latin typeface="Times New Roman" panose="02020603050405020304" pitchFamily="18" charset="0"/>
            <a:cs typeface="Times New Roman" panose="02020603050405020304" pitchFamily="18" charset="0"/>
          </a:endParaRPr>
        </a:p>
      </xdr:txBody>
    </xdr:sp>
    <xdr:clientData/>
  </xdr:twoCellAnchor>
  <xdr:twoCellAnchor>
    <xdr:from>
      <xdr:col>4</xdr:col>
      <xdr:colOff>290312</xdr:colOff>
      <xdr:row>4</xdr:row>
      <xdr:rowOff>125211</xdr:rowOff>
    </xdr:from>
    <xdr:to>
      <xdr:col>5</xdr:col>
      <xdr:colOff>595112</xdr:colOff>
      <xdr:row>7</xdr:row>
      <xdr:rowOff>7244</xdr:rowOff>
    </xdr:to>
    <xdr:sp macro="" textlink="'Churn Rate'!B3">
      <xdr:nvSpPr>
        <xdr:cNvPr id="8" name="TextBox 7">
          <a:extLst>
            <a:ext uri="{FF2B5EF4-FFF2-40B4-BE49-F238E27FC236}">
              <a16:creationId xmlns:a16="http://schemas.microsoft.com/office/drawing/2014/main" id="{D8D494D9-B013-69DE-A6A7-A6772A4A8DF8}"/>
            </a:ext>
          </a:extLst>
        </xdr:cNvPr>
        <xdr:cNvSpPr txBox="1"/>
      </xdr:nvSpPr>
      <xdr:spPr>
        <a:xfrm>
          <a:off x="2722988" y="876479"/>
          <a:ext cx="912969" cy="445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8F3D93A-F97F-40EF-BE43-D8F42E6AE705}" type="TxLink">
            <a:rPr lang="en-US" sz="2400" b="1" i="0" u="none" strike="noStrike">
              <a:solidFill>
                <a:srgbClr val="000000"/>
              </a:solidFill>
              <a:latin typeface="Times New Roman" panose="02020603050405020304" pitchFamily="18" charset="0"/>
              <a:ea typeface="+mn-ea"/>
              <a:cs typeface="Times New Roman" panose="02020603050405020304" pitchFamily="18" charset="0"/>
            </a:rPr>
            <a:pPr marL="0" indent="0"/>
            <a:t>17%</a:t>
          </a:fld>
          <a:endParaRPr lang="en-NG" sz="2400" b="1" i="0" u="none" strike="noStrike">
            <a:solidFill>
              <a:srgbClr val="000000"/>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5</xdr:col>
      <xdr:colOff>404075</xdr:colOff>
      <xdr:row>3</xdr:row>
      <xdr:rowOff>40694</xdr:rowOff>
    </xdr:from>
    <xdr:to>
      <xdr:col>7</xdr:col>
      <xdr:colOff>524725</xdr:colOff>
      <xdr:row>5</xdr:row>
      <xdr:rowOff>40694</xdr:rowOff>
    </xdr:to>
    <xdr:sp macro="" textlink="">
      <xdr:nvSpPr>
        <xdr:cNvPr id="10" name="TextBox 9">
          <a:extLst>
            <a:ext uri="{FF2B5EF4-FFF2-40B4-BE49-F238E27FC236}">
              <a16:creationId xmlns:a16="http://schemas.microsoft.com/office/drawing/2014/main" id="{A278A08D-9E22-31D6-30EB-422A3E43F317}"/>
            </a:ext>
          </a:extLst>
        </xdr:cNvPr>
        <xdr:cNvSpPr txBox="1"/>
      </xdr:nvSpPr>
      <xdr:spPr>
        <a:xfrm>
          <a:off x="3444920" y="604145"/>
          <a:ext cx="1336988" cy="3756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Retention</a:t>
          </a:r>
          <a:r>
            <a:rPr lang="en-US" sz="1400" b="1" baseline="0">
              <a:latin typeface="Times New Roman" panose="02020603050405020304" pitchFamily="18" charset="0"/>
              <a:cs typeface="Times New Roman" panose="02020603050405020304" pitchFamily="18" charset="0"/>
            </a:rPr>
            <a:t> Rate</a:t>
          </a:r>
          <a:endParaRPr lang="en-NG" sz="1400" b="1">
            <a:latin typeface="Times New Roman" panose="02020603050405020304" pitchFamily="18" charset="0"/>
            <a:cs typeface="Times New Roman" panose="02020603050405020304" pitchFamily="18" charset="0"/>
          </a:endParaRPr>
        </a:p>
      </xdr:txBody>
    </xdr:sp>
    <xdr:clientData/>
  </xdr:twoCellAnchor>
  <xdr:twoCellAnchor>
    <xdr:from>
      <xdr:col>6</xdr:col>
      <xdr:colOff>473657</xdr:colOff>
      <xdr:row>4</xdr:row>
      <xdr:rowOff>134155</xdr:rowOff>
    </xdr:from>
    <xdr:to>
      <xdr:col>8</xdr:col>
      <xdr:colOff>181557</xdr:colOff>
      <xdr:row>7</xdr:row>
      <xdr:rowOff>47938</xdr:rowOff>
    </xdr:to>
    <xdr:sp macro="" textlink="'Retention Rate'!B2">
      <xdr:nvSpPr>
        <xdr:cNvPr id="11" name="TextBox 10">
          <a:extLst>
            <a:ext uri="{FF2B5EF4-FFF2-40B4-BE49-F238E27FC236}">
              <a16:creationId xmlns:a16="http://schemas.microsoft.com/office/drawing/2014/main" id="{785A3FBA-FD6B-A26C-F1B1-2B5B2D917B61}"/>
            </a:ext>
          </a:extLst>
        </xdr:cNvPr>
        <xdr:cNvSpPr txBox="1"/>
      </xdr:nvSpPr>
      <xdr:spPr>
        <a:xfrm>
          <a:off x="4122671" y="885423"/>
          <a:ext cx="924238" cy="4772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F644E17-BBF0-4CCD-9212-EE9CCCAC9216}" type="TxLink">
            <a:rPr lang="en-US" sz="2400" b="1" i="0" u="none" strike="noStrike">
              <a:solidFill>
                <a:srgbClr val="000000"/>
              </a:solidFill>
              <a:latin typeface="Times New Roman" panose="02020603050405020304" pitchFamily="18" charset="0"/>
              <a:cs typeface="Times New Roman" panose="02020603050405020304" pitchFamily="18" charset="0"/>
            </a:rPr>
            <a:pPr/>
            <a:t>83%</a:t>
          </a:fld>
          <a:endParaRPr lang="en-NG" sz="2400" b="1">
            <a:latin typeface="Times New Roman" panose="02020603050405020304" pitchFamily="18" charset="0"/>
            <a:cs typeface="Times New Roman" panose="02020603050405020304" pitchFamily="18" charset="0"/>
          </a:endParaRPr>
        </a:p>
      </xdr:txBody>
    </xdr:sp>
    <xdr:clientData/>
  </xdr:twoCellAnchor>
  <xdr:twoCellAnchor>
    <xdr:from>
      <xdr:col>10</xdr:col>
      <xdr:colOff>5813</xdr:colOff>
      <xdr:row>3</xdr:row>
      <xdr:rowOff>82550</xdr:rowOff>
    </xdr:from>
    <xdr:to>
      <xdr:col>12</xdr:col>
      <xdr:colOff>259813</xdr:colOff>
      <xdr:row>7</xdr:row>
      <xdr:rowOff>25400</xdr:rowOff>
    </xdr:to>
    <xdr:sp macro="" textlink="">
      <xdr:nvSpPr>
        <xdr:cNvPr id="12" name="Rectangle 11">
          <a:extLst>
            <a:ext uri="{FF2B5EF4-FFF2-40B4-BE49-F238E27FC236}">
              <a16:creationId xmlns:a16="http://schemas.microsoft.com/office/drawing/2014/main" id="{608031F2-EA59-9BF8-4E41-C772890066E6}"/>
            </a:ext>
          </a:extLst>
        </xdr:cNvPr>
        <xdr:cNvSpPr/>
      </xdr:nvSpPr>
      <xdr:spPr>
        <a:xfrm>
          <a:off x="6087503" y="646001"/>
          <a:ext cx="1470338" cy="694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9</xdr:col>
      <xdr:colOff>588582</xdr:colOff>
      <xdr:row>3</xdr:row>
      <xdr:rowOff>38100</xdr:rowOff>
    </xdr:from>
    <xdr:to>
      <xdr:col>12</xdr:col>
      <xdr:colOff>50263</xdr:colOff>
      <xdr:row>4</xdr:row>
      <xdr:rowOff>134155</xdr:rowOff>
    </xdr:to>
    <xdr:sp macro="" textlink="">
      <xdr:nvSpPr>
        <xdr:cNvPr id="13" name="TextBox 12">
          <a:extLst>
            <a:ext uri="{FF2B5EF4-FFF2-40B4-BE49-F238E27FC236}">
              <a16:creationId xmlns:a16="http://schemas.microsoft.com/office/drawing/2014/main" id="{BB8D7DC3-7A97-2442-E13A-7120FC9EAD9F}"/>
            </a:ext>
          </a:extLst>
        </xdr:cNvPr>
        <xdr:cNvSpPr txBox="1"/>
      </xdr:nvSpPr>
      <xdr:spPr>
        <a:xfrm>
          <a:off x="6062103" y="601551"/>
          <a:ext cx="1286188" cy="2838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Lost Revenue</a:t>
          </a:r>
          <a:endParaRPr lang="en-NG" sz="1400" b="1">
            <a:latin typeface="Times New Roman" panose="02020603050405020304" pitchFamily="18" charset="0"/>
            <a:cs typeface="Times New Roman" panose="02020603050405020304" pitchFamily="18" charset="0"/>
          </a:endParaRPr>
        </a:p>
      </xdr:txBody>
    </xdr:sp>
    <xdr:clientData/>
  </xdr:twoCellAnchor>
  <xdr:twoCellAnchor>
    <xdr:from>
      <xdr:col>10</xdr:col>
      <xdr:colOff>350145</xdr:colOff>
      <xdr:row>4</xdr:row>
      <xdr:rowOff>159914</xdr:rowOff>
    </xdr:from>
    <xdr:to>
      <xdr:col>12</xdr:col>
      <xdr:colOff>502545</xdr:colOff>
      <xdr:row>7</xdr:row>
      <xdr:rowOff>64664</xdr:rowOff>
    </xdr:to>
    <xdr:sp macro="" textlink="'Lost Revenue'!B3">
      <xdr:nvSpPr>
        <xdr:cNvPr id="15" name="TextBox 14">
          <a:extLst>
            <a:ext uri="{FF2B5EF4-FFF2-40B4-BE49-F238E27FC236}">
              <a16:creationId xmlns:a16="http://schemas.microsoft.com/office/drawing/2014/main" id="{B0589BEE-3862-E3D2-DD18-82B0CF6FE4C5}"/>
            </a:ext>
          </a:extLst>
        </xdr:cNvPr>
        <xdr:cNvSpPr txBox="1"/>
      </xdr:nvSpPr>
      <xdr:spPr>
        <a:xfrm>
          <a:off x="6431835" y="911182"/>
          <a:ext cx="1368738" cy="46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C11BBC2-D462-40B6-850E-9DCA77FCA11F}" type="TxLink">
            <a:rPr lang="en-US" sz="2400" b="1" i="0" u="none" strike="noStrike">
              <a:solidFill>
                <a:srgbClr val="000000"/>
              </a:solidFill>
              <a:latin typeface="Times New Roman" panose="02020603050405020304" pitchFamily="18" charset="0"/>
              <a:cs typeface="Times New Roman" panose="02020603050405020304" pitchFamily="18" charset="0"/>
            </a:rPr>
            <a:pPr/>
            <a:t>$12,314</a:t>
          </a:fld>
          <a:endParaRPr lang="en-NG" sz="2400" b="1">
            <a:latin typeface="Times New Roman" panose="02020603050405020304" pitchFamily="18" charset="0"/>
            <a:cs typeface="Times New Roman" panose="02020603050405020304" pitchFamily="18" charset="0"/>
          </a:endParaRPr>
        </a:p>
      </xdr:txBody>
    </xdr:sp>
    <xdr:clientData/>
  </xdr:twoCellAnchor>
  <xdr:twoCellAnchor>
    <xdr:from>
      <xdr:col>1</xdr:col>
      <xdr:colOff>445305</xdr:colOff>
      <xdr:row>3</xdr:row>
      <xdr:rowOff>38100</xdr:rowOff>
    </xdr:from>
    <xdr:to>
      <xdr:col>3</xdr:col>
      <xdr:colOff>527855</xdr:colOff>
      <xdr:row>4</xdr:row>
      <xdr:rowOff>107324</xdr:rowOff>
    </xdr:to>
    <xdr:sp macro="" textlink="">
      <xdr:nvSpPr>
        <xdr:cNvPr id="17" name="TextBox 16">
          <a:extLst>
            <a:ext uri="{FF2B5EF4-FFF2-40B4-BE49-F238E27FC236}">
              <a16:creationId xmlns:a16="http://schemas.microsoft.com/office/drawing/2014/main" id="{1D12C884-42C3-3AFF-4270-50B9E7AACA64}"/>
            </a:ext>
          </a:extLst>
        </xdr:cNvPr>
        <xdr:cNvSpPr txBox="1"/>
      </xdr:nvSpPr>
      <xdr:spPr>
        <a:xfrm>
          <a:off x="1053474" y="601551"/>
          <a:ext cx="1298888" cy="257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Churn Count</a:t>
          </a:r>
          <a:endParaRPr lang="en-NG" sz="1400" b="1">
            <a:latin typeface="Times New Roman" panose="02020603050405020304" pitchFamily="18" charset="0"/>
            <a:cs typeface="Times New Roman" panose="02020603050405020304" pitchFamily="18" charset="0"/>
          </a:endParaRPr>
        </a:p>
      </xdr:txBody>
    </xdr:sp>
    <xdr:clientData/>
  </xdr:twoCellAnchor>
  <xdr:twoCellAnchor>
    <xdr:from>
      <xdr:col>2</xdr:col>
      <xdr:colOff>444589</xdr:colOff>
      <xdr:row>4</xdr:row>
      <xdr:rowOff>134156</xdr:rowOff>
    </xdr:from>
    <xdr:to>
      <xdr:col>4</xdr:col>
      <xdr:colOff>45970</xdr:colOff>
      <xdr:row>6</xdr:row>
      <xdr:rowOff>160987</xdr:rowOff>
    </xdr:to>
    <xdr:sp macro="" textlink="'Churn Count'!B3">
      <xdr:nvSpPr>
        <xdr:cNvPr id="18" name="TextBox 17">
          <a:extLst>
            <a:ext uri="{FF2B5EF4-FFF2-40B4-BE49-F238E27FC236}">
              <a16:creationId xmlns:a16="http://schemas.microsoft.com/office/drawing/2014/main" id="{D0D47E6A-A4D1-0B60-9F24-C1356A0853EF}"/>
            </a:ext>
          </a:extLst>
        </xdr:cNvPr>
        <xdr:cNvSpPr txBox="1"/>
      </xdr:nvSpPr>
      <xdr:spPr>
        <a:xfrm>
          <a:off x="1660927" y="885424"/>
          <a:ext cx="817719" cy="402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A83E102-72CA-4DDA-B0CD-983B5D96800D}" type="TxLink">
            <a:rPr lang="en-US" sz="2400" b="1" i="0" u="none" strike="noStrike">
              <a:solidFill>
                <a:srgbClr val="000000"/>
              </a:solidFill>
              <a:latin typeface="Times New Roman" panose="02020603050405020304" pitchFamily="18" charset="0"/>
              <a:cs typeface="Times New Roman" panose="02020603050405020304" pitchFamily="18" charset="0"/>
            </a:rPr>
            <a:pPr/>
            <a:t>847</a:t>
          </a:fld>
          <a:endParaRPr lang="en-NG" sz="2400" b="1">
            <a:latin typeface="Times New Roman" panose="02020603050405020304" pitchFamily="18" charset="0"/>
            <a:cs typeface="Times New Roman" panose="02020603050405020304" pitchFamily="18" charset="0"/>
          </a:endParaRPr>
        </a:p>
      </xdr:txBody>
    </xdr:sp>
    <xdr:clientData/>
  </xdr:twoCellAnchor>
  <xdr:twoCellAnchor>
    <xdr:from>
      <xdr:col>5</xdr:col>
      <xdr:colOff>582839</xdr:colOff>
      <xdr:row>26</xdr:row>
      <xdr:rowOff>176214</xdr:rowOff>
    </xdr:from>
    <xdr:to>
      <xdr:col>8</xdr:col>
      <xdr:colOff>563563</xdr:colOff>
      <xdr:row>40</xdr:row>
      <xdr:rowOff>36286</xdr:rowOff>
    </xdr:to>
    <xdr:graphicFrame macro="">
      <xdr:nvGraphicFramePr>
        <xdr:cNvPr id="19" name="Chart 18">
          <a:extLst>
            <a:ext uri="{FF2B5EF4-FFF2-40B4-BE49-F238E27FC236}">
              <a16:creationId xmlns:a16="http://schemas.microsoft.com/office/drawing/2014/main" id="{5A1522A9-15CD-4B78-83C6-7A5F9F6A7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10205</xdr:colOff>
      <xdr:row>26</xdr:row>
      <xdr:rowOff>171088</xdr:rowOff>
    </xdr:from>
    <xdr:to>
      <xdr:col>12</xdr:col>
      <xdr:colOff>1</xdr:colOff>
      <xdr:row>40</xdr:row>
      <xdr:rowOff>23812</xdr:rowOff>
    </xdr:to>
    <xdr:graphicFrame macro="">
      <xdr:nvGraphicFramePr>
        <xdr:cNvPr id="20" name="Chart 19">
          <a:extLst>
            <a:ext uri="{FF2B5EF4-FFF2-40B4-BE49-F238E27FC236}">
              <a16:creationId xmlns:a16="http://schemas.microsoft.com/office/drawing/2014/main" id="{EFF3325F-55CC-4532-BC46-F1E2BD50A9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40608</xdr:colOff>
      <xdr:row>26</xdr:row>
      <xdr:rowOff>153896</xdr:rowOff>
    </xdr:from>
    <xdr:to>
      <xdr:col>15</xdr:col>
      <xdr:colOff>39686</xdr:colOff>
      <xdr:row>40</xdr:row>
      <xdr:rowOff>23813</xdr:rowOff>
    </xdr:to>
    <xdr:graphicFrame macro="">
      <xdr:nvGraphicFramePr>
        <xdr:cNvPr id="21" name="Chart 20">
          <a:extLst>
            <a:ext uri="{FF2B5EF4-FFF2-40B4-BE49-F238E27FC236}">
              <a16:creationId xmlns:a16="http://schemas.microsoft.com/office/drawing/2014/main" id="{8E79A000-669C-4622-8EC8-D19F2FCF0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12700</xdr:colOff>
      <xdr:row>7</xdr:row>
      <xdr:rowOff>50801</xdr:rowOff>
    </xdr:from>
    <xdr:to>
      <xdr:col>4</xdr:col>
      <xdr:colOff>590550</xdr:colOff>
      <xdr:row>16</xdr:row>
      <xdr:rowOff>146051</xdr:rowOff>
    </xdr:to>
    <xdr:graphicFrame macro="">
      <xdr:nvGraphicFramePr>
        <xdr:cNvPr id="22" name="Chart 21">
          <a:extLst>
            <a:ext uri="{FF2B5EF4-FFF2-40B4-BE49-F238E27FC236}">
              <a16:creationId xmlns:a16="http://schemas.microsoft.com/office/drawing/2014/main" id="{B07540BB-13E6-4CCB-9E0B-6349AC9998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25400</xdr:colOff>
      <xdr:row>7</xdr:row>
      <xdr:rowOff>57151</xdr:rowOff>
    </xdr:from>
    <xdr:to>
      <xdr:col>10</xdr:col>
      <xdr:colOff>6350</xdr:colOff>
      <xdr:row>16</xdr:row>
      <xdr:rowOff>152401</xdr:rowOff>
    </xdr:to>
    <xdr:graphicFrame macro="">
      <xdr:nvGraphicFramePr>
        <xdr:cNvPr id="23" name="Chart 22">
          <a:extLst>
            <a:ext uri="{FF2B5EF4-FFF2-40B4-BE49-F238E27FC236}">
              <a16:creationId xmlns:a16="http://schemas.microsoft.com/office/drawing/2014/main" id="{036646D6-F45D-4E5D-93A5-9FE7E296B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12700</xdr:colOff>
      <xdr:row>17</xdr:row>
      <xdr:rowOff>0</xdr:rowOff>
    </xdr:from>
    <xdr:to>
      <xdr:col>7</xdr:col>
      <xdr:colOff>311150</xdr:colOff>
      <xdr:row>26</xdr:row>
      <xdr:rowOff>107950</xdr:rowOff>
    </xdr:to>
    <xdr:graphicFrame macro="">
      <xdr:nvGraphicFramePr>
        <xdr:cNvPr id="24" name="Chart 23">
          <a:extLst>
            <a:ext uri="{FF2B5EF4-FFF2-40B4-BE49-F238E27FC236}">
              <a16:creationId xmlns:a16="http://schemas.microsoft.com/office/drawing/2014/main" id="{8264601C-2832-408B-BFAD-9E4F18BE6B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349250</xdr:colOff>
      <xdr:row>16</xdr:row>
      <xdr:rowOff>177801</xdr:rowOff>
    </xdr:from>
    <xdr:to>
      <xdr:col>15</xdr:col>
      <xdr:colOff>44450</xdr:colOff>
      <xdr:row>26</xdr:row>
      <xdr:rowOff>101600</xdr:rowOff>
    </xdr:to>
    <xdr:graphicFrame macro="">
      <xdr:nvGraphicFramePr>
        <xdr:cNvPr id="25" name="Chart 24">
          <a:extLst>
            <a:ext uri="{FF2B5EF4-FFF2-40B4-BE49-F238E27FC236}">
              <a16:creationId xmlns:a16="http://schemas.microsoft.com/office/drawing/2014/main" id="{9F25FFE7-6DF8-4618-B641-1A6E91D60B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44450</xdr:colOff>
      <xdr:row>7</xdr:row>
      <xdr:rowOff>63500</xdr:rowOff>
    </xdr:from>
    <xdr:to>
      <xdr:col>15</xdr:col>
      <xdr:colOff>44450</xdr:colOff>
      <xdr:row>16</xdr:row>
      <xdr:rowOff>152400</xdr:rowOff>
    </xdr:to>
    <xdr:graphicFrame macro="">
      <xdr:nvGraphicFramePr>
        <xdr:cNvPr id="26" name="Chart 25">
          <a:extLst>
            <a:ext uri="{FF2B5EF4-FFF2-40B4-BE49-F238E27FC236}">
              <a16:creationId xmlns:a16="http://schemas.microsoft.com/office/drawing/2014/main" id="{255EADD5-325C-41D6-9F72-8FD919EAA6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26</xdr:row>
      <xdr:rowOff>163286</xdr:rowOff>
    </xdr:from>
    <xdr:to>
      <xdr:col>5</xdr:col>
      <xdr:colOff>539749</xdr:colOff>
      <xdr:row>40</xdr:row>
      <xdr:rowOff>23813</xdr:rowOff>
    </xdr:to>
    <xdr:graphicFrame macro="">
      <xdr:nvGraphicFramePr>
        <xdr:cNvPr id="14" name="Chart 13">
          <a:extLst>
            <a:ext uri="{FF2B5EF4-FFF2-40B4-BE49-F238E27FC236}">
              <a16:creationId xmlns:a16="http://schemas.microsoft.com/office/drawing/2014/main" id="{D93D225C-9661-44D5-AC29-4630E9EDCD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321973</xdr:colOff>
      <xdr:row>3</xdr:row>
      <xdr:rowOff>84044</xdr:rowOff>
    </xdr:from>
    <xdr:to>
      <xdr:col>15</xdr:col>
      <xdr:colOff>48560</xdr:colOff>
      <xdr:row>7</xdr:row>
      <xdr:rowOff>26894</xdr:rowOff>
    </xdr:to>
    <xdr:sp macro="" textlink="">
      <xdr:nvSpPr>
        <xdr:cNvPr id="27" name="Rectangle 26">
          <a:extLst>
            <a:ext uri="{FF2B5EF4-FFF2-40B4-BE49-F238E27FC236}">
              <a16:creationId xmlns:a16="http://schemas.microsoft.com/office/drawing/2014/main" id="{92DE1422-CB48-4E81-BB84-41E77781F00C}"/>
            </a:ext>
          </a:extLst>
        </xdr:cNvPr>
        <xdr:cNvSpPr/>
      </xdr:nvSpPr>
      <xdr:spPr>
        <a:xfrm>
          <a:off x="7620001" y="647495"/>
          <a:ext cx="1551094" cy="694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265415</xdr:colOff>
      <xdr:row>3</xdr:row>
      <xdr:rowOff>38142</xdr:rowOff>
    </xdr:from>
    <xdr:to>
      <xdr:col>15</xdr:col>
      <xdr:colOff>518731</xdr:colOff>
      <xdr:row>4</xdr:row>
      <xdr:rowOff>143098</xdr:rowOff>
    </xdr:to>
    <xdr:sp macro="" textlink="">
      <xdr:nvSpPr>
        <xdr:cNvPr id="28" name="TextBox 27">
          <a:extLst>
            <a:ext uri="{FF2B5EF4-FFF2-40B4-BE49-F238E27FC236}">
              <a16:creationId xmlns:a16="http://schemas.microsoft.com/office/drawing/2014/main" id="{517B0368-617A-2093-B89E-75587BB58F55}"/>
            </a:ext>
          </a:extLst>
        </xdr:cNvPr>
        <xdr:cNvSpPr txBox="1"/>
      </xdr:nvSpPr>
      <xdr:spPr>
        <a:xfrm>
          <a:off x="7563443" y="601593"/>
          <a:ext cx="2077823" cy="292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chemeClr val="dk1"/>
              </a:solidFill>
              <a:effectLst/>
              <a:latin typeface="Times New Roman" panose="02020603050405020304" pitchFamily="18" charset="0"/>
              <a:ea typeface="+mn-ea"/>
              <a:cs typeface="Times New Roman" panose="02020603050405020304" pitchFamily="18" charset="0"/>
            </a:rPr>
            <a:t>Retained Revenue</a:t>
          </a:r>
          <a:endParaRPr lang="en-NG" sz="1400">
            <a:effectLst/>
            <a:latin typeface="Times New Roman" panose="02020603050405020304" pitchFamily="18" charset="0"/>
            <a:cs typeface="Times New Roman" panose="02020603050405020304" pitchFamily="18" charset="0"/>
          </a:endParaRPr>
        </a:p>
      </xdr:txBody>
    </xdr:sp>
    <xdr:clientData/>
  </xdr:twoCellAnchor>
  <xdr:twoCellAnchor>
    <xdr:from>
      <xdr:col>13</xdr:col>
      <xdr:colOff>121397</xdr:colOff>
      <xdr:row>4</xdr:row>
      <xdr:rowOff>161379</xdr:rowOff>
    </xdr:from>
    <xdr:to>
      <xdr:col>15</xdr:col>
      <xdr:colOff>149413</xdr:colOff>
      <xdr:row>7</xdr:row>
      <xdr:rowOff>94960</xdr:rowOff>
    </xdr:to>
    <xdr:sp macro="" textlink="'Remaining Revenue'!B3">
      <xdr:nvSpPr>
        <xdr:cNvPr id="29" name="TextBox 28">
          <a:extLst>
            <a:ext uri="{FF2B5EF4-FFF2-40B4-BE49-F238E27FC236}">
              <a16:creationId xmlns:a16="http://schemas.microsoft.com/office/drawing/2014/main" id="{519D2CB9-41C3-8C62-589D-33917F8295F5}"/>
            </a:ext>
          </a:extLst>
        </xdr:cNvPr>
        <xdr:cNvSpPr txBox="1"/>
      </xdr:nvSpPr>
      <xdr:spPr>
        <a:xfrm>
          <a:off x="8027594" y="912647"/>
          <a:ext cx="1244354" cy="4970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72639EA-5EC9-42A0-9D85-35426A7F959E}" type="TxLink">
            <a:rPr lang="en-US" sz="2400" b="1" i="0" u="none" strike="noStrike">
              <a:solidFill>
                <a:srgbClr val="000000"/>
              </a:solidFill>
              <a:latin typeface="Times New Roman" panose="02020603050405020304" pitchFamily="18" charset="0"/>
              <a:cs typeface="Times New Roman" panose="02020603050405020304" pitchFamily="18" charset="0"/>
            </a:rPr>
            <a:pPr/>
            <a:t>$59,214</a:t>
          </a:fld>
          <a:endParaRPr lang="en-NG" sz="2400" b="1">
            <a:latin typeface="Times New Roman" panose="02020603050405020304" pitchFamily="18" charset="0"/>
            <a:cs typeface="Times New Roman" panose="02020603050405020304" pitchFamily="18" charset="0"/>
          </a:endParaRPr>
        </a:p>
      </xdr:txBody>
    </xdr:sp>
    <xdr:clientData/>
  </xdr:twoCellAnchor>
  <xdr:twoCellAnchor editAs="oneCell">
    <xdr:from>
      <xdr:col>12</xdr:col>
      <xdr:colOff>177781</xdr:colOff>
      <xdr:row>0</xdr:row>
      <xdr:rowOff>12187</xdr:rowOff>
    </xdr:from>
    <xdr:to>
      <xdr:col>15</xdr:col>
      <xdr:colOff>48630</xdr:colOff>
      <xdr:row>3</xdr:row>
      <xdr:rowOff>20123</xdr:rowOff>
    </xdr:to>
    <mc:AlternateContent xmlns:mc="http://schemas.openxmlformats.org/markup-compatibility/2006" xmlns:a14="http://schemas.microsoft.com/office/drawing/2010/main">
      <mc:Choice Requires="a14">
        <xdr:graphicFrame macro="">
          <xdr:nvGraphicFramePr>
            <xdr:cNvPr id="30" name="Gender 1">
              <a:extLst>
                <a:ext uri="{FF2B5EF4-FFF2-40B4-BE49-F238E27FC236}">
                  <a16:creationId xmlns:a16="http://schemas.microsoft.com/office/drawing/2014/main" id="{087310AB-0353-412F-8173-B9831603E2D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7471210" y="12187"/>
              <a:ext cx="1730491" cy="552222"/>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87313</xdr:colOff>
      <xdr:row>0</xdr:row>
      <xdr:rowOff>103187</xdr:rowOff>
    </xdr:from>
    <xdr:to>
      <xdr:col>10</xdr:col>
      <xdr:colOff>31750</xdr:colOff>
      <xdr:row>2</xdr:row>
      <xdr:rowOff>174625</xdr:rowOff>
    </xdr:to>
    <xdr:sp macro="" textlink="">
      <xdr:nvSpPr>
        <xdr:cNvPr id="32" name="TextBox 31">
          <a:extLst>
            <a:ext uri="{FF2B5EF4-FFF2-40B4-BE49-F238E27FC236}">
              <a16:creationId xmlns:a16="http://schemas.microsoft.com/office/drawing/2014/main" id="{658C1C5D-A90A-A5E1-FC45-93CA1E5F7960}"/>
            </a:ext>
          </a:extLst>
        </xdr:cNvPr>
        <xdr:cNvSpPr txBox="1"/>
      </xdr:nvSpPr>
      <xdr:spPr>
        <a:xfrm>
          <a:off x="87313" y="103187"/>
          <a:ext cx="6056312" cy="436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latin typeface="Times New Roman" panose="02020603050405020304" pitchFamily="18" charset="0"/>
              <a:cs typeface="Times New Roman" panose="02020603050405020304" pitchFamily="18" charset="0"/>
            </a:rPr>
            <a:t>Streaming Platform Customer Churn Analysis</a:t>
          </a:r>
          <a:endParaRPr lang="en-NG" sz="2400">
            <a:latin typeface="Times New Roman" panose="02020603050405020304" pitchFamily="18" charset="0"/>
            <a:cs typeface="Times New Roman" panose="02020603050405020304" pitchFamily="18" charset="0"/>
          </a:endParaRPr>
        </a:p>
      </xdr:txBody>
    </xdr:sp>
    <xdr:clientData/>
  </xdr:twoCellAnchor>
  <xdr:twoCellAnchor>
    <xdr:from>
      <xdr:col>8</xdr:col>
      <xdr:colOff>62605</xdr:colOff>
      <xdr:row>3</xdr:row>
      <xdr:rowOff>80492</xdr:rowOff>
    </xdr:from>
    <xdr:to>
      <xdr:col>9</xdr:col>
      <xdr:colOff>563451</xdr:colOff>
      <xdr:row>7</xdr:row>
      <xdr:rowOff>23342</xdr:rowOff>
    </xdr:to>
    <xdr:sp macro="" textlink="">
      <xdr:nvSpPr>
        <xdr:cNvPr id="33" name="Rectangle 32">
          <a:extLst>
            <a:ext uri="{FF2B5EF4-FFF2-40B4-BE49-F238E27FC236}">
              <a16:creationId xmlns:a16="http://schemas.microsoft.com/office/drawing/2014/main" id="{A40BD043-AFA0-4C7A-9E1D-1EE512C532F1}"/>
            </a:ext>
          </a:extLst>
        </xdr:cNvPr>
        <xdr:cNvSpPr/>
      </xdr:nvSpPr>
      <xdr:spPr>
        <a:xfrm>
          <a:off x="4927957" y="643943"/>
          <a:ext cx="1109015" cy="694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8945</xdr:colOff>
      <xdr:row>3</xdr:row>
      <xdr:rowOff>35775</xdr:rowOff>
    </xdr:from>
    <xdr:to>
      <xdr:col>9</xdr:col>
      <xdr:colOff>152043</xdr:colOff>
      <xdr:row>4</xdr:row>
      <xdr:rowOff>134155</xdr:rowOff>
    </xdr:to>
    <xdr:sp macro="" textlink="">
      <xdr:nvSpPr>
        <xdr:cNvPr id="34" name="TextBox 33">
          <a:extLst>
            <a:ext uri="{FF2B5EF4-FFF2-40B4-BE49-F238E27FC236}">
              <a16:creationId xmlns:a16="http://schemas.microsoft.com/office/drawing/2014/main" id="{9C5E3A6B-3DEE-98AE-9DEE-30671DB6B543}"/>
            </a:ext>
          </a:extLst>
        </xdr:cNvPr>
        <xdr:cNvSpPr txBox="1"/>
      </xdr:nvSpPr>
      <xdr:spPr>
        <a:xfrm>
          <a:off x="4874297" y="599226"/>
          <a:ext cx="751267" cy="286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atin typeface="Times New Roman" panose="02020603050405020304" pitchFamily="18" charset="0"/>
              <a:cs typeface="Times New Roman" panose="02020603050405020304" pitchFamily="18" charset="0"/>
            </a:rPr>
            <a:t>ARPU</a:t>
          </a:r>
          <a:endParaRPr lang="en-NG" sz="1400" b="1">
            <a:latin typeface="Times New Roman" panose="02020603050405020304" pitchFamily="18" charset="0"/>
            <a:cs typeface="Times New Roman" panose="02020603050405020304" pitchFamily="18" charset="0"/>
          </a:endParaRPr>
        </a:p>
      </xdr:txBody>
    </xdr:sp>
    <xdr:clientData/>
  </xdr:twoCellAnchor>
  <xdr:twoCellAnchor>
    <xdr:from>
      <xdr:col>8</xdr:col>
      <xdr:colOff>572396</xdr:colOff>
      <xdr:row>4</xdr:row>
      <xdr:rowOff>143099</xdr:rowOff>
    </xdr:from>
    <xdr:to>
      <xdr:col>10</xdr:col>
      <xdr:colOff>62607</xdr:colOff>
      <xdr:row>6</xdr:row>
      <xdr:rowOff>169931</xdr:rowOff>
    </xdr:to>
    <xdr:sp macro="" textlink="ARPU!B2">
      <xdr:nvSpPr>
        <xdr:cNvPr id="35" name="TextBox 34">
          <a:extLst>
            <a:ext uri="{FF2B5EF4-FFF2-40B4-BE49-F238E27FC236}">
              <a16:creationId xmlns:a16="http://schemas.microsoft.com/office/drawing/2014/main" id="{721F4671-0708-6973-358C-6EE2A9B530AF}"/>
            </a:ext>
          </a:extLst>
        </xdr:cNvPr>
        <xdr:cNvSpPr txBox="1"/>
      </xdr:nvSpPr>
      <xdr:spPr>
        <a:xfrm>
          <a:off x="5437748" y="894367"/>
          <a:ext cx="706549" cy="4024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A81EEC-E2D8-4D87-8E2E-AF06FB9EFC5E}" type="TxLink">
            <a:rPr lang="en-US" sz="2400" b="1" i="0" u="none" strike="noStrike">
              <a:solidFill>
                <a:srgbClr val="000000"/>
              </a:solidFill>
              <a:latin typeface="Times New Roman" panose="02020603050405020304" pitchFamily="18" charset="0"/>
              <a:cs typeface="Times New Roman" panose="02020603050405020304" pitchFamily="18" charset="0"/>
            </a:rPr>
            <a:pPr/>
            <a:t>$15</a:t>
          </a:fld>
          <a:endParaRPr lang="en-NG" sz="2400" b="1">
            <a:latin typeface="Times New Roman" panose="02020603050405020304" pitchFamily="18" charset="0"/>
            <a:cs typeface="Times New Roman" panose="02020603050405020304" pitchFamily="18"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6736108" backgroundQuery="1" createdVersion="8" refreshedVersion="8" minRefreshableVersion="3" recordCount="0" supportSubquery="1" supportAdvancedDrill="1" xr:uid="{7CEA17B2-0A90-4A9B-8E88-B77EC4F42E0F}">
  <cacheSource type="external" connectionId="1"/>
  <cacheFields count="2">
    <cacheField name="[Measures].[Remaining revenue]" caption="Remaining revenue" numFmtId="0" hierarchy="30"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oneField="1">
      <fieldsUsage count="1">
        <fieldUsage x="0"/>
      </fieldsUsage>
    </cacheHierarchy>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7083331" backgroundQuery="1" createdVersion="8" refreshedVersion="8" minRefreshableVersion="3" recordCount="0" supportSubquery="1" supportAdvancedDrill="1" xr:uid="{239DBEB1-2462-4D5A-80C3-5974A8629E63}">
  <cacheSource type="external" connectionId="1"/>
  <cacheFields count="4">
    <cacheField name="[Table242].[Subscription_Type].[Subscription_Type]" caption="Subscription_Type" numFmtId="0" hierarchy="3" level="1">
      <sharedItems count="3">
        <s v="Basic"/>
        <s v="Premium"/>
        <s v="Standard"/>
      </sharedItems>
    </cacheField>
    <cacheField name="[Table242].[Age_Group].[Age_Group]" caption="Age_Group" numFmtId="0" hierarchy="14" level="1">
      <sharedItems count="3">
        <s v="Middle Adulthood"/>
        <s v="Old"/>
        <s v="Young Adult"/>
      </sharedItems>
    </cacheField>
    <cacheField name="[Measures].[Churn Rate]" caption="Churn Rate" numFmtId="0" hierarchy="27"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3"/>
      </fieldsUsage>
    </cacheHierarchy>
    <cacheHierarchy uniqueName="[Table242].[Subscription_Type]" caption="Subscription_Type" attribute="1" defaultMemberUniqueName="[Table242].[Subscription_Type].[All]" allUniqueName="[Table242].[Subscription_Type].[All]" dimensionUniqueName="[Table242]" displayFolder="" count="2" memberValueDatatype="130" unbalanced="0">
      <fieldsUsage count="2">
        <fieldUsage x="-1"/>
        <fieldUsage x="0"/>
      </fieldsUsage>
    </cacheHierarchy>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2" memberValueDatatype="130" unbalanced="0">
      <fieldsUsage count="2">
        <fieldUsage x="-1"/>
        <fieldUsage x="1"/>
      </fieldsUsage>
    </cacheHierarchy>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oneField="1">
      <fieldsUsage count="1">
        <fieldUsage x="2"/>
      </fieldsUsage>
    </cacheHierarchy>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7430555" backgroundQuery="1" createdVersion="8" refreshedVersion="8" minRefreshableVersion="3" recordCount="0" supportSubquery="1" supportAdvancedDrill="1" xr:uid="{575F5728-7BF3-4ACB-A7EF-5C89EA3658FB}">
  <cacheSource type="external" connectionId="1"/>
  <cacheFields count="3">
    <cacheField name="[Table242].[Churned_Flag].[Churned_Flag]" caption="Churned_Flag" numFmtId="0" hierarchy="13" level="1">
      <sharedItems count="2">
        <s v="Active"/>
        <s v="Churn"/>
      </sharedItems>
    </cacheField>
    <cacheField name="[Measures].[Average of Avg_Watch_Time_Per_Day]" caption="Average of Avg_Watch_Time_Per_Day" numFmtId="0" hierarchy="17"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2" memberValueDatatype="130" unbalanced="0">
      <fieldsUsage count="2">
        <fieldUsage x="-1"/>
        <fieldUsage x="0"/>
      </fieldsUsage>
    </cacheHierarchy>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oneField="1">
      <fieldsUsage count="1">
        <fieldUsage x="1"/>
      </fieldsUsage>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7777778" backgroundQuery="1" createdVersion="8" refreshedVersion="8" minRefreshableVersion="3" recordCount="0" supportSubquery="1" supportAdvancedDrill="1" xr:uid="{F6DC70B2-ACD5-4EDC-BCF3-7CFDB1098F1C}">
  <cacheSource type="external" connectionId="1"/>
  <cacheFields count="3">
    <cacheField name="[Table242].[Device].[Device]" caption="Device" numFmtId="0" hierarchy="7" level="1">
      <sharedItems count="4">
        <s v="Laptop"/>
        <s v="Moblie"/>
        <s v="Tablet"/>
        <s v="TV"/>
      </sharedItems>
    </cacheField>
    <cacheField name="[Measures].[Churned Customers]" caption="Churned Customers" numFmtId="0" hierarchy="26"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2" memberValueDatatype="130" unbalanced="0">
      <fieldsUsage count="2">
        <fieldUsage x="-1"/>
        <fieldUsage x="0"/>
      </fieldsUsage>
    </cacheHierarchy>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oneField="1">
      <fieldsUsage count="1">
        <fieldUsage x="1"/>
      </fieldsUsage>
    </cacheHierarchy>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8125001" backgroundQuery="1" createdVersion="8" refreshedVersion="8" minRefreshableVersion="3" recordCount="0" supportSubquery="1" supportAdvancedDrill="1" xr:uid="{281363D6-E07D-48F2-AEC6-BBA2D08113D6}">
  <cacheSource type="external" connectionId="1"/>
  <cacheFields count="3">
    <cacheField name="[Table242].[Favorite_Genre].[Favorite_Genre]" caption="Favorite_Genre" numFmtId="0" hierarchy="12" level="1">
      <sharedItems count="5">
        <s v="Action"/>
        <s v="Comedy"/>
        <s v="Documentary"/>
        <s v="Drama"/>
        <s v="Thriller"/>
      </sharedItems>
    </cacheField>
    <cacheField name="[Measures].[Churned Customers]" caption="Churned Customers" numFmtId="0" hierarchy="26"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2" memberValueDatatype="130" unbalanced="0">
      <fieldsUsage count="2">
        <fieldUsage x="-1"/>
        <fieldUsage x="0"/>
      </fieldsUsage>
    </cacheHierarchy>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oneField="1">
      <fieldsUsage count="1">
        <fieldUsage x="1"/>
      </fieldsUsage>
    </cacheHierarchy>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8587963" backgroundQuery="1" createdVersion="8" refreshedVersion="8" minRefreshableVersion="3" recordCount="0" supportSubquery="1" supportAdvancedDrill="1" xr:uid="{C40ED577-D91E-4C93-A13F-57E01287CD60}">
  <cacheSource type="external" connectionId="1"/>
  <cacheFields count="3">
    <cacheField name="[Table242].[Subscription_Type].[Subscription_Type]" caption="Subscription_Type" numFmtId="0" hierarchy="3" level="1">
      <sharedItems count="3">
        <s v="Basic"/>
        <s v="Premium"/>
        <s v="Standard"/>
      </sharedItems>
    </cacheField>
    <cacheField name="[Measures].[Churn Rate]" caption="Churn Rate" numFmtId="0" hierarchy="27"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2" memberValueDatatype="130" unbalanced="0">
      <fieldsUsage count="2">
        <fieldUsage x="-1"/>
        <fieldUsage x="0"/>
      </fieldsUsage>
    </cacheHierarchy>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oneField="1">
      <fieldsUsage count="1">
        <fieldUsage x="1"/>
      </fieldsUsage>
    </cacheHierarchy>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8935186" backgroundQuery="1" createdVersion="8" refreshedVersion="8" minRefreshableVersion="3" recordCount="0" supportSubquery="1" supportAdvancedDrill="1" xr:uid="{EC267CCD-8301-491D-BFB3-7C432AFFA263}">
  <cacheSource type="external" connectionId="1"/>
  <cacheFields count="3">
    <cacheField name="[Table242].[Region].[Region]" caption="Region" numFmtId="0" hierarchy="6" level="1">
      <sharedItems count="5">
        <s v="Africa"/>
        <s v="Asia"/>
        <s v="Europe"/>
        <s v="North America"/>
        <s v="South America"/>
      </sharedItems>
    </cacheField>
    <cacheField name="[Measures].[Churned Customers]" caption="Churned Customers" numFmtId="0" hierarchy="26"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2" memberValueDatatype="130" unbalanced="0">
      <fieldsUsage count="2">
        <fieldUsage x="-1"/>
        <fieldUsage x="0"/>
      </fieldsUsage>
    </cacheHierarchy>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oneField="1">
      <fieldsUsage count="1">
        <fieldUsage x="1"/>
      </fieldsUsage>
    </cacheHierarchy>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9050925" backgroundQuery="1" createdVersion="8" refreshedVersion="8" minRefreshableVersion="3" recordCount="0" supportSubquery="1" supportAdvancedDrill="1" xr:uid="{77528DAF-B88A-4036-98CB-99ACE4D622A5}">
  <cacheSource type="external" connectionId="1"/>
  <cacheFields count="2">
    <cacheField name="[Measures].[Churned Customers]" caption="Churned Customers" numFmtId="0" hierarchy="26"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oneField="1">
      <fieldsUsage count="1">
        <fieldUsage x="0"/>
      </fieldsUsage>
    </cacheHierarchy>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9050925" backgroundQuery="1" createdVersion="8" refreshedVersion="8" minRefreshableVersion="3" recordCount="0" supportSubquery="1" supportAdvancedDrill="1" xr:uid="{33E093CF-3D0F-4FD4-B156-68C2B03400B9}">
  <cacheSource type="external" connectionId="1"/>
  <cacheFields count="2">
    <cacheField name="[Measures].[Churn Rate]" caption="Churn Rate" numFmtId="0" hierarchy="27"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oneField="1">
      <fieldsUsage count="1">
        <fieldUsage x="0"/>
      </fieldsUsage>
    </cacheHierarchy>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9398148" backgroundQuery="1" createdVersion="8" refreshedVersion="8" minRefreshableVersion="3" recordCount="0" supportSubquery="1" supportAdvancedDrill="1" xr:uid="{435724F6-5747-4C45-9364-29A672A2649B}">
  <cacheSource type="external" connectionId="1"/>
  <cacheFields count="3">
    <cacheField name="[Table242].[Gender].[Gender]" caption="Gender" numFmtId="0" hierarchy="2" level="1">
      <sharedItems count="2">
        <s v="Female"/>
        <s v="Male"/>
      </sharedItems>
    </cacheField>
    <cacheField name="[Table242].[Subscription_Type].[Subscription_Type]" caption="Subscription_Type" numFmtId="0" hierarchy="3" level="1">
      <sharedItems count="3">
        <s v="Basic"/>
        <s v="Premium"/>
        <s v="Standard"/>
      </sharedItems>
    </cacheField>
    <cacheField name="[Measures].[Churn Rate]" caption="Churn Rate" numFmtId="0" hierarchy="27" level="32767"/>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0"/>
      </fieldsUsage>
    </cacheHierarchy>
    <cacheHierarchy uniqueName="[Table242].[Subscription_Type]" caption="Subscription_Type" attribute="1" defaultMemberUniqueName="[Table242].[Subscription_Type].[All]" allUniqueName="[Table242].[Subscription_Type].[All]" dimensionUniqueName="[Table242]" displayFolder="" count="2" memberValueDatatype="130" unbalanced="0">
      <fieldsUsage count="2">
        <fieldUsage x="-1"/>
        <fieldUsage x="1"/>
      </fieldsUsage>
    </cacheHierarchy>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oneField="1">
      <fieldsUsage count="1">
        <fieldUsage x="2"/>
      </fieldsUsage>
    </cacheHierarchy>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9629633" backgroundQuery="1" createdVersion="8" refreshedVersion="8" minRefreshableVersion="3" recordCount="0" supportSubquery="1" supportAdvancedDrill="1" xr:uid="{896E3E91-F21E-47FB-A983-2985A76BA08F}">
  <cacheSource type="external" connectionId="1"/>
  <cacheFields count="2">
    <cacheField name="[Measures].[Lost Revenue]" caption="Lost Revenue" numFmtId="0" hierarchy="28"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oneField="1">
      <fieldsUsage count="1">
        <fieldUsage x="0"/>
      </fieldsUsage>
    </cacheHierarchy>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29745371" backgroundQuery="1" createdVersion="8" refreshedVersion="8" minRefreshableVersion="3" recordCount="0" supportSubquery="1" supportAdvancedDrill="1" xr:uid="{70972D0C-9EA9-409F-9727-63D17EC4E245}">
  <cacheSource type="external" connectionId="1"/>
  <cacheFields count="2">
    <cacheField name="[Measures].[Retention Rate]" caption="Retention Rate" numFmtId="0" hierarchy="29"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oneField="1">
      <fieldsUsage count="1">
        <fieldUsage x="0"/>
      </fieldsUsage>
    </cacheHierarchy>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30208333" backgroundQuery="1" createdVersion="8" refreshedVersion="8" minRefreshableVersion="3" recordCount="0" supportSubquery="1" supportAdvancedDrill="1" xr:uid="{8B24D19B-FA85-442C-AFDA-5C156E829BE2}">
  <cacheSource type="external" connectionId="1"/>
  <cacheFields count="3">
    <cacheField name="[Table242].[Subscription_Type].[Subscription_Type]" caption="Subscription_Type" numFmtId="0" hierarchy="3" level="1">
      <sharedItems count="3">
        <s v="Basic"/>
        <s v="Premium"/>
        <s v="Standard"/>
      </sharedItems>
    </cacheField>
    <cacheField name="[Measures].[Retention Rate]" caption="Retention Rate" numFmtId="0" hierarchy="29"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2" memberValueDatatype="130" unbalanced="0">
      <fieldsUsage count="2">
        <fieldUsage x="-1"/>
        <fieldUsage x="0"/>
      </fieldsUsage>
    </cacheHierarchy>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oneField="1">
      <fieldsUsage count="1">
        <fieldUsage x="1"/>
      </fieldsUsage>
    </cacheHierarchy>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30555557" backgroundQuery="1" createdVersion="8" refreshedVersion="8" minRefreshableVersion="3" recordCount="0" supportSubquery="1" supportAdvancedDrill="1" xr:uid="{E96010D0-0AFB-4A84-A2D8-92947E6B1F0F}">
  <cacheSource type="external" connectionId="1"/>
  <cacheFields count="3">
    <cacheField name="[Table242].[Subscription_Type].[Subscription_Type]" caption="Subscription_Type" numFmtId="0" hierarchy="3" level="1">
      <sharedItems count="3">
        <s v="Basic"/>
        <s v="Premium"/>
        <s v="Standard"/>
      </sharedItems>
    </cacheField>
    <cacheField name="[Measures].[Lost Revenue]" caption="Lost Revenue" numFmtId="0" hierarchy="28"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2"/>
      </fieldsUsage>
    </cacheHierarchy>
    <cacheHierarchy uniqueName="[Table242].[Subscription_Type]" caption="Subscription_Type" attribute="1" defaultMemberUniqueName="[Table242].[Subscription_Type].[All]" allUniqueName="[Table242].[Subscription_Type].[All]" dimensionUniqueName="[Table242]" displayFolder="" count="2" memberValueDatatype="130" unbalanced="0">
      <fieldsUsage count="2">
        <fieldUsage x="-1"/>
        <fieldUsage x="0"/>
      </fieldsUsage>
    </cacheHierarchy>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oneField="1">
      <fieldsUsage count="1">
        <fieldUsage x="1"/>
      </fieldsUsage>
    </cacheHierarchy>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30671295" backgroundQuery="1" createdVersion="8" refreshedVersion="8" minRefreshableVersion="3" recordCount="0" supportSubquery="1" supportAdvancedDrill="1" xr:uid="{A996A82E-2B80-4993-AE6B-B8380780FE99}">
  <cacheSource type="external" connectionId="1"/>
  <cacheFields count="2">
    <cacheField name="[Measures].[Total Users]" caption="Total Users" numFmtId="0" hierarchy="25"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oneField="1">
      <fieldsUsage count="1">
        <fieldUsage x="0"/>
      </fieldsUsage>
    </cacheHierarchy>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3.516530787034" backgroundQuery="1" createdVersion="8" refreshedVersion="8" minRefreshableVersion="3" recordCount="0" supportSubquery="1" supportAdvancedDrill="1" xr:uid="{7EC10538-03FA-4F42-AF2C-4F91AEBB37FA}">
  <cacheSource type="external" connectionId="1"/>
  <cacheFields count="2">
    <cacheField name="[Measures].[ARPU]" caption="ARPU" numFmtId="0" hierarchy="31" level="32767"/>
    <cacheField name="[Table242].[Gender].[Gender]" caption="Gender" numFmtId="0" hierarchy="2" level="1">
      <sharedItems containsSemiMixedTypes="0" containsNonDate="0" containsString="0"/>
    </cacheField>
  </cacheFields>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fieldsUsage count="2">
        <fieldUsage x="-1"/>
        <fieldUsage x="1"/>
      </fieldsUsage>
    </cacheHierarchy>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oneField="1">
      <fieldsUsage count="1">
        <fieldUsage x="0"/>
      </fieldsUsage>
    </cacheHierarchy>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dimensions count="2">
    <dimension measure="1" name="Measures" uniqueName="[Measures]" caption="Measures"/>
    <dimension name="Table242" uniqueName="[Table242]" caption="Table242"/>
  </dimensions>
  <measureGroups count="1">
    <measureGroup name="Table242" caption="Table24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1.525284490737" backgroundQuery="1" createdVersion="3" refreshedVersion="8" minRefreshableVersion="3" recordCount="0" supportSubquery="1" supportAdvancedDrill="1" xr:uid="{D3BFFDD7-1847-40BE-A874-395F1E1AE73C}">
  <cacheSource type="external" connectionId="1">
    <extLst>
      <ext xmlns:x14="http://schemas.microsoft.com/office/spreadsheetml/2009/9/main" uri="{F057638F-6D5F-4e77-A914-E7F072B9BCA8}">
        <x14:sourceConnection name="ThisWorkbookDataModel"/>
      </ext>
    </extLst>
  </cacheSource>
  <cacheFields count="0"/>
  <cacheHierarchies count="34">
    <cacheHierarchy uniqueName="[Table242].[Customer_ID]" caption="Customer_ID" attribute="1" defaultMemberUniqueName="[Table242].[Customer_ID].[All]" allUniqueName="[Table242].[Customer_ID].[All]" dimensionUniqueName="[Table242]" displayFolder="" count="0" memberValueDatatype="130" unbalanced="0"/>
    <cacheHierarchy uniqueName="[Table242].[Age]" caption="Age" attribute="1" defaultMemberUniqueName="[Table242].[Age].[All]" allUniqueName="[Table242].[Age].[All]" dimensionUniqueName="[Table242]" displayFolder="" count="0" memberValueDatatype="20" unbalanced="0"/>
    <cacheHierarchy uniqueName="[Table242].[Gender]" caption="Gender" attribute="1" defaultMemberUniqueName="[Table242].[Gender].[All]" allUniqueName="[Table242].[Gender].[All]" dimensionUniqueName="[Table242]" displayFolder="" count="2" memberValueDatatype="130" unbalanced="0"/>
    <cacheHierarchy uniqueName="[Table242].[Subscription_Type]" caption="Subscription_Type" attribute="1" defaultMemberUniqueName="[Table242].[Subscription_Type].[All]" allUniqueName="[Table242].[Subscription_Type].[All]" dimensionUniqueName="[Table242]" displayFolder="" count="0" memberValueDatatype="130" unbalanced="0"/>
    <cacheHierarchy uniqueName="[Table242].[Watch_Hours]" caption="Watch_Hours" attribute="1" defaultMemberUniqueName="[Table242].[Watch_Hours].[All]" allUniqueName="[Table242].[Watch_Hours].[All]" dimensionUniqueName="[Table242]" displayFolder="" count="0" memberValueDatatype="20" unbalanced="0"/>
    <cacheHierarchy uniqueName="[Table242].[Last_Login_Days]" caption="Last_Login_Days" attribute="1" defaultMemberUniqueName="[Table242].[Last_Login_Days].[All]" allUniqueName="[Table242].[Last_Login_Days].[All]" dimensionUniqueName="[Table242]" displayFolder="" count="0" memberValueDatatype="130" unbalanced="0"/>
    <cacheHierarchy uniqueName="[Table242].[Region]" caption="Region" attribute="1" defaultMemberUniqueName="[Table242].[Region].[All]" allUniqueName="[Table242].[Region].[All]" dimensionUniqueName="[Table242]" displayFolder="" count="0" memberValueDatatype="130" unbalanced="0"/>
    <cacheHierarchy uniqueName="[Table242].[Device]" caption="Device" attribute="1" defaultMemberUniqueName="[Table242].[Device].[All]" allUniqueName="[Table242].[Device].[All]" dimensionUniqueName="[Table242]" displayFolder="" count="0" memberValueDatatype="130" unbalanced="0"/>
    <cacheHierarchy uniqueName="[Table242].[Monthly_Fee]" caption="Monthly_Fee" attribute="1" defaultMemberUniqueName="[Table242].[Monthly_Fee].[All]" allUniqueName="[Table242].[Monthly_Fee].[All]" dimensionUniqueName="[Table242]" displayFolder="" count="0" memberValueDatatype="5" unbalanced="0"/>
    <cacheHierarchy uniqueName="[Table242].[Number_Of_Profiles]" caption="Number_Of_Profiles" attribute="1" defaultMemberUniqueName="[Table242].[Number_Of_Profiles].[All]" allUniqueName="[Table242].[Number_Of_Profiles].[All]" dimensionUniqueName="[Table242]" displayFolder="" count="0" memberValueDatatype="20" unbalanced="0"/>
    <cacheHierarchy uniqueName="[Table242].[Avg_Watch_Time_Per_Day]" caption="Avg_Watch_Time_Per_Day" attribute="1" defaultMemberUniqueName="[Table242].[Avg_Watch_Time_Per_Day].[All]" allUniqueName="[Table242].[Avg_Watch_Time_Per_Day].[All]" dimensionUniqueName="[Table242]" displayFolder="" count="0" memberValueDatatype="5" unbalanced="0"/>
    <cacheHierarchy uniqueName="[Table242].[Churned]" caption="Churned" attribute="1" defaultMemberUniqueName="[Table242].[Churned].[All]" allUniqueName="[Table242].[Churned].[All]" dimensionUniqueName="[Table242]" displayFolder="" count="0" memberValueDatatype="20" unbalanced="0"/>
    <cacheHierarchy uniqueName="[Table242].[Favorite_Genre]" caption="Favorite_Genre" attribute="1" defaultMemberUniqueName="[Table242].[Favorite_Genre].[All]" allUniqueName="[Table242].[Favorite_Genre].[All]" dimensionUniqueName="[Table242]" displayFolder="" count="0" memberValueDatatype="130" unbalanced="0"/>
    <cacheHierarchy uniqueName="[Table242].[Churned_Flag]" caption="Churned_Flag" attribute="1" defaultMemberUniqueName="[Table242].[Churned_Flag].[All]" allUniqueName="[Table242].[Churned_Flag].[All]" dimensionUniqueName="[Table242]" displayFolder="" count="0" memberValueDatatype="130" unbalanced="0"/>
    <cacheHierarchy uniqueName="[Table242].[Age_Group]" caption="Age_Group" attribute="1" defaultMemberUniqueName="[Table242].[Age_Group].[All]" allUniqueName="[Table242].[Age_Group].[All]" dimensionUniqueName="[Table242]" displayFolder="" count="0" memberValueDatatype="130" unbalanced="0"/>
    <cacheHierarchy uniqueName="[Measures].[Sum of Churned]" caption="Sum of Churned" measure="1" displayFolder="" measureGroup="Table242" count="0">
      <extLst>
        <ext xmlns:x15="http://schemas.microsoft.com/office/spreadsheetml/2010/11/main" uri="{B97F6D7D-B522-45F9-BDA1-12C45D357490}">
          <x15:cacheHierarchy aggregatedColumn="11"/>
        </ext>
      </extLst>
    </cacheHierarchy>
    <cacheHierarchy uniqueName="[Measures].[Sum of Avg_Watch_Time_Per_Day]" caption="Sum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Average of Avg_Watch_Time_Per_Day]" caption="Average of Avg_Watch_Time_Per_Day" measure="1" displayFolder="" measureGroup="Table242" count="0">
      <extLst>
        <ext xmlns:x15="http://schemas.microsoft.com/office/spreadsheetml/2010/11/main" uri="{B97F6D7D-B522-45F9-BDA1-12C45D357490}">
          <x15:cacheHierarchy aggregatedColumn="10"/>
        </ext>
      </extLst>
    </cacheHierarchy>
    <cacheHierarchy uniqueName="[Measures].[Sum of Monthly_Fee]" caption="Sum of Monthly_Fee" measure="1" displayFolder="" measureGroup="Table242" count="0">
      <extLst>
        <ext xmlns:x15="http://schemas.microsoft.com/office/spreadsheetml/2010/11/main" uri="{B97F6D7D-B522-45F9-BDA1-12C45D357490}">
          <x15:cacheHierarchy aggregatedColumn="8"/>
        </ext>
      </extLst>
    </cacheHierarchy>
    <cacheHierarchy uniqueName="[Measures].[Count of Churned_Flag]" caption="Count of Churned_Flag" measure="1" displayFolder="" measureGroup="Table242" count="0">
      <extLst>
        <ext xmlns:x15="http://schemas.microsoft.com/office/spreadsheetml/2010/11/main" uri="{B97F6D7D-B522-45F9-BDA1-12C45D357490}">
          <x15:cacheHierarchy aggregatedColumn="13"/>
        </ext>
      </extLst>
    </cacheHierarchy>
    <cacheHierarchy uniqueName="[Measures].[Average of Churned]" caption="Average of Churned" measure="1" displayFolder="" measureGroup="Table242" count="0">
      <extLst>
        <ext xmlns:x15="http://schemas.microsoft.com/office/spreadsheetml/2010/11/main" uri="{B97F6D7D-B522-45F9-BDA1-12C45D357490}">
          <x15:cacheHierarchy aggregatedColumn="11"/>
        </ext>
      </extLst>
    </cacheHierarchy>
    <cacheHierarchy uniqueName="[Measures].[Sum of Age]" caption="Sum of Age" measure="1" displayFolder="" measureGroup="Table242" count="0">
      <extLst>
        <ext xmlns:x15="http://schemas.microsoft.com/office/spreadsheetml/2010/11/main" uri="{B97F6D7D-B522-45F9-BDA1-12C45D357490}">
          <x15:cacheHierarchy aggregatedColumn="1"/>
        </ext>
      </extLst>
    </cacheHierarchy>
    <cacheHierarchy uniqueName="[Measures].[Average of Age]" caption="Average of Age" measure="1" displayFolder="" measureGroup="Table242" count="0">
      <extLst>
        <ext xmlns:x15="http://schemas.microsoft.com/office/spreadsheetml/2010/11/main" uri="{B97F6D7D-B522-45F9-BDA1-12C45D357490}">
          <x15:cacheHierarchy aggregatedColumn="1"/>
        </ext>
      </extLst>
    </cacheHierarchy>
    <cacheHierarchy uniqueName="[Measures].[Count of Customer_ID]" caption="Count of Customer_ID" measure="1" displayFolder="" measureGroup="Table242" count="0">
      <extLst>
        <ext xmlns:x15="http://schemas.microsoft.com/office/spreadsheetml/2010/11/main" uri="{B97F6D7D-B522-45F9-BDA1-12C45D357490}">
          <x15:cacheHierarchy aggregatedColumn="0"/>
        </ext>
      </extLst>
    </cacheHierarchy>
    <cacheHierarchy uniqueName="[Measures].[Sum of Watch_Hours]" caption="Sum of Watch_Hours" measure="1" displayFolder="" measureGroup="Table242" count="0">
      <extLst>
        <ext xmlns:x15="http://schemas.microsoft.com/office/spreadsheetml/2010/11/main" uri="{B97F6D7D-B522-45F9-BDA1-12C45D357490}">
          <x15:cacheHierarchy aggregatedColumn="4"/>
        </ext>
      </extLst>
    </cacheHierarchy>
    <cacheHierarchy uniqueName="[Measures].[Total Users]" caption="Total Users" measure="1" displayFolder="" measureGroup="Table242" count="0"/>
    <cacheHierarchy uniqueName="[Measures].[Churned Customers]" caption="Churned Customers" measure="1" displayFolder="" measureGroup="Table242" count="0"/>
    <cacheHierarchy uniqueName="[Measures].[Churn Rate]" caption="Churn Rate" measure="1" displayFolder="" measureGroup="Table242" count="0"/>
    <cacheHierarchy uniqueName="[Measures].[Lost Revenue]" caption="Lost Revenue" measure="1" displayFolder="" measureGroup="Table242" count="0"/>
    <cacheHierarchy uniqueName="[Measures].[Retention Rate]" caption="Retention Rate" measure="1" displayFolder="" measureGroup="Table242" count="0"/>
    <cacheHierarchy uniqueName="[Measures].[Remaining revenue]" caption="Remaining revenue" measure="1" displayFolder="" measureGroup="Table242" count="0"/>
    <cacheHierarchy uniqueName="[Measures].[ARPU]" caption="ARPU" measure="1" displayFolder="" measureGroup="Table242" count="0"/>
    <cacheHierarchy uniqueName="[Measures].[__XL_Count Table242]" caption="__XL_Count Table242" measure="1" displayFolder="" measureGroup="Table24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0256611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2CC891-6753-45F0-B2EC-AEA70599EC5F}" name="PivotTable1" cacheId="881" applyNumberFormats="0" applyBorderFormats="0" applyFontFormats="0" applyPatternFormats="0" applyAlignmentFormats="0" applyWidthHeightFormats="1" dataCaption="Values" tag="208da2e9-e551-45cd-ba06-e68759bc91a5" updatedVersion="8" minRefreshableVersion="3" useAutoFormatting="1" subtotalHiddenItems="1" itemPrintTitles="1" createdVersion="8" indent="0" outline="1" outlineData="1" multipleFieldFilters="0" chartFormat="9">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Churned"/>
    <pivotHierarchy dragToData="1"/>
    <pivotHierarchy dragToData="1" caption="Average of Age"/>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EA65B0-D2B0-4131-865D-5C7E3DF0F40C}" name="PivotTable6" cacheId="872" applyNumberFormats="0" applyBorderFormats="0" applyFontFormats="0" applyPatternFormats="0" applyAlignmentFormats="0" applyWidthHeightFormats="1" dataCaption="Values" tag="95b5b7d5-c5b1-4977-9246-744babaaf3ec" updatedVersion="8" minRefreshableVersion="3"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840BBB-FEBB-496D-9722-C7A50CE5CA2C}" name="PivotTable18" cacheId="860" applyNumberFormats="0" applyBorderFormats="0" applyFontFormats="0" applyPatternFormats="0" applyAlignmentFormats="0" applyWidthHeightFormats="1" dataCaption="Values" tag="e8837d37-b9ed-4b5c-b08d-6699e425696b" updatedVersion="8" minRefreshableVersion="3" useAutoFormatting="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ED158F-9624-4853-8B0A-4B8C36B1C9C4}" name="PivotTable17" cacheId="863" applyNumberFormats="0" applyBorderFormats="0" applyFontFormats="0" applyPatternFormats="0" applyAlignmentFormats="0" applyWidthHeightFormats="1" dataCaption="Values" tag="f74cf250-6e3e-4ebc-bb74-cca5fce016e4" updatedVersion="8" minRefreshableVersion="3" useAutoFormatting="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9272762-2CCB-4AFA-90A2-3F57AA43A181}" name="PivotTable7" cacheId="869" applyNumberFormats="0" applyBorderFormats="0" applyFontFormats="0" applyPatternFormats="0" applyAlignmentFormats="0" applyWidthHeightFormats="1" dataCaption="Values" tag="eed1d4fc-eae1-4c00-963c-962b2d56f4af" updatedVersion="8" minRefreshableVersion="3" useAutoFormatting="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Lost_Revenue" fld="0" subtotal="count" baseField="0" baseItem="0" numFmtId="166"/>
  </dataFields>
  <formats count="1">
    <format dxfId="28">
      <pivotArea outline="0" collapsedLevelsAreSubtotals="1" fieldPosition="0"/>
    </format>
  </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Lost_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16F5B2-E294-4D59-96F7-19CB481F5A83}" name="PivotTable8" cacheId="854" applyNumberFormats="0" applyBorderFormats="0" applyFontFormats="0" applyPatternFormats="0" applyAlignmentFormats="0" applyWidthHeightFormats="1" dataCaption="Values" tag="bced197a-dc76-46c0-848a-db2cfb6d6922" updatedVersion="8" minRefreshableVersion="3" useAutoFormatting="1" subtotalHiddenItems="1" itemPrintTitles="1" createdVersion="8" indent="0" outline="1" outlineData="1" multipleFieldFilters="0" chartFormat="115">
  <location ref="A2:B6"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i>
    <i>
      <x v="2"/>
    </i>
    <i>
      <x v="1"/>
    </i>
    <i t="grand">
      <x/>
    </i>
  </rowItems>
  <colItems count="1">
    <i/>
  </colItems>
  <dataFields count="1">
    <dataField fld="1" subtotal="count" baseField="0" baseItem="1" numFmtId="10"/>
  </dataFields>
  <chartFormats count="8">
    <chartFormat chart="1"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2"/>
          </reference>
        </references>
      </pivotArea>
    </chartFormat>
    <chartFormat chart="4" format="8">
      <pivotArea type="data" outline="0" fieldPosition="0">
        <references count="2">
          <reference field="4294967294" count="1" selected="0">
            <x v="0"/>
          </reference>
          <reference field="0" count="1" selected="0">
            <x v="1"/>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2"/>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BDEE29-E3CA-462F-BB1C-50D69C298C00}" name="PivotTable9" cacheId="878" applyNumberFormats="0" applyBorderFormats="0" applyFontFormats="0" applyPatternFormats="0" applyAlignmentFormats="0" applyWidthHeightFormats="1" dataCaption="Values" tag="008d86ba-42ae-4c90-a420-9c2fc9ea3bc4" updatedVersion="8" minRefreshableVersion="3" useAutoFormatting="1" itemPrintTitles="1" createdVersion="8" indent="0" outline="1" outlineData="1" multipleFieldFilters="0" chartFormat="114">
  <location ref="A2:B6"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v="2"/>
    </i>
    <i>
      <x v="1"/>
    </i>
    <i>
      <x/>
    </i>
    <i t="grand">
      <x/>
    </i>
  </rowItems>
  <colItems count="1">
    <i/>
  </colItems>
  <dataFields count="1">
    <dataField fld="1" subtotal="count" baseField="0" baseItem="0"/>
  </dataFields>
  <formats count="4">
    <format dxfId="27">
      <pivotArea collapsedLevelsAreSubtotals="1" fieldPosition="0">
        <references count="1">
          <reference field="0" count="1">
            <x v="0"/>
          </reference>
        </references>
      </pivotArea>
    </format>
    <format dxfId="26">
      <pivotArea collapsedLevelsAreSubtotals="1" fieldPosition="0">
        <references count="1">
          <reference field="0" count="1">
            <x v="2"/>
          </reference>
        </references>
      </pivotArea>
    </format>
    <format dxfId="25">
      <pivotArea grandRow="1" outline="0" collapsedLevelsAreSubtotals="1" fieldPosition="0"/>
    </format>
    <format dxfId="24">
      <pivotArea collapsedLevelsAreSubtotals="1" fieldPosition="0">
        <references count="1">
          <reference field="0" count="1">
            <x v="1"/>
          </reference>
        </references>
      </pivotArea>
    </format>
  </formats>
  <chartFormats count="8">
    <chartFormat chart="1" format="0"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 chart="4" format="10">
      <pivotArea type="data" outline="0" fieldPosition="0">
        <references count="2">
          <reference field="4294967294" count="1" selected="0">
            <x v="0"/>
          </reference>
          <reference field="0" count="1" selected="0">
            <x v="2"/>
          </reference>
        </references>
      </pivotArea>
    </chartFormat>
    <chartFormat chart="4" format="11">
      <pivotArea type="data" outline="0" fieldPosition="0">
        <references count="2">
          <reference field="4294967294" count="1" selected="0">
            <x v="0"/>
          </reference>
          <reference field="0" count="1" selected="0">
            <x v="1"/>
          </reference>
        </references>
      </pivotArea>
    </chartFormat>
    <chartFormat chart="4" format="12">
      <pivotArea type="data" outline="0" fieldPosition="0">
        <references count="2">
          <reference field="4294967294" count="1" selected="0">
            <x v="0"/>
          </reference>
          <reference field="0" count="1" selected="0">
            <x v="0"/>
          </reference>
        </references>
      </pivotArea>
    </chartFormat>
    <chartFormat chart="1" format="1">
      <pivotArea type="data" outline="0" fieldPosition="0">
        <references count="2">
          <reference field="4294967294" count="1" selected="0">
            <x v="0"/>
          </reference>
          <reference field="0" count="1" selected="0">
            <x v="2"/>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0"/>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870E9F-5C58-4899-8862-A832A6729024}" name="PivotTable10" cacheId="875" applyNumberFormats="0" applyBorderFormats="0" applyFontFormats="0" applyPatternFormats="0" applyAlignmentFormats="0" applyWidthHeightFormats="1" dataCaption="Values" tag="e35eac11-f910-47aa-a7e9-b18933b722c3" updatedVersion="8" minRefreshableVersion="3" useAutoFormatting="1" itemPrintTitles="1" createdVersion="8" indent="0" outline="1" outlineData="1" multipleFieldFilters="0" chartFormat="112">
  <location ref="A2:B6" firstHeaderRow="1" firstDataRow="1" firstDataCol="1"/>
  <pivotFields count="3">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i>
    <i>
      <x v="2"/>
    </i>
    <i>
      <x v="1"/>
    </i>
    <i t="grand">
      <x/>
    </i>
  </rowItems>
  <colItems count="1">
    <i/>
  </colItems>
  <dataFields count="1">
    <dataField fld="1" subtotal="count" baseField="0" baseItem="0"/>
  </dataFields>
  <formats count="1">
    <format dxfId="23">
      <pivotArea collapsedLevelsAreSubtotals="1" fieldPosition="0">
        <references count="1">
          <reference field="0" count="0"/>
        </references>
      </pivotArea>
    </format>
  </formats>
  <chartFormats count="8">
    <chartFormat chart="1"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4" format="7">
      <pivotArea type="data" outline="0" fieldPosition="0">
        <references count="2">
          <reference field="4294967294" count="1" selected="0">
            <x v="0"/>
          </reference>
          <reference field="0" count="1" selected="0">
            <x v="2"/>
          </reference>
        </references>
      </pivotArea>
    </chartFormat>
    <chartFormat chart="4" format="8">
      <pivotArea type="data" outline="0" fieldPosition="0">
        <references count="2">
          <reference field="4294967294" count="1" selected="0">
            <x v="0"/>
          </reference>
          <reference field="0" count="1" selected="0">
            <x v="0"/>
          </reference>
        </references>
      </pivotArea>
    </chartFormat>
    <chartFormat chart="1" format="1">
      <pivotArea type="data" outline="0" fieldPosition="0">
        <references count="2">
          <reference field="4294967294" count="1" selected="0">
            <x v="0"/>
          </reference>
          <reference field="0" count="1" selected="0">
            <x v="1"/>
          </reference>
        </references>
      </pivotArea>
    </chartFormat>
    <chartFormat chart="1" format="2">
      <pivotArea type="data" outline="0" fieldPosition="0">
        <references count="2">
          <reference field="4294967294" count="1" selected="0">
            <x v="0"/>
          </reference>
          <reference field="0" count="1" selected="0">
            <x v="2"/>
          </reference>
        </references>
      </pivotArea>
    </chartFormat>
    <chartFormat chart="1" format="3">
      <pivotArea type="data" outline="0" fieldPosition="0">
        <references count="2">
          <reference field="4294967294" count="1" selected="0">
            <x v="0"/>
          </reference>
          <reference field="0" count="1" selected="0">
            <x v="0"/>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A9B51F-809D-48B0-BD7E-499E18C80D7C}" name="PivotTable11" cacheId="842" applyNumberFormats="0" applyBorderFormats="0" applyFontFormats="0" applyPatternFormats="0" applyAlignmentFormats="0" applyWidthHeightFormats="1" dataCaption="Values" tag="0d9ad70b-0529-4ae0-8488-e69b6a99203e" updatedVersion="8" minRefreshableVersion="3" useAutoFormatting="1" subtotalHiddenItems="1" itemPrintTitles="1" createdVersion="8" indent="0" outline="1" outlineData="1" multipleFieldFilters="0" chartFormat="121">
  <location ref="A2:E7" firstHeaderRow="1" firstDataRow="2"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4">
    <i>
      <x/>
    </i>
    <i>
      <x v="1"/>
    </i>
    <i>
      <x v="2"/>
    </i>
    <i t="grand">
      <x/>
    </i>
  </colItems>
  <dataFields count="1">
    <dataField fld="2" subtotal="count" baseField="0" baseItem="0"/>
  </dataFields>
  <chartFormats count="12">
    <chartFormat chart="13" format="9" series="1">
      <pivotArea type="data" outline="0" fieldPosition="0">
        <references count="1">
          <reference field="1" count="1" selected="0">
            <x v="0"/>
          </reference>
        </references>
      </pivotArea>
    </chartFormat>
    <chartFormat chart="13" format="10" series="1">
      <pivotArea type="data" outline="0" fieldPosition="0">
        <references count="1">
          <reference field="1" count="1" selected="0">
            <x v="1"/>
          </reference>
        </references>
      </pivotArea>
    </chartFormat>
    <chartFormat chart="13" format="11" series="1">
      <pivotArea type="data" outline="0" fieldPosition="0">
        <references count="1">
          <reference field="1" count="1" selected="0">
            <x v="2"/>
          </reference>
        </references>
      </pivotArea>
    </chartFormat>
    <chartFormat chart="10" format="3" series="1">
      <pivotArea type="data" outline="0" fieldPosition="0">
        <references count="1">
          <reference field="1" count="1" selected="0">
            <x v="0"/>
          </reference>
        </references>
      </pivotArea>
    </chartFormat>
    <chartFormat chart="10" format="4" series="1">
      <pivotArea type="data" outline="0" fieldPosition="0">
        <references count="1">
          <reference field="1" count="1" selected="0">
            <x v="1"/>
          </reference>
        </references>
      </pivotArea>
    </chartFormat>
    <chartFormat chart="10" format="5" series="1">
      <pivotArea type="data" outline="0" fieldPosition="0">
        <references count="1">
          <reference field="1" count="1" selected="0">
            <x v="2"/>
          </reference>
        </references>
      </pivotArea>
    </chartFormat>
    <chartFormat chart="10" format="6" series="1">
      <pivotArea type="data" outline="0" fieldPosition="0">
        <references count="2">
          <reference field="4294967294" count="1" selected="0">
            <x v="0"/>
          </reference>
          <reference field="1" count="1" selected="0">
            <x v="0"/>
          </reference>
        </references>
      </pivotArea>
    </chartFormat>
    <chartFormat chart="10" format="7" series="1">
      <pivotArea type="data" outline="0" fieldPosition="0">
        <references count="2">
          <reference field="4294967294" count="1" selected="0">
            <x v="0"/>
          </reference>
          <reference field="1" count="1" selected="0">
            <x v="1"/>
          </reference>
        </references>
      </pivotArea>
    </chartFormat>
    <chartFormat chart="10" format="8" series="1">
      <pivotArea type="data" outline="0" fieldPosition="0">
        <references count="2">
          <reference field="4294967294" count="1" selected="0">
            <x v="0"/>
          </reference>
          <reference field="1" count="1" selected="0">
            <x v="2"/>
          </reference>
        </references>
      </pivotArea>
    </chartFormat>
    <chartFormat chart="13" format="12" series="1">
      <pivotArea type="data" outline="0" fieldPosition="0">
        <references count="2">
          <reference field="4294967294" count="1" selected="0">
            <x v="0"/>
          </reference>
          <reference field="1" count="1" selected="0">
            <x v="0"/>
          </reference>
        </references>
      </pivotArea>
    </chartFormat>
    <chartFormat chart="13" format="13" series="1">
      <pivotArea type="data" outline="0" fieldPosition="0">
        <references count="2">
          <reference field="4294967294" count="1" selected="0">
            <x v="0"/>
          </reference>
          <reference field="1" count="1" selected="0">
            <x v="1"/>
          </reference>
        </references>
      </pivotArea>
    </chartFormat>
    <chartFormat chart="13" format="14" series="1">
      <pivotArea type="data" outline="0" fieldPosition="0">
        <references count="2">
          <reference field="4294967294" count="1" selected="0">
            <x v="0"/>
          </reference>
          <reference field="1" count="1" selected="0">
            <x v="2"/>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1B54EB-7290-4706-B16C-2E28E18A5A8B}" name="PivotTable12" cacheId="866" applyNumberFormats="0" applyBorderFormats="0" applyFontFormats="0" applyPatternFormats="0" applyAlignmentFormats="0" applyWidthHeightFormats="1" dataCaption="Values" tag="152b86f7-84d8-4ae7-8610-0615c511429b" updatedVersion="8" minRefreshableVersion="3" useAutoFormatting="1" itemPrintTitles="1" createdVersion="8" indent="0" outline="1" outlineData="1" multipleFieldFilters="0" chartFormat="113">
  <location ref="A2:D7" firstHeaderRow="1" firstDataRow="2" firstDataCol="1"/>
  <pivotFields count="3">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1">
    <format dxfId="22">
      <pivotArea collapsedLevelsAreSubtotals="1" fieldPosition="0">
        <references count="2">
          <reference field="0" count="0" selected="0"/>
          <reference field="1" count="0"/>
        </references>
      </pivotArea>
    </format>
  </formats>
  <chartFormats count="4">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1"/>
          </reference>
        </references>
      </pivotArea>
    </chartFormat>
    <chartFormat chart="5" format="4" series="1">
      <pivotArea type="data" outline="0" fieldPosition="0">
        <references count="2">
          <reference field="4294967294" count="1" selected="0">
            <x v="0"/>
          </reference>
          <reference field="0" count="1" selected="0">
            <x v="0"/>
          </reference>
        </references>
      </pivotArea>
    </chartFormat>
    <chartFormat chart="5" format="5" series="1">
      <pivotArea type="data" outline="0" fieldPosition="0">
        <references count="2">
          <reference field="4294967294" count="1" selected="0">
            <x v="0"/>
          </reference>
          <reference field="0" count="1" selected="0">
            <x v="1"/>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F5A6A0B-54A2-4F97-A9BD-54216255119A}" name="PivotTable13" cacheId="848" applyNumberFormats="0" applyBorderFormats="0" applyFontFormats="0" applyPatternFormats="0" applyAlignmentFormats="0" applyWidthHeightFormats="1" dataCaption="Values" tag="0cf3264f-6032-424e-82f7-26af40dee9da" updatedVersion="8" minRefreshableVersion="3" useAutoFormatting="1" itemPrintTitles="1" createdVersion="8" indent="0" outline="1" outlineData="1" multipleFieldFilters="0" chartFormat="117">
  <location ref="A2:B7" firstHeaderRow="1" firstDataRow="1" firstDataCol="1"/>
  <pivotFields count="3">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2"/>
    </i>
    <i>
      <x/>
    </i>
    <i>
      <x v="1"/>
    </i>
    <i>
      <x v="3"/>
    </i>
    <i t="grand">
      <x/>
    </i>
  </rowItems>
  <colItems count="1">
    <i/>
  </colItems>
  <dataFields count="1">
    <dataField fld="1" subtotal="count"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C9D3E0-037C-43B4-91F0-42AE02A5A8A4}" name="PivotTable14" cacheId="857" applyNumberFormats="0" applyBorderFormats="0" applyFontFormats="0" applyPatternFormats="0" applyAlignmentFormats="0" applyWidthHeightFormats="1" dataCaption="Values" tag="9484a5cf-592e-44c7-9115-763a7a5302b8" updatedVersion="8" minRefreshableVersion="3" useAutoFormatting="1" itemPrintTitles="1" createdVersion="8" indent="0" outline="1" outlineData="1" multipleFieldFilters="0" chartFormat="118">
  <location ref="A2:B8" firstHeaderRow="1" firstDataRow="1" firstDataCol="1"/>
  <pivotFields count="3">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i>
    <i>
      <x v="4"/>
    </i>
    <i>
      <x v="1"/>
    </i>
    <i>
      <x v="3"/>
    </i>
    <i>
      <x v="2"/>
    </i>
    <i t="grand">
      <x/>
    </i>
  </rowItems>
  <colItems count="1">
    <i/>
  </colItems>
  <dataFields count="1">
    <dataField fld="1" subtotal="count" baseField="0"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FED18D-A508-4965-81D9-738FC4B1F910}" name="PivotTable15" cacheId="845" applyNumberFormats="0" applyBorderFormats="0" applyFontFormats="0" applyPatternFormats="0" applyAlignmentFormats="0" applyWidthHeightFormats="1" dataCaption="Values" tag="d98bbdb1-293d-469a-b9bf-bdab20774453" updatedVersion="8" minRefreshableVersion="3" useAutoFormatting="1" subtotalHiddenItems="1" itemPrintTitles="1" createdVersion="8" indent="0" outline="1" outlineData="1" multipleFieldFilters="0" chartFormat="116">
  <location ref="A2:B5" firstHeaderRow="1" firstDataRow="1" firstDataCol="1"/>
  <pivotFields count="3">
    <pivotField axis="axisRow" allDrilled="1" subtotalTop="0" showAll="0" sortType="descending" defaultSubtotal="0" defaultAttributeDrillState="1">
      <items count="2">
        <item x="1"/>
        <item x="0"/>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Avg_Watch_Time_Per_Day" fld="1" subtotal="average" baseField="0" baseItem="0"/>
  </dataFields>
  <chartFormats count="2">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_Watch_Time_Per_Da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85F26F-083B-4898-BDF2-5C71261B2E42}" name="PivotTable16" cacheId="851" applyNumberFormats="0" applyBorderFormats="0" applyFontFormats="0" applyPatternFormats="0" applyAlignmentFormats="0" applyWidthHeightFormats="1" dataCaption="Values" tag="cb7da85a-a107-45bc-935c-2c84088c6681" updatedVersion="8" minRefreshableVersion="3" useAutoFormatting="1" itemPrintTitles="1" createdVersion="8" indent="0" outline="1" outlineData="1" multipleFieldFilters="0" chartFormat="117">
  <location ref="A2:B8" firstHeaderRow="1" firstDataRow="1" firstDataCol="1"/>
  <pivotFields count="3">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2"/>
    </i>
    <i>
      <x/>
    </i>
    <i>
      <x v="1"/>
    </i>
    <i>
      <x v="3"/>
    </i>
    <i>
      <x v="4"/>
    </i>
    <i t="grand">
      <x/>
    </i>
  </rowItems>
  <colItems count="1">
    <i/>
  </colItems>
  <dataFields count="1">
    <dataField fld="1" subtotal="count" baseField="0" baseItem="0"/>
  </dataFields>
  <chartFormats count="4">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D0E103-5516-4262-8881-3C7606504C6E}" name="PivotTable1" cacheId="839" applyNumberFormats="0" applyBorderFormats="0" applyFontFormats="0" applyPatternFormats="0" applyAlignmentFormats="0" applyWidthHeightFormats="1" dataCaption="Values" tag="7b79029a-7aa2-4e6f-bf23-5662bf4577a0" updatedVersion="8" minRefreshableVersion="3" useAutoFormatting="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4CC21FE-21CF-4454-A1C3-A8A3D669147D}" name="PivotTable2" cacheId="884" applyNumberFormats="0" applyBorderFormats="0" applyFontFormats="0" applyPatternFormats="0" applyAlignmentFormats="0" applyWidthHeightFormats="1" dataCaption="Values" tag="79260a31-7c19-41ec-b056-1e2e7c2a3b5a" updatedVersion="8" minRefreshableVersion="3"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bbbbbbb .xlsx!Table242">
        <x15:activeTabTopLevelEntity name="[Table24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F5FF02D-EDBF-444E-9251-07681586712C}" sourceName="[Table242].[Gender]">
  <pivotTables>
    <pivotTable tabId="29" name="PivotTable1"/>
    <pivotTable tabId="19" name="PivotTable11"/>
    <pivotTable tabId="24" name="PivotTable15"/>
    <pivotTable tabId="22" name="PivotTable13"/>
    <pivotTable tabId="25" name="PivotTable16"/>
    <pivotTable tabId="16" name="PivotTable8"/>
    <pivotTable tabId="23" name="PivotTable14"/>
    <pivotTable tabId="28" name="PivotTable18"/>
    <pivotTable tabId="27" name="PivotTable17"/>
    <pivotTable tabId="20" name="PivotTable12"/>
    <pivotTable tabId="15" name="PivotTable7"/>
    <pivotTable tabId="14" name="PivotTable6"/>
    <pivotTable tabId="18" name="PivotTable10"/>
    <pivotTable tabId="17" name="PivotTable9"/>
    <pivotTable tabId="11" name="PivotTable1"/>
    <pivotTable tabId="33" name="PivotTable2"/>
  </pivotTables>
  <data>
    <olap pivotCacheId="2002566116">
      <levels count="2">
        <level uniqueName="[Table242].[Gender].[(All)]" sourceCaption="(All)" count="0"/>
        <level uniqueName="[Table242].[Gender].[Gender]" sourceCaption="Gender" count="2">
          <ranges>
            <range startItem="0">
              <i n="[Table242].[Gender].&amp;[Female]" c="Female"/>
              <i n="[Table242].[Gender].&amp;[Male]" c="Male"/>
            </range>
          </ranges>
        </level>
      </levels>
      <selections count="1">
        <selection n="[Table242].[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BFC2C9E-0CA6-4267-AB6D-63F9647D1BCB}" cache="Slicer_Gender" caption="Gender"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1B4FABEA-5D2C-4570-9725-10666DAC1D81}" cache="Slicer_Gender" caption="Gender" columnCount="2" level="1" rowHeight="14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910C0-065A-47E2-94E7-83AA061CE9B7}" name="Table242" displayName="Table242" ref="A1:O4867" totalsRowShown="0">
  <autoFilter ref="A1:O4867" xr:uid="{9996D08B-4A02-4902-90E8-F5A31241BC9D}"/>
  <tableColumns count="15">
    <tableColumn id="1" xr3:uid="{E8950B26-4CB5-43EA-88D3-881864566161}" name="Customer_ID" dataDxfId="43"/>
    <tableColumn id="2" xr3:uid="{CEFC3CF8-C1C3-4C6C-AA21-31CCFD337DE6}" name="Age" dataDxfId="42"/>
    <tableColumn id="3" xr3:uid="{29ACEAA6-66C3-41E8-9802-161F010B29AD}" name="Gender" dataDxfId="41"/>
    <tableColumn id="4" xr3:uid="{097BA8DB-34E3-4C40-84F3-DF0A9B1B0490}" name="Subscription_Type" dataDxfId="40"/>
    <tableColumn id="5" xr3:uid="{6860965E-92EF-41A3-A390-93F920546FB1}" name="Watch_Hours" dataDxfId="39"/>
    <tableColumn id="6" xr3:uid="{241DB197-B585-4208-9160-FB5213D65281}" name="Last_Login_Days" dataDxfId="38"/>
    <tableColumn id="7" xr3:uid="{C58F0AD3-4524-4E23-BEA3-3EF54D2C8FDB}" name="Region" dataDxfId="37"/>
    <tableColumn id="8" xr3:uid="{8E5C9508-11DA-4D18-B1AA-C2A0527219DC}" name="Device" dataDxfId="36"/>
    <tableColumn id="9" xr3:uid="{FBAF7E21-B625-47FF-B101-795C364DEA93}" name="Monthly_Fee" dataDxfId="35"/>
    <tableColumn id="10" xr3:uid="{3C07EAEE-83B4-4E59-9DA5-47363914F9A9}" name="Number_Of_Profiles" dataDxfId="34"/>
    <tableColumn id="11" xr3:uid="{9C68B568-F7B1-4F79-AA86-3D0B8ABBCEEF}" name="Avg_Watch_Time_Per_Day" dataDxfId="33"/>
    <tableColumn id="12" xr3:uid="{24EE7BF2-DD55-4B8D-83E5-1DE42493AE34}" name="Churned" dataDxfId="32"/>
    <tableColumn id="13" xr3:uid="{23AFF6AB-0FB7-4DC0-94F4-2D9FA22AD20D}" name="Favorite_Genre" dataDxfId="31"/>
    <tableColumn id="23" xr3:uid="{E5AAF4AF-FCD1-410C-9BDA-375404A0AA2B}" name="Churned_Flag" dataDxfId="30"/>
    <tableColumn id="14" xr3:uid="{3E7DAD59-2976-41FC-99C0-F47FE889BC00}" name="Age_Group"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4.xml"/></Relationships>
</file>

<file path=xl/worksheets/_rels/sheet1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0.xml"/><Relationship Id="rId1" Type="http://schemas.openxmlformats.org/officeDocument/2006/relationships/pivotTable" Target="../pivotTables/pivotTable15.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1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44E15-391E-4D18-AE66-4BAD4C54A2EE}">
  <dimension ref="A1:T4867"/>
  <sheetViews>
    <sheetView topLeftCell="G4839" zoomScale="70" zoomScaleNormal="70" workbookViewId="0">
      <selection activeCell="P4854" sqref="P4854"/>
    </sheetView>
  </sheetViews>
  <sheetFormatPr defaultRowHeight="14.5" x14ac:dyDescent="0.35"/>
  <cols>
    <col min="1" max="1" width="13.90625" bestFit="1" customWidth="1"/>
    <col min="2" max="2" width="6.08984375" bestFit="1" customWidth="1"/>
    <col min="3" max="3" width="10.1796875" bestFit="1" customWidth="1"/>
    <col min="4" max="4" width="18.6328125" bestFit="1" customWidth="1"/>
    <col min="5" max="5" width="14.54296875" customWidth="1"/>
    <col min="6" max="6" width="16.81640625" bestFit="1" customWidth="1"/>
    <col min="7" max="7" width="12.54296875" bestFit="1" customWidth="1"/>
    <col min="8" max="8" width="8.81640625" bestFit="1" customWidth="1"/>
    <col min="9" max="9" width="13.6328125" bestFit="1" customWidth="1"/>
    <col min="10" max="10" width="19.90625" bestFit="1" customWidth="1"/>
    <col min="11" max="11" width="24.90625" bestFit="1" customWidth="1"/>
    <col min="12" max="12" width="10.36328125" bestFit="1" customWidth="1"/>
    <col min="13" max="13" width="15.7265625" bestFit="1" customWidth="1"/>
    <col min="14" max="14" width="15.453125" bestFit="1" customWidth="1"/>
    <col min="15" max="15" width="15.1796875" bestFit="1" customWidth="1"/>
    <col min="16" max="16" width="15.1796875" customWidth="1"/>
  </cols>
  <sheetData>
    <row r="1" spans="1:20" x14ac:dyDescent="0.35">
      <c r="A1" t="s">
        <v>0</v>
      </c>
      <c r="B1" t="s">
        <v>1</v>
      </c>
      <c r="C1" t="s">
        <v>2</v>
      </c>
      <c r="D1" t="s">
        <v>3</v>
      </c>
      <c r="E1" t="s">
        <v>4</v>
      </c>
      <c r="F1" t="s">
        <v>5</v>
      </c>
      <c r="G1" t="s">
        <v>6</v>
      </c>
      <c r="H1" t="s">
        <v>7</v>
      </c>
      <c r="I1" t="s">
        <v>8</v>
      </c>
      <c r="J1" t="s">
        <v>9</v>
      </c>
      <c r="K1" t="s">
        <v>10</v>
      </c>
      <c r="L1" t="s">
        <v>11</v>
      </c>
      <c r="M1" t="s">
        <v>12</v>
      </c>
      <c r="N1" t="s">
        <v>4901</v>
      </c>
      <c r="O1" t="s">
        <v>4903</v>
      </c>
      <c r="Q1" t="s">
        <v>4902</v>
      </c>
    </row>
    <row r="2" spans="1:20" x14ac:dyDescent="0.35">
      <c r="A2" t="s">
        <v>16</v>
      </c>
      <c r="B2">
        <v>58</v>
      </c>
      <c r="C2" t="s">
        <v>4802</v>
      </c>
      <c r="D2" t="s">
        <v>14</v>
      </c>
      <c r="E2">
        <v>16</v>
      </c>
      <c r="F2">
        <v>25</v>
      </c>
      <c r="G2" t="s">
        <v>4797</v>
      </c>
      <c r="H2" t="s">
        <v>4804</v>
      </c>
      <c r="I2">
        <v>8.99</v>
      </c>
      <c r="J2">
        <v>2</v>
      </c>
      <c r="K2">
        <v>0.53</v>
      </c>
      <c r="L2">
        <v>1</v>
      </c>
      <c r="M2" t="s">
        <v>4808</v>
      </c>
      <c r="N2" t="s">
        <v>4899</v>
      </c>
      <c r="O2" t="s">
        <v>4911</v>
      </c>
      <c r="Q2">
        <f>MEDIAN(Table242[Avg_Watch_Time_Per_Day])</f>
        <v>2.0299999999999998</v>
      </c>
      <c r="R2" s="2"/>
    </row>
    <row r="3" spans="1:20" x14ac:dyDescent="0.35">
      <c r="A3" t="s">
        <v>17</v>
      </c>
      <c r="B3">
        <v>56</v>
      </c>
      <c r="C3" t="s">
        <v>4802</v>
      </c>
      <c r="D3" t="s">
        <v>13</v>
      </c>
      <c r="E3">
        <v>47</v>
      </c>
      <c r="F3">
        <v>49</v>
      </c>
      <c r="G3" t="s">
        <v>4797</v>
      </c>
      <c r="H3" t="s">
        <v>4805</v>
      </c>
      <c r="I3">
        <v>13.99</v>
      </c>
      <c r="J3">
        <v>3</v>
      </c>
      <c r="K3">
        <v>1.57</v>
      </c>
      <c r="L3">
        <v>0</v>
      </c>
      <c r="M3" t="s">
        <v>4808</v>
      </c>
      <c r="N3" t="s">
        <v>4900</v>
      </c>
      <c r="O3" t="s">
        <v>4911</v>
      </c>
    </row>
    <row r="4" spans="1:20" x14ac:dyDescent="0.35">
      <c r="A4" t="s">
        <v>18</v>
      </c>
      <c r="B4">
        <v>64</v>
      </c>
      <c r="C4" t="s">
        <v>4803</v>
      </c>
      <c r="D4" t="s">
        <v>13</v>
      </c>
      <c r="E4">
        <v>74</v>
      </c>
      <c r="F4">
        <v>38</v>
      </c>
      <c r="G4" t="s">
        <v>4797</v>
      </c>
      <c r="H4" t="s">
        <v>4806</v>
      </c>
      <c r="I4">
        <v>13.99</v>
      </c>
      <c r="J4">
        <v>2</v>
      </c>
      <c r="K4">
        <v>2.4700000000000002</v>
      </c>
      <c r="L4">
        <v>0</v>
      </c>
      <c r="M4" t="s">
        <v>4809</v>
      </c>
      <c r="N4" t="s">
        <v>4900</v>
      </c>
      <c r="O4" t="s">
        <v>4911</v>
      </c>
    </row>
    <row r="5" spans="1:20" x14ac:dyDescent="0.35">
      <c r="A5" t="s">
        <v>19</v>
      </c>
      <c r="B5">
        <v>25</v>
      </c>
      <c r="C5" t="s">
        <v>4802</v>
      </c>
      <c r="D5" t="s">
        <v>13</v>
      </c>
      <c r="E5">
        <v>60</v>
      </c>
      <c r="F5">
        <v>57</v>
      </c>
      <c r="G5" t="s">
        <v>4798</v>
      </c>
      <c r="H5" t="s">
        <v>4805</v>
      </c>
      <c r="I5">
        <v>13.99</v>
      </c>
      <c r="J5">
        <v>2</v>
      </c>
      <c r="K5">
        <v>2</v>
      </c>
      <c r="L5">
        <v>1</v>
      </c>
      <c r="M5" t="s">
        <v>4808</v>
      </c>
      <c r="N5" t="s">
        <v>4899</v>
      </c>
      <c r="O5" t="s">
        <v>4912</v>
      </c>
      <c r="R5" s="2"/>
    </row>
    <row r="6" spans="1:20" x14ac:dyDescent="0.35">
      <c r="A6" t="s">
        <v>20</v>
      </c>
      <c r="B6">
        <v>39</v>
      </c>
      <c r="C6" t="s">
        <v>4803</v>
      </c>
      <c r="D6" t="s">
        <v>15</v>
      </c>
      <c r="E6">
        <v>34</v>
      </c>
      <c r="F6">
        <v>16</v>
      </c>
      <c r="G6" t="s">
        <v>4797</v>
      </c>
      <c r="H6" t="s">
        <v>4804</v>
      </c>
      <c r="I6">
        <v>17.989999999999998</v>
      </c>
      <c r="J6">
        <v>3</v>
      </c>
      <c r="K6">
        <v>5</v>
      </c>
      <c r="L6">
        <v>0</v>
      </c>
      <c r="M6" t="s">
        <v>4808</v>
      </c>
      <c r="N6" t="s">
        <v>4900</v>
      </c>
      <c r="O6" t="s">
        <v>4910</v>
      </c>
    </row>
    <row r="7" spans="1:20" x14ac:dyDescent="0.35">
      <c r="A7" t="s">
        <v>21</v>
      </c>
      <c r="B7">
        <v>22</v>
      </c>
      <c r="C7" t="s">
        <v>4803</v>
      </c>
      <c r="D7" t="s">
        <v>13</v>
      </c>
      <c r="E7">
        <v>67</v>
      </c>
      <c r="F7">
        <v>16</v>
      </c>
      <c r="G7" t="s">
        <v>4797</v>
      </c>
      <c r="H7" t="s">
        <v>4805</v>
      </c>
      <c r="I7">
        <v>13.99</v>
      </c>
      <c r="J7">
        <v>1</v>
      </c>
      <c r="K7">
        <v>2.23</v>
      </c>
      <c r="L7">
        <v>0</v>
      </c>
      <c r="M7" t="s">
        <v>4810</v>
      </c>
      <c r="N7" t="s">
        <v>4900</v>
      </c>
      <c r="O7" t="s">
        <v>4912</v>
      </c>
    </row>
    <row r="8" spans="1:20" x14ac:dyDescent="0.35">
      <c r="A8" t="s">
        <v>22</v>
      </c>
      <c r="B8">
        <v>43</v>
      </c>
      <c r="C8" t="s">
        <v>4802</v>
      </c>
      <c r="D8" t="s">
        <v>13</v>
      </c>
      <c r="E8">
        <v>47</v>
      </c>
      <c r="F8">
        <v>27</v>
      </c>
      <c r="G8" t="s">
        <v>4797</v>
      </c>
      <c r="H8" t="s">
        <v>4805</v>
      </c>
      <c r="I8">
        <v>13.99</v>
      </c>
      <c r="J8">
        <v>4</v>
      </c>
      <c r="K8">
        <v>1.57</v>
      </c>
      <c r="L8">
        <v>0</v>
      </c>
      <c r="M8" t="s">
        <v>4811</v>
      </c>
      <c r="N8" t="s">
        <v>4900</v>
      </c>
      <c r="O8" t="s">
        <v>4910</v>
      </c>
      <c r="Q8" s="2"/>
      <c r="R8" s="1"/>
    </row>
    <row r="9" spans="1:20" x14ac:dyDescent="0.35">
      <c r="A9" t="s">
        <v>23</v>
      </c>
      <c r="B9">
        <v>60</v>
      </c>
      <c r="C9" t="s">
        <v>4802</v>
      </c>
      <c r="D9" t="s">
        <v>15</v>
      </c>
      <c r="E9">
        <v>96</v>
      </c>
      <c r="F9">
        <v>13</v>
      </c>
      <c r="G9" t="s">
        <v>4798</v>
      </c>
      <c r="H9" t="s">
        <v>4805</v>
      </c>
      <c r="I9">
        <v>17.989999999999998</v>
      </c>
      <c r="J9">
        <v>5</v>
      </c>
      <c r="K9">
        <v>3.2</v>
      </c>
      <c r="L9">
        <v>0</v>
      </c>
      <c r="M9" t="s">
        <v>4812</v>
      </c>
      <c r="N9" t="s">
        <v>4900</v>
      </c>
      <c r="O9" t="s">
        <v>4911</v>
      </c>
    </row>
    <row r="10" spans="1:20" x14ac:dyDescent="0.35">
      <c r="A10" t="s">
        <v>24</v>
      </c>
      <c r="B10">
        <v>57</v>
      </c>
      <c r="C10" t="s">
        <v>4802</v>
      </c>
      <c r="D10" t="s">
        <v>13</v>
      </c>
      <c r="E10">
        <v>78</v>
      </c>
      <c r="F10">
        <v>55</v>
      </c>
      <c r="G10" t="s">
        <v>4797</v>
      </c>
      <c r="H10" t="s">
        <v>4805</v>
      </c>
      <c r="I10">
        <v>13.99</v>
      </c>
      <c r="J10">
        <v>3</v>
      </c>
      <c r="K10">
        <v>2.6</v>
      </c>
      <c r="L10">
        <v>0</v>
      </c>
      <c r="M10" t="s">
        <v>4808</v>
      </c>
      <c r="N10" t="s">
        <v>4900</v>
      </c>
      <c r="O10" t="s">
        <v>4911</v>
      </c>
      <c r="T10" s="2"/>
    </row>
    <row r="11" spans="1:20" x14ac:dyDescent="0.35">
      <c r="A11" t="s">
        <v>25</v>
      </c>
      <c r="B11">
        <v>19</v>
      </c>
      <c r="C11" t="s">
        <v>4802</v>
      </c>
      <c r="D11" t="s">
        <v>13</v>
      </c>
      <c r="E11">
        <v>56</v>
      </c>
      <c r="F11">
        <v>33</v>
      </c>
      <c r="G11" t="s">
        <v>4798</v>
      </c>
      <c r="H11" t="s">
        <v>4804</v>
      </c>
      <c r="I11">
        <v>13.99</v>
      </c>
      <c r="J11">
        <v>1</v>
      </c>
      <c r="K11">
        <v>1.87</v>
      </c>
      <c r="L11">
        <v>1</v>
      </c>
      <c r="M11" t="s">
        <v>4811</v>
      </c>
      <c r="N11" t="s">
        <v>4899</v>
      </c>
      <c r="O11" t="s">
        <v>4912</v>
      </c>
    </row>
    <row r="12" spans="1:20" x14ac:dyDescent="0.35">
      <c r="A12" t="s">
        <v>26</v>
      </c>
      <c r="B12">
        <v>39</v>
      </c>
      <c r="C12" t="s">
        <v>4803</v>
      </c>
      <c r="D12" t="s">
        <v>15</v>
      </c>
      <c r="E12">
        <v>56</v>
      </c>
      <c r="F12">
        <v>20</v>
      </c>
      <c r="G12" t="s">
        <v>4797</v>
      </c>
      <c r="H12" t="s">
        <v>4805</v>
      </c>
      <c r="I12">
        <v>17.989999999999998</v>
      </c>
      <c r="J12">
        <v>5</v>
      </c>
      <c r="K12">
        <v>1.87</v>
      </c>
      <c r="L12">
        <v>0</v>
      </c>
      <c r="M12" t="s">
        <v>4808</v>
      </c>
      <c r="N12" t="s">
        <v>4900</v>
      </c>
      <c r="O12" t="s">
        <v>4910</v>
      </c>
    </row>
    <row r="13" spans="1:20" x14ac:dyDescent="0.35">
      <c r="A13" t="s">
        <v>27</v>
      </c>
      <c r="B13">
        <v>40</v>
      </c>
      <c r="C13" t="s">
        <v>4803</v>
      </c>
      <c r="D13" t="s">
        <v>15</v>
      </c>
      <c r="E13">
        <v>97</v>
      </c>
      <c r="F13">
        <v>10</v>
      </c>
      <c r="G13" t="s">
        <v>4799</v>
      </c>
      <c r="H13" t="s">
        <v>4806</v>
      </c>
      <c r="I13">
        <v>17.989999999999998</v>
      </c>
      <c r="J13">
        <v>3</v>
      </c>
      <c r="K13">
        <v>3.23</v>
      </c>
      <c r="L13">
        <v>1</v>
      </c>
      <c r="M13" t="s">
        <v>4811</v>
      </c>
      <c r="N13" t="s">
        <v>4899</v>
      </c>
      <c r="O13" t="s">
        <v>4910</v>
      </c>
    </row>
    <row r="14" spans="1:20" x14ac:dyDescent="0.35">
      <c r="A14" t="s">
        <v>28</v>
      </c>
      <c r="B14">
        <v>37</v>
      </c>
      <c r="C14" t="s">
        <v>4802</v>
      </c>
      <c r="D14" t="s">
        <v>15</v>
      </c>
      <c r="E14">
        <v>119</v>
      </c>
      <c r="F14">
        <v>41</v>
      </c>
      <c r="G14" t="s">
        <v>4797</v>
      </c>
      <c r="H14" t="s">
        <v>4804</v>
      </c>
      <c r="I14">
        <v>17.989999999999998</v>
      </c>
      <c r="J14">
        <v>4</v>
      </c>
      <c r="K14">
        <v>3.97</v>
      </c>
      <c r="L14">
        <v>0</v>
      </c>
      <c r="M14" t="s">
        <v>4808</v>
      </c>
      <c r="N14" t="s">
        <v>4900</v>
      </c>
      <c r="O14" t="s">
        <v>4910</v>
      </c>
    </row>
    <row r="15" spans="1:20" x14ac:dyDescent="0.35">
      <c r="A15" t="s">
        <v>29</v>
      </c>
      <c r="B15">
        <v>63</v>
      </c>
      <c r="C15" t="s">
        <v>4803</v>
      </c>
      <c r="D15" t="s">
        <v>15</v>
      </c>
      <c r="E15">
        <v>92</v>
      </c>
      <c r="F15">
        <v>5</v>
      </c>
      <c r="G15" t="s">
        <v>4798</v>
      </c>
      <c r="H15" t="s">
        <v>4805</v>
      </c>
      <c r="I15">
        <v>17.989999999999998</v>
      </c>
      <c r="J15">
        <v>4</v>
      </c>
      <c r="K15">
        <v>3.07</v>
      </c>
      <c r="L15">
        <v>0</v>
      </c>
      <c r="M15" t="s">
        <v>4811</v>
      </c>
      <c r="N15" t="s">
        <v>4900</v>
      </c>
      <c r="O15" t="s">
        <v>4911</v>
      </c>
    </row>
    <row r="16" spans="1:20" x14ac:dyDescent="0.35">
      <c r="A16" t="s">
        <v>30</v>
      </c>
      <c r="B16">
        <v>29</v>
      </c>
      <c r="C16" t="s">
        <v>4803</v>
      </c>
      <c r="D16" t="s">
        <v>14</v>
      </c>
      <c r="E16">
        <v>26</v>
      </c>
      <c r="F16">
        <v>38</v>
      </c>
      <c r="G16" t="s">
        <v>4797</v>
      </c>
      <c r="H16" t="s">
        <v>4806</v>
      </c>
      <c r="I16">
        <v>8.99</v>
      </c>
      <c r="J16">
        <v>1</v>
      </c>
      <c r="K16">
        <v>0.87</v>
      </c>
      <c r="L16">
        <v>0</v>
      </c>
      <c r="M16" t="s">
        <v>4809</v>
      </c>
      <c r="N16" t="s">
        <v>4900</v>
      </c>
      <c r="O16" t="s">
        <v>4912</v>
      </c>
    </row>
    <row r="17" spans="1:15" x14ac:dyDescent="0.35">
      <c r="A17" t="s">
        <v>31</v>
      </c>
      <c r="B17">
        <v>50</v>
      </c>
      <c r="C17" t="s">
        <v>4803</v>
      </c>
      <c r="D17" t="s">
        <v>13</v>
      </c>
      <c r="E17">
        <v>58</v>
      </c>
      <c r="F17">
        <v>25</v>
      </c>
      <c r="G17" t="s">
        <v>4798</v>
      </c>
      <c r="H17" t="s">
        <v>4806</v>
      </c>
      <c r="I17">
        <v>13.99</v>
      </c>
      <c r="J17">
        <v>4</v>
      </c>
      <c r="K17">
        <v>1.93</v>
      </c>
      <c r="L17">
        <v>0</v>
      </c>
      <c r="M17" t="s">
        <v>4812</v>
      </c>
      <c r="N17" t="s">
        <v>4900</v>
      </c>
      <c r="O17" t="s">
        <v>4910</v>
      </c>
    </row>
    <row r="18" spans="1:15" x14ac:dyDescent="0.35">
      <c r="A18" t="s">
        <v>32</v>
      </c>
      <c r="B18">
        <v>27</v>
      </c>
      <c r="C18" t="s">
        <v>4803</v>
      </c>
      <c r="D18" t="s">
        <v>15</v>
      </c>
      <c r="E18">
        <v>66</v>
      </c>
      <c r="F18">
        <v>13</v>
      </c>
      <c r="G18" t="s">
        <v>4799</v>
      </c>
      <c r="H18" t="s">
        <v>4805</v>
      </c>
      <c r="I18">
        <v>17.989999999999998</v>
      </c>
      <c r="J18">
        <v>2</v>
      </c>
      <c r="K18">
        <v>2.2000000000000002</v>
      </c>
      <c r="L18">
        <v>0</v>
      </c>
      <c r="M18" t="s">
        <v>4811</v>
      </c>
      <c r="N18" t="s">
        <v>4900</v>
      </c>
      <c r="O18" t="s">
        <v>4912</v>
      </c>
    </row>
    <row r="19" spans="1:15" x14ac:dyDescent="0.35">
      <c r="A19" t="s">
        <v>33</v>
      </c>
      <c r="B19">
        <v>38</v>
      </c>
      <c r="C19" t="s">
        <v>4803</v>
      </c>
      <c r="D19" t="s">
        <v>13</v>
      </c>
      <c r="E19">
        <v>43</v>
      </c>
      <c r="F19">
        <v>38</v>
      </c>
      <c r="G19" t="s">
        <v>4799</v>
      </c>
      <c r="H19" t="s">
        <v>4804</v>
      </c>
      <c r="I19">
        <v>13.99</v>
      </c>
      <c r="J19">
        <v>3</v>
      </c>
      <c r="K19">
        <v>1.43</v>
      </c>
      <c r="L19">
        <v>0</v>
      </c>
      <c r="M19" t="s">
        <v>4809</v>
      </c>
      <c r="N19" t="s">
        <v>4900</v>
      </c>
      <c r="O19" t="s">
        <v>4910</v>
      </c>
    </row>
    <row r="20" spans="1:15" x14ac:dyDescent="0.35">
      <c r="A20" t="s">
        <v>34</v>
      </c>
      <c r="B20">
        <v>60</v>
      </c>
      <c r="C20" t="s">
        <v>4803</v>
      </c>
      <c r="D20" t="s">
        <v>13</v>
      </c>
      <c r="E20">
        <v>38</v>
      </c>
      <c r="F20">
        <v>11</v>
      </c>
      <c r="G20" t="s">
        <v>4797</v>
      </c>
      <c r="H20" t="s">
        <v>4805</v>
      </c>
      <c r="I20">
        <v>13.99</v>
      </c>
      <c r="J20">
        <v>1</v>
      </c>
      <c r="K20">
        <v>1.27</v>
      </c>
      <c r="L20">
        <v>0</v>
      </c>
      <c r="M20" t="s">
        <v>4811</v>
      </c>
      <c r="N20" t="s">
        <v>4900</v>
      </c>
      <c r="O20" t="s">
        <v>4911</v>
      </c>
    </row>
    <row r="21" spans="1:15" x14ac:dyDescent="0.35">
      <c r="A21" t="s">
        <v>35</v>
      </c>
      <c r="B21">
        <v>31</v>
      </c>
      <c r="C21" t="s">
        <v>4803</v>
      </c>
      <c r="D21" t="s">
        <v>13</v>
      </c>
      <c r="E21">
        <v>70</v>
      </c>
      <c r="F21">
        <v>43</v>
      </c>
      <c r="G21" t="s">
        <v>4798</v>
      </c>
      <c r="H21" t="s">
        <v>4806</v>
      </c>
      <c r="I21">
        <v>13.99</v>
      </c>
      <c r="J21">
        <v>4</v>
      </c>
      <c r="K21">
        <v>2.33</v>
      </c>
      <c r="L21">
        <v>0</v>
      </c>
      <c r="M21" t="s">
        <v>4812</v>
      </c>
      <c r="N21" t="s">
        <v>4900</v>
      </c>
      <c r="O21" t="s">
        <v>4912</v>
      </c>
    </row>
    <row r="22" spans="1:15" x14ac:dyDescent="0.35">
      <c r="A22" t="s">
        <v>36</v>
      </c>
      <c r="B22">
        <v>19</v>
      </c>
      <c r="C22" t="s">
        <v>4803</v>
      </c>
      <c r="D22" t="s">
        <v>13</v>
      </c>
      <c r="E22">
        <v>38</v>
      </c>
      <c r="F22">
        <v>14</v>
      </c>
      <c r="G22" t="s">
        <v>4797</v>
      </c>
      <c r="H22" t="s">
        <v>4804</v>
      </c>
      <c r="I22">
        <v>13.99</v>
      </c>
      <c r="J22">
        <v>4</v>
      </c>
      <c r="K22">
        <v>5</v>
      </c>
      <c r="L22">
        <v>0</v>
      </c>
      <c r="M22" t="s">
        <v>4812</v>
      </c>
      <c r="N22" t="s">
        <v>4900</v>
      </c>
      <c r="O22" t="s">
        <v>4912</v>
      </c>
    </row>
    <row r="23" spans="1:15" x14ac:dyDescent="0.35">
      <c r="A23" t="s">
        <v>37</v>
      </c>
      <c r="B23">
        <v>18</v>
      </c>
      <c r="C23" t="s">
        <v>4802</v>
      </c>
      <c r="D23" t="s">
        <v>15</v>
      </c>
      <c r="E23">
        <v>52</v>
      </c>
      <c r="F23">
        <v>39</v>
      </c>
      <c r="G23" t="s">
        <v>4797</v>
      </c>
      <c r="H23" t="s">
        <v>4806</v>
      </c>
      <c r="I23">
        <v>17.989999999999998</v>
      </c>
      <c r="J23">
        <v>2</v>
      </c>
      <c r="K23">
        <v>1.73</v>
      </c>
      <c r="L23">
        <v>1</v>
      </c>
      <c r="M23" t="s">
        <v>4808</v>
      </c>
      <c r="N23" t="s">
        <v>4899</v>
      </c>
      <c r="O23" t="s">
        <v>4912</v>
      </c>
    </row>
    <row r="24" spans="1:15" x14ac:dyDescent="0.35">
      <c r="A24" t="s">
        <v>38</v>
      </c>
      <c r="B24">
        <v>24</v>
      </c>
      <c r="C24" t="s">
        <v>4802</v>
      </c>
      <c r="D24" t="s">
        <v>13</v>
      </c>
      <c r="E24">
        <v>67</v>
      </c>
      <c r="F24">
        <v>38</v>
      </c>
      <c r="G24" t="s">
        <v>4797</v>
      </c>
      <c r="H24" t="s">
        <v>4804</v>
      </c>
      <c r="I24">
        <v>13.99</v>
      </c>
      <c r="J24">
        <v>1</v>
      </c>
      <c r="K24">
        <v>2.23</v>
      </c>
      <c r="L24">
        <v>1</v>
      </c>
      <c r="M24" t="s">
        <v>4809</v>
      </c>
      <c r="N24" t="s">
        <v>4899</v>
      </c>
      <c r="O24" t="s">
        <v>4912</v>
      </c>
    </row>
    <row r="25" spans="1:15" x14ac:dyDescent="0.35">
      <c r="A25" t="s">
        <v>39</v>
      </c>
      <c r="B25">
        <v>51</v>
      </c>
      <c r="C25" t="s">
        <v>4803</v>
      </c>
      <c r="D25" t="s">
        <v>15</v>
      </c>
      <c r="E25">
        <v>71</v>
      </c>
      <c r="F25">
        <v>54</v>
      </c>
      <c r="G25" t="s">
        <v>4799</v>
      </c>
      <c r="H25" t="s">
        <v>4806</v>
      </c>
      <c r="I25">
        <v>17.989999999999998</v>
      </c>
      <c r="J25">
        <v>2</v>
      </c>
      <c r="K25">
        <v>2.0299999999999998</v>
      </c>
      <c r="L25">
        <v>1</v>
      </c>
      <c r="M25" t="s">
        <v>4809</v>
      </c>
      <c r="N25" t="s">
        <v>4899</v>
      </c>
      <c r="O25" t="s">
        <v>4910</v>
      </c>
    </row>
    <row r="26" spans="1:15" x14ac:dyDescent="0.35">
      <c r="A26" t="s">
        <v>40</v>
      </c>
      <c r="B26">
        <v>57</v>
      </c>
      <c r="C26" t="s">
        <v>4802</v>
      </c>
      <c r="D26" t="s">
        <v>15</v>
      </c>
      <c r="E26">
        <v>107</v>
      </c>
      <c r="F26">
        <v>0</v>
      </c>
      <c r="G26" t="s">
        <v>4797</v>
      </c>
      <c r="H26" t="s">
        <v>4805</v>
      </c>
      <c r="I26">
        <v>17.989999999999998</v>
      </c>
      <c r="J26">
        <v>5</v>
      </c>
      <c r="K26">
        <v>3.57</v>
      </c>
      <c r="L26">
        <v>0</v>
      </c>
      <c r="M26" t="s">
        <v>4810</v>
      </c>
      <c r="N26" t="s">
        <v>4900</v>
      </c>
      <c r="O26" t="s">
        <v>4911</v>
      </c>
    </row>
    <row r="27" spans="1:15" x14ac:dyDescent="0.35">
      <c r="A27" t="s">
        <v>41</v>
      </c>
      <c r="B27">
        <v>40</v>
      </c>
      <c r="C27" t="s">
        <v>4803</v>
      </c>
      <c r="D27" t="s">
        <v>13</v>
      </c>
      <c r="E27">
        <v>50</v>
      </c>
      <c r="F27">
        <v>56</v>
      </c>
      <c r="G27" t="s">
        <v>4799</v>
      </c>
      <c r="H27" t="s">
        <v>4805</v>
      </c>
      <c r="I27">
        <v>13.99</v>
      </c>
      <c r="J27">
        <v>4</v>
      </c>
      <c r="K27">
        <v>1.67</v>
      </c>
      <c r="L27">
        <v>0</v>
      </c>
      <c r="M27" t="s">
        <v>4811</v>
      </c>
      <c r="N27" t="s">
        <v>4900</v>
      </c>
      <c r="O27" t="s">
        <v>4910</v>
      </c>
    </row>
    <row r="28" spans="1:15" x14ac:dyDescent="0.35">
      <c r="A28" t="s">
        <v>42</v>
      </c>
      <c r="B28">
        <v>33</v>
      </c>
      <c r="C28" t="s">
        <v>4803</v>
      </c>
      <c r="D28" t="s">
        <v>13</v>
      </c>
      <c r="E28">
        <v>56</v>
      </c>
      <c r="F28">
        <v>7</v>
      </c>
      <c r="G28" t="s">
        <v>4799</v>
      </c>
      <c r="H28" t="s">
        <v>4805</v>
      </c>
      <c r="I28">
        <v>13.99</v>
      </c>
      <c r="J28">
        <v>2</v>
      </c>
      <c r="K28">
        <v>1.87</v>
      </c>
      <c r="L28">
        <v>0</v>
      </c>
      <c r="M28" t="s">
        <v>4809</v>
      </c>
      <c r="N28" t="s">
        <v>4900</v>
      </c>
      <c r="O28" t="s">
        <v>4912</v>
      </c>
    </row>
    <row r="29" spans="1:15" x14ac:dyDescent="0.35">
      <c r="A29" t="s">
        <v>43</v>
      </c>
      <c r="B29">
        <v>19</v>
      </c>
      <c r="C29" t="s">
        <v>4803</v>
      </c>
      <c r="D29" t="s">
        <v>13</v>
      </c>
      <c r="E29">
        <v>57</v>
      </c>
      <c r="F29">
        <v>47</v>
      </c>
      <c r="G29" t="s">
        <v>4798</v>
      </c>
      <c r="H29" t="s">
        <v>4804</v>
      </c>
      <c r="I29">
        <v>13.99</v>
      </c>
      <c r="J29">
        <v>3</v>
      </c>
      <c r="K29">
        <v>1.9</v>
      </c>
      <c r="L29">
        <v>0</v>
      </c>
      <c r="M29" t="s">
        <v>4811</v>
      </c>
      <c r="N29" t="s">
        <v>4900</v>
      </c>
      <c r="O29" t="s">
        <v>4912</v>
      </c>
    </row>
    <row r="30" spans="1:15" x14ac:dyDescent="0.35">
      <c r="A30" t="s">
        <v>44</v>
      </c>
      <c r="B30">
        <v>45</v>
      </c>
      <c r="C30" t="s">
        <v>4803</v>
      </c>
      <c r="D30" t="s">
        <v>13</v>
      </c>
      <c r="E30">
        <v>55</v>
      </c>
      <c r="F30">
        <v>34</v>
      </c>
      <c r="G30" t="s">
        <v>4798</v>
      </c>
      <c r="H30" t="s">
        <v>4804</v>
      </c>
      <c r="I30">
        <v>13.99</v>
      </c>
      <c r="J30">
        <v>1</v>
      </c>
      <c r="K30">
        <v>1.83</v>
      </c>
      <c r="L30">
        <v>0</v>
      </c>
      <c r="M30" t="s">
        <v>4811</v>
      </c>
      <c r="N30" t="s">
        <v>4900</v>
      </c>
      <c r="O30" t="s">
        <v>4910</v>
      </c>
    </row>
    <row r="31" spans="1:15" x14ac:dyDescent="0.35">
      <c r="A31" t="s">
        <v>45</v>
      </c>
      <c r="B31">
        <v>26</v>
      </c>
      <c r="C31" t="s">
        <v>4802</v>
      </c>
      <c r="D31" t="s">
        <v>13</v>
      </c>
      <c r="E31">
        <v>55</v>
      </c>
      <c r="F31">
        <v>14</v>
      </c>
      <c r="G31" t="s">
        <v>4797</v>
      </c>
      <c r="H31" t="s">
        <v>4807</v>
      </c>
      <c r="I31">
        <v>13.99</v>
      </c>
      <c r="J31">
        <v>1</v>
      </c>
      <c r="K31">
        <v>1.83</v>
      </c>
      <c r="L31">
        <v>1</v>
      </c>
      <c r="M31" t="s">
        <v>4809</v>
      </c>
      <c r="N31" t="s">
        <v>4899</v>
      </c>
      <c r="O31" t="s">
        <v>4912</v>
      </c>
    </row>
    <row r="32" spans="1:15" x14ac:dyDescent="0.35">
      <c r="A32" t="s">
        <v>46</v>
      </c>
      <c r="B32">
        <v>55</v>
      </c>
      <c r="C32" t="s">
        <v>4803</v>
      </c>
      <c r="D32" t="s">
        <v>13</v>
      </c>
      <c r="E32">
        <v>76</v>
      </c>
      <c r="F32">
        <v>4</v>
      </c>
      <c r="G32" t="s">
        <v>4798</v>
      </c>
      <c r="H32" t="s">
        <v>4805</v>
      </c>
      <c r="I32">
        <v>13.99</v>
      </c>
      <c r="J32">
        <v>4</v>
      </c>
      <c r="K32">
        <v>2.0299999999999998</v>
      </c>
      <c r="L32">
        <v>0</v>
      </c>
      <c r="M32" t="s">
        <v>4810</v>
      </c>
      <c r="N32" t="s">
        <v>4900</v>
      </c>
      <c r="O32" t="s">
        <v>4911</v>
      </c>
    </row>
    <row r="33" spans="1:15" x14ac:dyDescent="0.35">
      <c r="A33" t="s">
        <v>47</v>
      </c>
      <c r="B33">
        <v>37</v>
      </c>
      <c r="C33" t="s">
        <v>4803</v>
      </c>
      <c r="D33" t="s">
        <v>14</v>
      </c>
      <c r="E33">
        <v>30</v>
      </c>
      <c r="F33">
        <v>54</v>
      </c>
      <c r="G33" t="s">
        <v>4798</v>
      </c>
      <c r="H33" t="s">
        <v>4805</v>
      </c>
      <c r="I33">
        <v>8.99</v>
      </c>
      <c r="J33">
        <v>3</v>
      </c>
      <c r="K33">
        <v>1</v>
      </c>
      <c r="L33">
        <v>0</v>
      </c>
      <c r="M33" t="s">
        <v>4811</v>
      </c>
      <c r="N33" t="s">
        <v>4900</v>
      </c>
      <c r="O33" t="s">
        <v>4910</v>
      </c>
    </row>
    <row r="34" spans="1:15" x14ac:dyDescent="0.35">
      <c r="A34" t="s">
        <v>48</v>
      </c>
      <c r="B34">
        <v>37</v>
      </c>
      <c r="C34" t="s">
        <v>4802</v>
      </c>
      <c r="D34" t="s">
        <v>13</v>
      </c>
      <c r="E34">
        <v>58</v>
      </c>
      <c r="F34">
        <v>24</v>
      </c>
      <c r="G34" t="s">
        <v>4799</v>
      </c>
      <c r="H34" t="s">
        <v>4805</v>
      </c>
      <c r="I34">
        <v>13.99</v>
      </c>
      <c r="J34">
        <v>1</v>
      </c>
      <c r="K34">
        <v>1.93</v>
      </c>
      <c r="L34">
        <v>0</v>
      </c>
      <c r="M34" t="s">
        <v>4810</v>
      </c>
      <c r="N34" t="s">
        <v>4900</v>
      </c>
      <c r="O34" t="s">
        <v>4910</v>
      </c>
    </row>
    <row r="35" spans="1:15" x14ac:dyDescent="0.35">
      <c r="A35" t="s">
        <v>49</v>
      </c>
      <c r="B35">
        <v>40</v>
      </c>
      <c r="C35" t="s">
        <v>4803</v>
      </c>
      <c r="D35" t="s">
        <v>15</v>
      </c>
      <c r="E35">
        <v>58</v>
      </c>
      <c r="F35">
        <v>46</v>
      </c>
      <c r="G35" t="s">
        <v>4797</v>
      </c>
      <c r="H35" t="s">
        <v>4804</v>
      </c>
      <c r="I35">
        <v>17.989999999999998</v>
      </c>
      <c r="J35">
        <v>5</v>
      </c>
      <c r="K35">
        <v>1.93</v>
      </c>
      <c r="L35">
        <v>0</v>
      </c>
      <c r="M35" t="s">
        <v>4810</v>
      </c>
      <c r="N35" t="s">
        <v>4900</v>
      </c>
      <c r="O35" t="s">
        <v>4910</v>
      </c>
    </row>
    <row r="36" spans="1:15" x14ac:dyDescent="0.35">
      <c r="A36" t="s">
        <v>50</v>
      </c>
      <c r="B36">
        <v>38</v>
      </c>
      <c r="C36" t="s">
        <v>4802</v>
      </c>
      <c r="D36" t="s">
        <v>13</v>
      </c>
      <c r="E36">
        <v>53</v>
      </c>
      <c r="F36">
        <v>46</v>
      </c>
      <c r="G36" t="s">
        <v>4797</v>
      </c>
      <c r="H36" t="s">
        <v>4804</v>
      </c>
      <c r="I36">
        <v>13.99</v>
      </c>
      <c r="J36">
        <v>3</v>
      </c>
      <c r="K36">
        <v>1.77</v>
      </c>
      <c r="L36">
        <v>0</v>
      </c>
      <c r="M36" t="s">
        <v>4808</v>
      </c>
      <c r="N36" t="s">
        <v>4900</v>
      </c>
      <c r="O36" t="s">
        <v>4910</v>
      </c>
    </row>
    <row r="37" spans="1:15" x14ac:dyDescent="0.35">
      <c r="A37" t="s">
        <v>51</v>
      </c>
      <c r="B37">
        <v>50</v>
      </c>
      <c r="C37" t="s">
        <v>4803</v>
      </c>
      <c r="D37" t="s">
        <v>13</v>
      </c>
      <c r="E37">
        <v>34</v>
      </c>
      <c r="F37">
        <v>3</v>
      </c>
      <c r="G37" t="s">
        <v>4798</v>
      </c>
      <c r="H37" t="s">
        <v>4805</v>
      </c>
      <c r="I37">
        <v>13.99</v>
      </c>
      <c r="J37">
        <v>1</v>
      </c>
      <c r="K37">
        <v>1.1299999999999999</v>
      </c>
      <c r="L37">
        <v>0</v>
      </c>
      <c r="M37" t="s">
        <v>4810</v>
      </c>
      <c r="N37" t="s">
        <v>4900</v>
      </c>
      <c r="O37" t="s">
        <v>4910</v>
      </c>
    </row>
    <row r="38" spans="1:15" x14ac:dyDescent="0.35">
      <c r="A38" t="s">
        <v>52</v>
      </c>
      <c r="B38">
        <v>61</v>
      </c>
      <c r="C38" t="s">
        <v>4803</v>
      </c>
      <c r="D38" t="s">
        <v>13</v>
      </c>
      <c r="E38">
        <v>76</v>
      </c>
      <c r="F38">
        <v>41</v>
      </c>
      <c r="G38" t="s">
        <v>4797</v>
      </c>
      <c r="H38" t="s">
        <v>4805</v>
      </c>
      <c r="I38">
        <v>13.99</v>
      </c>
      <c r="J38">
        <v>4</v>
      </c>
      <c r="K38">
        <v>2.5299999999999998</v>
      </c>
      <c r="L38">
        <v>0</v>
      </c>
      <c r="M38" t="s">
        <v>4808</v>
      </c>
      <c r="N38" t="s">
        <v>4900</v>
      </c>
      <c r="O38" t="s">
        <v>4911</v>
      </c>
    </row>
    <row r="39" spans="1:15" x14ac:dyDescent="0.35">
      <c r="A39" t="s">
        <v>53</v>
      </c>
      <c r="B39">
        <v>38</v>
      </c>
      <c r="C39" t="s">
        <v>4802</v>
      </c>
      <c r="D39" t="s">
        <v>15</v>
      </c>
      <c r="E39">
        <v>80</v>
      </c>
      <c r="F39">
        <v>35</v>
      </c>
      <c r="G39" t="s">
        <v>4799</v>
      </c>
      <c r="H39" t="s">
        <v>4805</v>
      </c>
      <c r="I39">
        <v>17.989999999999998</v>
      </c>
      <c r="J39">
        <v>2</v>
      </c>
      <c r="K39">
        <v>2.67</v>
      </c>
      <c r="L39">
        <v>0</v>
      </c>
      <c r="M39" t="s">
        <v>4812</v>
      </c>
      <c r="N39" t="s">
        <v>4900</v>
      </c>
      <c r="O39" t="s">
        <v>4910</v>
      </c>
    </row>
    <row r="40" spans="1:15" x14ac:dyDescent="0.35">
      <c r="A40" t="s">
        <v>54</v>
      </c>
      <c r="B40">
        <v>26</v>
      </c>
      <c r="C40" t="s">
        <v>4803</v>
      </c>
      <c r="D40" t="s">
        <v>13</v>
      </c>
      <c r="E40">
        <v>73</v>
      </c>
      <c r="F40">
        <v>45</v>
      </c>
      <c r="G40" t="s">
        <v>4798</v>
      </c>
      <c r="H40" t="s">
        <v>4806</v>
      </c>
      <c r="I40">
        <v>13.99</v>
      </c>
      <c r="J40">
        <v>1</v>
      </c>
      <c r="K40">
        <v>2.4300000000000002</v>
      </c>
      <c r="L40">
        <v>1</v>
      </c>
      <c r="M40" t="s">
        <v>4808</v>
      </c>
      <c r="N40" t="s">
        <v>4899</v>
      </c>
      <c r="O40" t="s">
        <v>4912</v>
      </c>
    </row>
    <row r="41" spans="1:15" x14ac:dyDescent="0.35">
      <c r="A41" t="s">
        <v>55</v>
      </c>
      <c r="B41">
        <v>60</v>
      </c>
      <c r="C41" t="s">
        <v>4803</v>
      </c>
      <c r="D41" t="s">
        <v>13</v>
      </c>
      <c r="E41">
        <v>67</v>
      </c>
      <c r="F41">
        <v>35</v>
      </c>
      <c r="G41" t="s">
        <v>4798</v>
      </c>
      <c r="H41" t="s">
        <v>4805</v>
      </c>
      <c r="I41">
        <v>13.99</v>
      </c>
      <c r="J41">
        <v>2</v>
      </c>
      <c r="K41">
        <v>2.23</v>
      </c>
      <c r="L41">
        <v>0</v>
      </c>
      <c r="M41" t="s">
        <v>4812</v>
      </c>
      <c r="N41" t="s">
        <v>4900</v>
      </c>
      <c r="O41" t="s">
        <v>4911</v>
      </c>
    </row>
    <row r="42" spans="1:15" x14ac:dyDescent="0.35">
      <c r="A42" t="s">
        <v>56</v>
      </c>
      <c r="B42">
        <v>38</v>
      </c>
      <c r="C42" t="s">
        <v>4803</v>
      </c>
      <c r="D42" t="s">
        <v>13</v>
      </c>
      <c r="E42">
        <v>46</v>
      </c>
      <c r="F42">
        <v>17</v>
      </c>
      <c r="G42" t="s">
        <v>4798</v>
      </c>
      <c r="H42" t="s">
        <v>4805</v>
      </c>
      <c r="I42">
        <v>13.99</v>
      </c>
      <c r="J42">
        <v>4</v>
      </c>
      <c r="K42">
        <v>1.53</v>
      </c>
      <c r="L42">
        <v>0</v>
      </c>
      <c r="M42" t="s">
        <v>4810</v>
      </c>
      <c r="N42" t="s">
        <v>4900</v>
      </c>
      <c r="O42" t="s">
        <v>4910</v>
      </c>
    </row>
    <row r="43" spans="1:15" x14ac:dyDescent="0.35">
      <c r="A43" t="s">
        <v>57</v>
      </c>
      <c r="B43">
        <v>61</v>
      </c>
      <c r="C43" t="s">
        <v>4803</v>
      </c>
      <c r="D43" t="s">
        <v>14</v>
      </c>
      <c r="E43">
        <v>15</v>
      </c>
      <c r="F43">
        <v>2</v>
      </c>
      <c r="G43" t="s">
        <v>4797</v>
      </c>
      <c r="H43" t="s">
        <v>4806</v>
      </c>
      <c r="I43">
        <v>8.99</v>
      </c>
      <c r="J43">
        <v>1</v>
      </c>
      <c r="K43">
        <v>0.5</v>
      </c>
      <c r="L43">
        <v>0</v>
      </c>
      <c r="M43" t="s">
        <v>4810</v>
      </c>
      <c r="N43" t="s">
        <v>4900</v>
      </c>
      <c r="O43" t="s">
        <v>4911</v>
      </c>
    </row>
    <row r="44" spans="1:15" x14ac:dyDescent="0.35">
      <c r="A44" t="s">
        <v>58</v>
      </c>
      <c r="B44">
        <v>47</v>
      </c>
      <c r="C44" t="s">
        <v>4803</v>
      </c>
      <c r="D44" t="s">
        <v>13</v>
      </c>
      <c r="E44">
        <v>52</v>
      </c>
      <c r="F44">
        <v>43</v>
      </c>
      <c r="G44" t="s">
        <v>4799</v>
      </c>
      <c r="H44" t="s">
        <v>4804</v>
      </c>
      <c r="I44">
        <v>13.99</v>
      </c>
      <c r="J44">
        <v>2</v>
      </c>
      <c r="K44">
        <v>1.73</v>
      </c>
      <c r="L44">
        <v>1</v>
      </c>
      <c r="M44" t="s">
        <v>4808</v>
      </c>
      <c r="N44" t="s">
        <v>4899</v>
      </c>
      <c r="O44" t="s">
        <v>4910</v>
      </c>
    </row>
    <row r="45" spans="1:15" x14ac:dyDescent="0.35">
      <c r="A45" t="s">
        <v>59</v>
      </c>
      <c r="B45">
        <v>41</v>
      </c>
      <c r="C45" t="s">
        <v>4802</v>
      </c>
      <c r="D45" t="s">
        <v>13</v>
      </c>
      <c r="E45">
        <v>69</v>
      </c>
      <c r="F45">
        <v>29</v>
      </c>
      <c r="G45" t="s">
        <v>4799</v>
      </c>
      <c r="H45" t="s">
        <v>4805</v>
      </c>
      <c r="I45">
        <v>13.99</v>
      </c>
      <c r="J45">
        <v>2</v>
      </c>
      <c r="K45">
        <v>2.2999999999999998</v>
      </c>
      <c r="L45">
        <v>0</v>
      </c>
      <c r="M45" t="s">
        <v>4811</v>
      </c>
      <c r="N45" t="s">
        <v>4900</v>
      </c>
      <c r="O45" t="s">
        <v>4910</v>
      </c>
    </row>
    <row r="46" spans="1:15" x14ac:dyDescent="0.35">
      <c r="A46" t="s">
        <v>60</v>
      </c>
      <c r="B46">
        <v>40</v>
      </c>
      <c r="C46" t="s">
        <v>4803</v>
      </c>
      <c r="D46" t="s">
        <v>15</v>
      </c>
      <c r="E46">
        <v>82</v>
      </c>
      <c r="F46">
        <v>49</v>
      </c>
      <c r="G46" t="s">
        <v>4799</v>
      </c>
      <c r="H46" t="s">
        <v>4806</v>
      </c>
      <c r="I46">
        <v>17.989999999999998</v>
      </c>
      <c r="J46">
        <v>4</v>
      </c>
      <c r="K46">
        <v>2.73</v>
      </c>
      <c r="L46">
        <v>0</v>
      </c>
      <c r="M46" t="s">
        <v>4810</v>
      </c>
      <c r="N46" t="s">
        <v>4900</v>
      </c>
      <c r="O46" t="s">
        <v>4910</v>
      </c>
    </row>
    <row r="47" spans="1:15" x14ac:dyDescent="0.35">
      <c r="A47" t="s">
        <v>61</v>
      </c>
      <c r="B47">
        <v>26</v>
      </c>
      <c r="C47" t="s">
        <v>4802</v>
      </c>
      <c r="D47" t="s">
        <v>13</v>
      </c>
      <c r="E47">
        <v>33</v>
      </c>
      <c r="F47">
        <v>5</v>
      </c>
      <c r="G47" t="s">
        <v>4799</v>
      </c>
      <c r="H47" t="s">
        <v>4805</v>
      </c>
      <c r="I47">
        <v>13.99</v>
      </c>
      <c r="J47">
        <v>3</v>
      </c>
      <c r="K47">
        <v>2.0299999999999998</v>
      </c>
      <c r="L47">
        <v>0</v>
      </c>
      <c r="M47" t="s">
        <v>4812</v>
      </c>
      <c r="N47" t="s">
        <v>4900</v>
      </c>
      <c r="O47" t="s">
        <v>4912</v>
      </c>
    </row>
    <row r="48" spans="1:15" x14ac:dyDescent="0.35">
      <c r="A48" t="s">
        <v>62</v>
      </c>
      <c r="B48">
        <v>57</v>
      </c>
      <c r="C48" t="s">
        <v>4802</v>
      </c>
      <c r="D48" t="s">
        <v>15</v>
      </c>
      <c r="E48">
        <v>94</v>
      </c>
      <c r="F48">
        <v>24</v>
      </c>
      <c r="G48" t="s">
        <v>4798</v>
      </c>
      <c r="H48" t="s">
        <v>4806</v>
      </c>
      <c r="I48">
        <v>17.989999999999998</v>
      </c>
      <c r="J48">
        <v>4</v>
      </c>
      <c r="K48">
        <v>5</v>
      </c>
      <c r="L48">
        <v>1</v>
      </c>
      <c r="M48" t="s">
        <v>4811</v>
      </c>
      <c r="N48" t="s">
        <v>4899</v>
      </c>
      <c r="O48" t="s">
        <v>4911</v>
      </c>
    </row>
    <row r="49" spans="1:15" x14ac:dyDescent="0.35">
      <c r="A49" t="s">
        <v>4813</v>
      </c>
      <c r="B49">
        <v>24</v>
      </c>
      <c r="C49" t="s">
        <v>4803</v>
      </c>
      <c r="D49" t="s">
        <v>13</v>
      </c>
      <c r="E49">
        <v>38</v>
      </c>
      <c r="F49">
        <v>25</v>
      </c>
      <c r="G49" t="s">
        <v>4797</v>
      </c>
      <c r="H49" t="s">
        <v>4806</v>
      </c>
      <c r="I49">
        <v>13.99</v>
      </c>
      <c r="J49">
        <v>2</v>
      </c>
      <c r="K49">
        <v>2.0299999999999998</v>
      </c>
      <c r="L49">
        <v>0</v>
      </c>
      <c r="M49" t="s">
        <v>4810</v>
      </c>
      <c r="N49" t="s">
        <v>4900</v>
      </c>
      <c r="O49" t="s">
        <v>4912</v>
      </c>
    </row>
    <row r="50" spans="1:15" x14ac:dyDescent="0.35">
      <c r="A50" t="s">
        <v>63</v>
      </c>
      <c r="B50">
        <v>29</v>
      </c>
      <c r="C50" t="s">
        <v>4803</v>
      </c>
      <c r="D50" t="s">
        <v>13</v>
      </c>
      <c r="E50">
        <v>55</v>
      </c>
      <c r="F50">
        <v>59</v>
      </c>
      <c r="G50" t="s">
        <v>4797</v>
      </c>
      <c r="H50" t="s">
        <v>4805</v>
      </c>
      <c r="I50">
        <v>13.99</v>
      </c>
      <c r="J50">
        <v>1</v>
      </c>
      <c r="K50">
        <v>2.0299999999999998</v>
      </c>
      <c r="L50">
        <v>0</v>
      </c>
      <c r="M50" t="s">
        <v>4809</v>
      </c>
      <c r="N50" t="s">
        <v>4900</v>
      </c>
      <c r="O50" t="s">
        <v>4912</v>
      </c>
    </row>
    <row r="51" spans="1:15" x14ac:dyDescent="0.35">
      <c r="A51" t="s">
        <v>64</v>
      </c>
      <c r="B51">
        <v>55</v>
      </c>
      <c r="C51" t="s">
        <v>4803</v>
      </c>
      <c r="D51" t="s">
        <v>13</v>
      </c>
      <c r="E51">
        <v>63</v>
      </c>
      <c r="F51">
        <v>0</v>
      </c>
      <c r="G51" t="s">
        <v>4797</v>
      </c>
      <c r="H51" t="s">
        <v>4805</v>
      </c>
      <c r="I51">
        <v>13.99</v>
      </c>
      <c r="J51">
        <v>3</v>
      </c>
      <c r="K51">
        <v>2.1</v>
      </c>
      <c r="L51">
        <v>0</v>
      </c>
      <c r="M51" t="s">
        <v>4808</v>
      </c>
      <c r="N51" t="s">
        <v>4900</v>
      </c>
      <c r="O51" t="s">
        <v>4911</v>
      </c>
    </row>
    <row r="52" spans="1:15" x14ac:dyDescent="0.35">
      <c r="A52" t="s">
        <v>65</v>
      </c>
      <c r="B52">
        <v>33</v>
      </c>
      <c r="C52" t="s">
        <v>4802</v>
      </c>
      <c r="D52" t="s">
        <v>13</v>
      </c>
      <c r="E52">
        <v>61</v>
      </c>
      <c r="F52">
        <v>8</v>
      </c>
      <c r="G52" t="s">
        <v>4798</v>
      </c>
      <c r="H52" t="s">
        <v>4804</v>
      </c>
      <c r="I52">
        <v>13.99</v>
      </c>
      <c r="J52">
        <v>3</v>
      </c>
      <c r="K52">
        <v>2.0299999999999998</v>
      </c>
      <c r="L52">
        <v>0</v>
      </c>
      <c r="M52" t="s">
        <v>4809</v>
      </c>
      <c r="N52" t="s">
        <v>4900</v>
      </c>
      <c r="O52" t="s">
        <v>4912</v>
      </c>
    </row>
    <row r="53" spans="1:15" x14ac:dyDescent="0.35">
      <c r="A53" t="s">
        <v>66</v>
      </c>
      <c r="B53">
        <v>27</v>
      </c>
      <c r="C53" t="s">
        <v>4802</v>
      </c>
      <c r="D53" t="s">
        <v>13</v>
      </c>
      <c r="E53">
        <v>34</v>
      </c>
      <c r="F53">
        <v>15</v>
      </c>
      <c r="G53" t="s">
        <v>4799</v>
      </c>
      <c r="H53" t="s">
        <v>4806</v>
      </c>
      <c r="I53">
        <v>13.99</v>
      </c>
      <c r="J53">
        <v>4</v>
      </c>
      <c r="K53">
        <v>1.1299999999999999</v>
      </c>
      <c r="L53">
        <v>0</v>
      </c>
      <c r="M53" t="s">
        <v>4810</v>
      </c>
      <c r="N53" t="s">
        <v>4900</v>
      </c>
      <c r="O53" t="s">
        <v>4912</v>
      </c>
    </row>
    <row r="54" spans="1:15" x14ac:dyDescent="0.35">
      <c r="A54" t="s">
        <v>67</v>
      </c>
      <c r="B54">
        <v>44</v>
      </c>
      <c r="C54" t="s">
        <v>4802</v>
      </c>
      <c r="D54" t="s">
        <v>13</v>
      </c>
      <c r="E54">
        <v>31</v>
      </c>
      <c r="F54">
        <v>60</v>
      </c>
      <c r="G54" t="s">
        <v>4798</v>
      </c>
      <c r="H54" t="s">
        <v>4805</v>
      </c>
      <c r="I54">
        <v>13.99</v>
      </c>
      <c r="J54">
        <v>1</v>
      </c>
      <c r="K54">
        <v>1.03</v>
      </c>
      <c r="L54">
        <v>1</v>
      </c>
      <c r="M54" t="s">
        <v>4812</v>
      </c>
      <c r="N54" t="s">
        <v>4899</v>
      </c>
      <c r="O54" t="s">
        <v>4910</v>
      </c>
    </row>
    <row r="55" spans="1:15" x14ac:dyDescent="0.35">
      <c r="A55" t="s">
        <v>68</v>
      </c>
      <c r="B55">
        <v>19</v>
      </c>
      <c r="C55" t="s">
        <v>4803</v>
      </c>
      <c r="D55" t="s">
        <v>13</v>
      </c>
      <c r="E55">
        <v>39</v>
      </c>
      <c r="F55">
        <v>56</v>
      </c>
      <c r="G55" t="s">
        <v>4799</v>
      </c>
      <c r="H55" t="s">
        <v>4806</v>
      </c>
      <c r="I55">
        <v>13.99</v>
      </c>
      <c r="J55">
        <v>1</v>
      </c>
      <c r="K55">
        <v>1.3</v>
      </c>
      <c r="L55">
        <v>0</v>
      </c>
      <c r="M55" t="s">
        <v>4809</v>
      </c>
      <c r="N55" t="s">
        <v>4900</v>
      </c>
      <c r="O55" t="s">
        <v>4912</v>
      </c>
    </row>
    <row r="56" spans="1:15" x14ac:dyDescent="0.35">
      <c r="A56" t="s">
        <v>69</v>
      </c>
      <c r="B56">
        <v>32</v>
      </c>
      <c r="C56" t="s">
        <v>4803</v>
      </c>
      <c r="D56" t="s">
        <v>13</v>
      </c>
      <c r="E56">
        <v>64</v>
      </c>
      <c r="F56">
        <v>25</v>
      </c>
      <c r="G56" t="s">
        <v>4800</v>
      </c>
      <c r="H56" t="s">
        <v>4805</v>
      </c>
      <c r="I56">
        <v>13.99</v>
      </c>
      <c r="J56">
        <v>4</v>
      </c>
      <c r="K56">
        <v>2.13</v>
      </c>
      <c r="L56">
        <v>0</v>
      </c>
      <c r="M56" t="s">
        <v>4808</v>
      </c>
      <c r="N56" t="s">
        <v>4900</v>
      </c>
      <c r="O56" t="s">
        <v>4912</v>
      </c>
    </row>
    <row r="57" spans="1:15" x14ac:dyDescent="0.35">
      <c r="A57" t="s">
        <v>70</v>
      </c>
      <c r="B57">
        <v>46</v>
      </c>
      <c r="C57" t="s">
        <v>4803</v>
      </c>
      <c r="D57" t="s">
        <v>13</v>
      </c>
      <c r="E57">
        <v>70</v>
      </c>
      <c r="F57">
        <v>33</v>
      </c>
      <c r="G57" t="s">
        <v>4799</v>
      </c>
      <c r="H57" t="s">
        <v>4805</v>
      </c>
      <c r="I57">
        <v>13.99</v>
      </c>
      <c r="J57">
        <v>4</v>
      </c>
      <c r="K57">
        <v>2.33</v>
      </c>
      <c r="L57">
        <v>0</v>
      </c>
      <c r="M57" t="s">
        <v>4808</v>
      </c>
      <c r="N57" t="s">
        <v>4900</v>
      </c>
      <c r="O57" t="s">
        <v>4910</v>
      </c>
    </row>
    <row r="58" spans="1:15" x14ac:dyDescent="0.35">
      <c r="A58" t="s">
        <v>71</v>
      </c>
      <c r="B58">
        <v>52</v>
      </c>
      <c r="C58" t="s">
        <v>4802</v>
      </c>
      <c r="D58" t="s">
        <v>13</v>
      </c>
      <c r="E58">
        <v>74</v>
      </c>
      <c r="F58">
        <v>26</v>
      </c>
      <c r="G58" t="s">
        <v>4798</v>
      </c>
      <c r="H58" t="s">
        <v>4804</v>
      </c>
      <c r="I58">
        <v>13.99</v>
      </c>
      <c r="J58">
        <v>4</v>
      </c>
      <c r="K58">
        <v>2.4700000000000002</v>
      </c>
      <c r="L58">
        <v>0</v>
      </c>
      <c r="M58" t="s">
        <v>4808</v>
      </c>
      <c r="N58" t="s">
        <v>4900</v>
      </c>
      <c r="O58" t="s">
        <v>4910</v>
      </c>
    </row>
    <row r="59" spans="1:15" x14ac:dyDescent="0.35">
      <c r="A59" t="s">
        <v>72</v>
      </c>
      <c r="B59">
        <v>57</v>
      </c>
      <c r="C59" t="s">
        <v>4803</v>
      </c>
      <c r="D59" t="s">
        <v>15</v>
      </c>
      <c r="E59">
        <v>102</v>
      </c>
      <c r="F59">
        <v>25</v>
      </c>
      <c r="G59" t="s">
        <v>4798</v>
      </c>
      <c r="H59" t="s">
        <v>4806</v>
      </c>
      <c r="I59">
        <v>17.989999999999998</v>
      </c>
      <c r="J59">
        <v>3</v>
      </c>
      <c r="K59">
        <v>3.4</v>
      </c>
      <c r="L59">
        <v>0</v>
      </c>
      <c r="M59" t="s">
        <v>4808</v>
      </c>
      <c r="N59" t="s">
        <v>4900</v>
      </c>
      <c r="O59" t="s">
        <v>4911</v>
      </c>
    </row>
    <row r="60" spans="1:15" x14ac:dyDescent="0.35">
      <c r="A60" t="s">
        <v>73</v>
      </c>
      <c r="B60">
        <v>30</v>
      </c>
      <c r="C60" t="s">
        <v>4802</v>
      </c>
      <c r="D60" t="s">
        <v>13</v>
      </c>
      <c r="E60">
        <v>61</v>
      </c>
      <c r="F60">
        <v>9</v>
      </c>
      <c r="G60" t="s">
        <v>4799</v>
      </c>
      <c r="H60" t="s">
        <v>4806</v>
      </c>
      <c r="I60">
        <v>13.99</v>
      </c>
      <c r="J60">
        <v>2</v>
      </c>
      <c r="K60">
        <v>2.0299999999999998</v>
      </c>
      <c r="L60">
        <v>0</v>
      </c>
      <c r="M60" t="s">
        <v>4811</v>
      </c>
      <c r="N60" t="s">
        <v>4900</v>
      </c>
      <c r="O60" t="s">
        <v>4912</v>
      </c>
    </row>
    <row r="61" spans="1:15" x14ac:dyDescent="0.35">
      <c r="A61" t="s">
        <v>74</v>
      </c>
      <c r="B61">
        <v>22</v>
      </c>
      <c r="C61" t="s">
        <v>4802</v>
      </c>
      <c r="D61" t="s">
        <v>15</v>
      </c>
      <c r="E61">
        <v>100</v>
      </c>
      <c r="F61">
        <v>29</v>
      </c>
      <c r="G61" t="s">
        <v>4799</v>
      </c>
      <c r="H61" t="s">
        <v>4806</v>
      </c>
      <c r="I61">
        <v>17.989999999999998</v>
      </c>
      <c r="J61">
        <v>4</v>
      </c>
      <c r="K61">
        <v>3.33</v>
      </c>
      <c r="L61">
        <v>0</v>
      </c>
      <c r="M61" t="s">
        <v>4810</v>
      </c>
      <c r="N61" t="s">
        <v>4900</v>
      </c>
      <c r="O61" t="s">
        <v>4912</v>
      </c>
    </row>
    <row r="62" spans="1:15" x14ac:dyDescent="0.35">
      <c r="A62" t="s">
        <v>75</v>
      </c>
      <c r="B62">
        <v>32</v>
      </c>
      <c r="C62" t="s">
        <v>4803</v>
      </c>
      <c r="D62" t="s">
        <v>13</v>
      </c>
      <c r="E62">
        <v>73</v>
      </c>
      <c r="F62">
        <v>30</v>
      </c>
      <c r="G62" t="s">
        <v>4798</v>
      </c>
      <c r="H62" t="s">
        <v>4805</v>
      </c>
      <c r="I62">
        <v>13.99</v>
      </c>
      <c r="J62">
        <v>3</v>
      </c>
      <c r="K62">
        <v>2.4300000000000002</v>
      </c>
      <c r="L62">
        <v>0</v>
      </c>
      <c r="M62" t="s">
        <v>4811</v>
      </c>
      <c r="N62" t="s">
        <v>4900</v>
      </c>
      <c r="O62" t="s">
        <v>4912</v>
      </c>
    </row>
    <row r="63" spans="1:15" x14ac:dyDescent="0.35">
      <c r="A63" t="s">
        <v>76</v>
      </c>
      <c r="B63">
        <v>52</v>
      </c>
      <c r="C63" t="s">
        <v>4802</v>
      </c>
      <c r="D63" t="s">
        <v>15</v>
      </c>
      <c r="E63">
        <v>70</v>
      </c>
      <c r="F63">
        <v>48</v>
      </c>
      <c r="G63" t="s">
        <v>4798</v>
      </c>
      <c r="H63" t="s">
        <v>4805</v>
      </c>
      <c r="I63">
        <v>17.989999999999998</v>
      </c>
      <c r="J63">
        <v>2</v>
      </c>
      <c r="K63">
        <v>2.33</v>
      </c>
      <c r="L63">
        <v>0</v>
      </c>
      <c r="M63" t="s">
        <v>4809</v>
      </c>
      <c r="N63" t="s">
        <v>4900</v>
      </c>
      <c r="O63" t="s">
        <v>4910</v>
      </c>
    </row>
    <row r="64" spans="1:15" x14ac:dyDescent="0.35">
      <c r="A64" t="s">
        <v>77</v>
      </c>
      <c r="B64">
        <v>60</v>
      </c>
      <c r="C64" t="s">
        <v>4803</v>
      </c>
      <c r="D64" t="s">
        <v>15</v>
      </c>
      <c r="E64">
        <v>59</v>
      </c>
      <c r="F64">
        <v>18</v>
      </c>
      <c r="G64" t="s">
        <v>4798</v>
      </c>
      <c r="H64" t="s">
        <v>4805</v>
      </c>
      <c r="I64">
        <v>17.989999999999998</v>
      </c>
      <c r="J64">
        <v>2</v>
      </c>
      <c r="K64">
        <v>1.97</v>
      </c>
      <c r="L64">
        <v>1</v>
      </c>
      <c r="M64" t="s">
        <v>4811</v>
      </c>
      <c r="N64" t="s">
        <v>4899</v>
      </c>
      <c r="O64" t="s">
        <v>4911</v>
      </c>
    </row>
    <row r="65" spans="1:15" x14ac:dyDescent="0.35">
      <c r="A65" t="s">
        <v>78</v>
      </c>
      <c r="B65">
        <v>44</v>
      </c>
      <c r="C65" t="s">
        <v>4803</v>
      </c>
      <c r="D65" t="s">
        <v>13</v>
      </c>
      <c r="E65">
        <v>57</v>
      </c>
      <c r="F65" t="s">
        <v>4814</v>
      </c>
      <c r="G65" t="s">
        <v>4801</v>
      </c>
      <c r="H65" t="s">
        <v>4805</v>
      </c>
      <c r="I65">
        <v>13.99</v>
      </c>
      <c r="J65">
        <v>3</v>
      </c>
      <c r="K65">
        <v>1.9</v>
      </c>
      <c r="L65">
        <v>0</v>
      </c>
      <c r="M65" t="s">
        <v>4809</v>
      </c>
      <c r="N65" t="s">
        <v>4900</v>
      </c>
      <c r="O65" t="s">
        <v>4910</v>
      </c>
    </row>
    <row r="66" spans="1:15" x14ac:dyDescent="0.35">
      <c r="A66" t="s">
        <v>79</v>
      </c>
      <c r="B66">
        <v>38</v>
      </c>
      <c r="C66" t="s">
        <v>4803</v>
      </c>
      <c r="D66" t="s">
        <v>13</v>
      </c>
      <c r="E66">
        <v>38</v>
      </c>
      <c r="F66">
        <v>36</v>
      </c>
      <c r="G66" t="s">
        <v>4797</v>
      </c>
      <c r="H66" t="s">
        <v>4805</v>
      </c>
      <c r="I66">
        <v>13.99</v>
      </c>
      <c r="J66">
        <v>1</v>
      </c>
      <c r="K66">
        <v>1.27</v>
      </c>
      <c r="L66">
        <v>1</v>
      </c>
      <c r="M66" t="s">
        <v>4809</v>
      </c>
      <c r="N66" t="s">
        <v>4899</v>
      </c>
      <c r="O66" t="s">
        <v>4910</v>
      </c>
    </row>
    <row r="67" spans="1:15" x14ac:dyDescent="0.35">
      <c r="A67" t="s">
        <v>80</v>
      </c>
      <c r="B67">
        <v>59</v>
      </c>
      <c r="C67" t="s">
        <v>4803</v>
      </c>
      <c r="D67" t="s">
        <v>13</v>
      </c>
      <c r="E67">
        <v>31</v>
      </c>
      <c r="F67">
        <v>15</v>
      </c>
      <c r="G67" t="s">
        <v>4798</v>
      </c>
      <c r="H67" t="s">
        <v>4807</v>
      </c>
      <c r="I67">
        <v>13.99</v>
      </c>
      <c r="J67">
        <v>3</v>
      </c>
      <c r="K67">
        <v>1.03</v>
      </c>
      <c r="L67">
        <v>0</v>
      </c>
      <c r="M67" t="s">
        <v>4809</v>
      </c>
      <c r="N67" t="s">
        <v>4900</v>
      </c>
      <c r="O67" t="s">
        <v>4911</v>
      </c>
    </row>
    <row r="68" spans="1:15" x14ac:dyDescent="0.35">
      <c r="A68" t="s">
        <v>81</v>
      </c>
      <c r="B68">
        <v>63</v>
      </c>
      <c r="C68" t="s">
        <v>4803</v>
      </c>
      <c r="D68" t="s">
        <v>15</v>
      </c>
      <c r="E68">
        <v>102</v>
      </c>
      <c r="F68">
        <v>32</v>
      </c>
      <c r="G68" t="s">
        <v>4798</v>
      </c>
      <c r="H68" t="s">
        <v>4804</v>
      </c>
      <c r="I68">
        <v>17.989999999999998</v>
      </c>
      <c r="J68">
        <v>5</v>
      </c>
      <c r="K68">
        <v>3.4</v>
      </c>
      <c r="L68">
        <v>0</v>
      </c>
      <c r="M68" t="s">
        <v>4811</v>
      </c>
      <c r="N68" t="s">
        <v>4900</v>
      </c>
      <c r="O68" t="s">
        <v>4911</v>
      </c>
    </row>
    <row r="69" spans="1:15" x14ac:dyDescent="0.35">
      <c r="A69" t="s">
        <v>82</v>
      </c>
      <c r="B69">
        <v>65</v>
      </c>
      <c r="C69" t="s">
        <v>4803</v>
      </c>
      <c r="D69" t="s">
        <v>13</v>
      </c>
      <c r="E69">
        <v>35</v>
      </c>
      <c r="F69">
        <v>2</v>
      </c>
      <c r="G69" t="s">
        <v>4797</v>
      </c>
      <c r="H69" t="s">
        <v>4806</v>
      </c>
      <c r="I69">
        <v>13.99</v>
      </c>
      <c r="J69">
        <v>2</v>
      </c>
      <c r="K69">
        <v>1.17</v>
      </c>
      <c r="L69">
        <v>0</v>
      </c>
      <c r="M69" t="s">
        <v>4811</v>
      </c>
      <c r="N69" t="s">
        <v>4900</v>
      </c>
      <c r="O69" t="s">
        <v>4911</v>
      </c>
    </row>
    <row r="70" spans="1:15" x14ac:dyDescent="0.35">
      <c r="A70" t="s">
        <v>83</v>
      </c>
      <c r="B70">
        <v>54</v>
      </c>
      <c r="C70" t="s">
        <v>4802</v>
      </c>
      <c r="D70" t="s">
        <v>13</v>
      </c>
      <c r="E70">
        <v>64</v>
      </c>
      <c r="F70">
        <v>3</v>
      </c>
      <c r="G70" t="s">
        <v>4801</v>
      </c>
      <c r="H70" t="s">
        <v>4806</v>
      </c>
      <c r="I70">
        <v>13.99</v>
      </c>
      <c r="J70">
        <v>1</v>
      </c>
      <c r="K70">
        <v>2.13</v>
      </c>
      <c r="L70">
        <v>0</v>
      </c>
      <c r="M70" t="s">
        <v>4812</v>
      </c>
      <c r="N70" t="s">
        <v>4900</v>
      </c>
      <c r="O70" t="s">
        <v>4910</v>
      </c>
    </row>
    <row r="71" spans="1:15" x14ac:dyDescent="0.35">
      <c r="A71" t="s">
        <v>84</v>
      </c>
      <c r="B71">
        <v>58</v>
      </c>
      <c r="C71" t="s">
        <v>4802</v>
      </c>
      <c r="D71" t="s">
        <v>13</v>
      </c>
      <c r="E71">
        <v>77</v>
      </c>
      <c r="F71">
        <v>30</v>
      </c>
      <c r="G71" t="s">
        <v>4799</v>
      </c>
      <c r="H71" t="s">
        <v>4805</v>
      </c>
      <c r="I71">
        <v>13.99</v>
      </c>
      <c r="J71">
        <v>2</v>
      </c>
      <c r="K71">
        <v>2.57</v>
      </c>
      <c r="L71">
        <v>0</v>
      </c>
      <c r="M71" t="s">
        <v>4808</v>
      </c>
      <c r="N71" t="s">
        <v>4900</v>
      </c>
      <c r="O71" t="s">
        <v>4911</v>
      </c>
    </row>
    <row r="72" spans="1:15" x14ac:dyDescent="0.35">
      <c r="A72" t="s">
        <v>85</v>
      </c>
      <c r="B72">
        <v>46</v>
      </c>
      <c r="C72" t="s">
        <v>4803</v>
      </c>
      <c r="D72" t="s">
        <v>13</v>
      </c>
      <c r="E72">
        <v>55</v>
      </c>
      <c r="F72">
        <v>45</v>
      </c>
      <c r="G72" t="s">
        <v>4797</v>
      </c>
      <c r="H72" t="s">
        <v>4805</v>
      </c>
      <c r="I72">
        <v>13.99</v>
      </c>
      <c r="J72">
        <v>1</v>
      </c>
      <c r="K72">
        <v>1.83</v>
      </c>
      <c r="L72">
        <v>0</v>
      </c>
      <c r="M72" t="s">
        <v>4808</v>
      </c>
      <c r="N72" t="s">
        <v>4900</v>
      </c>
      <c r="O72" t="s">
        <v>4910</v>
      </c>
    </row>
    <row r="73" spans="1:15" x14ac:dyDescent="0.35">
      <c r="A73" t="s">
        <v>86</v>
      </c>
      <c r="B73">
        <v>63</v>
      </c>
      <c r="C73" t="s">
        <v>4803</v>
      </c>
      <c r="D73" t="s">
        <v>13</v>
      </c>
      <c r="E73">
        <v>46</v>
      </c>
      <c r="F73">
        <v>30</v>
      </c>
      <c r="G73" t="s">
        <v>4799</v>
      </c>
      <c r="H73" t="s">
        <v>4806</v>
      </c>
      <c r="I73">
        <v>13.99</v>
      </c>
      <c r="J73">
        <v>4</v>
      </c>
      <c r="K73">
        <v>1.53</v>
      </c>
      <c r="L73">
        <v>1</v>
      </c>
      <c r="M73" t="s">
        <v>4809</v>
      </c>
      <c r="N73" t="s">
        <v>4899</v>
      </c>
      <c r="O73" t="s">
        <v>4911</v>
      </c>
    </row>
    <row r="74" spans="1:15" x14ac:dyDescent="0.35">
      <c r="A74" t="s">
        <v>87</v>
      </c>
      <c r="B74">
        <v>50</v>
      </c>
      <c r="C74" t="s">
        <v>4803</v>
      </c>
      <c r="D74" t="s">
        <v>13</v>
      </c>
      <c r="E74">
        <v>53</v>
      </c>
      <c r="F74">
        <v>34</v>
      </c>
      <c r="G74" t="s">
        <v>4800</v>
      </c>
      <c r="H74" t="s">
        <v>4805</v>
      </c>
      <c r="I74">
        <v>13.99</v>
      </c>
      <c r="J74">
        <v>4</v>
      </c>
      <c r="K74">
        <v>1.77</v>
      </c>
      <c r="L74">
        <v>0</v>
      </c>
      <c r="M74" t="s">
        <v>4808</v>
      </c>
      <c r="N74" t="s">
        <v>4900</v>
      </c>
      <c r="O74" t="s">
        <v>4910</v>
      </c>
    </row>
    <row r="75" spans="1:15" x14ac:dyDescent="0.35">
      <c r="A75" t="s">
        <v>88</v>
      </c>
      <c r="B75">
        <v>27</v>
      </c>
      <c r="C75" t="s">
        <v>4803</v>
      </c>
      <c r="D75" t="s">
        <v>13</v>
      </c>
      <c r="E75">
        <v>67</v>
      </c>
      <c r="F75">
        <v>0</v>
      </c>
      <c r="G75" t="s">
        <v>4797</v>
      </c>
      <c r="H75" t="s">
        <v>4805</v>
      </c>
      <c r="I75">
        <v>13.99</v>
      </c>
      <c r="J75">
        <v>4</v>
      </c>
      <c r="K75">
        <v>5</v>
      </c>
      <c r="L75">
        <v>0</v>
      </c>
      <c r="M75" t="s">
        <v>4810</v>
      </c>
      <c r="N75" t="s">
        <v>4900</v>
      </c>
      <c r="O75" t="s">
        <v>4912</v>
      </c>
    </row>
    <row r="76" spans="1:15" x14ac:dyDescent="0.35">
      <c r="A76" t="s">
        <v>89</v>
      </c>
      <c r="B76">
        <v>42</v>
      </c>
      <c r="C76" t="s">
        <v>4803</v>
      </c>
      <c r="D76" t="s">
        <v>14</v>
      </c>
      <c r="E76">
        <v>22</v>
      </c>
      <c r="F76">
        <v>9</v>
      </c>
      <c r="G76" t="s">
        <v>4798</v>
      </c>
      <c r="H76" t="s">
        <v>4805</v>
      </c>
      <c r="I76">
        <v>8.99</v>
      </c>
      <c r="J76">
        <v>1</v>
      </c>
      <c r="K76">
        <v>5</v>
      </c>
      <c r="L76">
        <v>0</v>
      </c>
      <c r="M76" t="s">
        <v>4809</v>
      </c>
      <c r="N76" t="s">
        <v>4900</v>
      </c>
      <c r="O76" t="s">
        <v>4910</v>
      </c>
    </row>
    <row r="77" spans="1:15" x14ac:dyDescent="0.35">
      <c r="A77" t="s">
        <v>90</v>
      </c>
      <c r="B77">
        <v>45</v>
      </c>
      <c r="C77" t="s">
        <v>4802</v>
      </c>
      <c r="D77" t="s">
        <v>14</v>
      </c>
      <c r="E77">
        <v>19</v>
      </c>
      <c r="F77">
        <v>29</v>
      </c>
      <c r="G77" t="s">
        <v>4799</v>
      </c>
      <c r="H77" t="s">
        <v>4806</v>
      </c>
      <c r="I77">
        <v>8.99</v>
      </c>
      <c r="J77">
        <v>2</v>
      </c>
      <c r="K77">
        <v>0.63</v>
      </c>
      <c r="L77">
        <v>1</v>
      </c>
      <c r="M77" t="s">
        <v>4809</v>
      </c>
      <c r="N77" t="s">
        <v>4899</v>
      </c>
      <c r="O77" t="s">
        <v>4910</v>
      </c>
    </row>
    <row r="78" spans="1:15" x14ac:dyDescent="0.35">
      <c r="A78" t="s">
        <v>91</v>
      </c>
      <c r="B78">
        <v>31</v>
      </c>
      <c r="C78" t="s">
        <v>4803</v>
      </c>
      <c r="D78" t="s">
        <v>15</v>
      </c>
      <c r="E78">
        <v>97</v>
      </c>
      <c r="F78">
        <v>43</v>
      </c>
      <c r="G78" t="s">
        <v>4798</v>
      </c>
      <c r="H78" t="s">
        <v>4805</v>
      </c>
      <c r="I78">
        <v>17.989999999999998</v>
      </c>
      <c r="J78">
        <v>3</v>
      </c>
      <c r="K78">
        <v>3.23</v>
      </c>
      <c r="L78">
        <v>0</v>
      </c>
      <c r="M78" t="s">
        <v>4808</v>
      </c>
      <c r="N78" t="s">
        <v>4900</v>
      </c>
      <c r="O78" t="s">
        <v>4912</v>
      </c>
    </row>
    <row r="79" spans="1:15" x14ac:dyDescent="0.35">
      <c r="A79" t="s">
        <v>92</v>
      </c>
      <c r="B79">
        <v>39</v>
      </c>
      <c r="C79" t="s">
        <v>4803</v>
      </c>
      <c r="D79" t="s">
        <v>13</v>
      </c>
      <c r="E79">
        <v>60</v>
      </c>
      <c r="F79">
        <v>25</v>
      </c>
      <c r="G79" t="s">
        <v>4797</v>
      </c>
      <c r="H79" t="s">
        <v>4804</v>
      </c>
      <c r="I79">
        <v>13.99</v>
      </c>
      <c r="J79">
        <v>3</v>
      </c>
      <c r="K79">
        <v>2</v>
      </c>
      <c r="L79">
        <v>1</v>
      </c>
      <c r="M79" t="s">
        <v>4811</v>
      </c>
      <c r="N79" t="s">
        <v>4899</v>
      </c>
      <c r="O79" t="s">
        <v>4910</v>
      </c>
    </row>
    <row r="80" spans="1:15" x14ac:dyDescent="0.35">
      <c r="A80" t="s">
        <v>93</v>
      </c>
      <c r="B80">
        <v>55</v>
      </c>
      <c r="C80" t="s">
        <v>4802</v>
      </c>
      <c r="D80" t="s">
        <v>15</v>
      </c>
      <c r="E80">
        <v>52</v>
      </c>
      <c r="F80">
        <v>6</v>
      </c>
      <c r="G80" t="s">
        <v>4798</v>
      </c>
      <c r="H80" t="s">
        <v>4806</v>
      </c>
      <c r="I80">
        <v>17.989999999999998</v>
      </c>
      <c r="J80">
        <v>5</v>
      </c>
      <c r="K80">
        <v>1.73</v>
      </c>
      <c r="L80">
        <v>0</v>
      </c>
      <c r="M80" t="s">
        <v>4812</v>
      </c>
      <c r="N80" t="s">
        <v>4900</v>
      </c>
      <c r="O80" t="s">
        <v>4911</v>
      </c>
    </row>
    <row r="81" spans="1:15" x14ac:dyDescent="0.35">
      <c r="A81" t="s">
        <v>94</v>
      </c>
      <c r="B81">
        <v>27</v>
      </c>
      <c r="C81" t="s">
        <v>4803</v>
      </c>
      <c r="D81" t="s">
        <v>13</v>
      </c>
      <c r="E81">
        <v>34</v>
      </c>
      <c r="F81">
        <v>15</v>
      </c>
      <c r="G81" t="s">
        <v>4797</v>
      </c>
      <c r="H81" t="s">
        <v>4805</v>
      </c>
      <c r="I81">
        <v>13.99</v>
      </c>
      <c r="J81">
        <v>4</v>
      </c>
      <c r="K81">
        <v>1.1299999999999999</v>
      </c>
      <c r="L81">
        <v>0</v>
      </c>
      <c r="M81" t="s">
        <v>4811</v>
      </c>
      <c r="N81" t="s">
        <v>4900</v>
      </c>
      <c r="O81" t="s">
        <v>4912</v>
      </c>
    </row>
    <row r="82" spans="1:15" x14ac:dyDescent="0.35">
      <c r="A82" t="s">
        <v>95</v>
      </c>
      <c r="B82">
        <v>29</v>
      </c>
      <c r="C82" t="s">
        <v>4803</v>
      </c>
      <c r="D82" t="s">
        <v>13</v>
      </c>
      <c r="E82">
        <v>56</v>
      </c>
      <c r="F82">
        <v>9</v>
      </c>
      <c r="G82" t="s">
        <v>4798</v>
      </c>
      <c r="H82" t="s">
        <v>4804</v>
      </c>
      <c r="I82">
        <v>13.99</v>
      </c>
      <c r="J82">
        <v>3</v>
      </c>
      <c r="K82">
        <v>1.87</v>
      </c>
      <c r="L82">
        <v>0</v>
      </c>
      <c r="M82" t="s">
        <v>4812</v>
      </c>
      <c r="N82" t="s">
        <v>4900</v>
      </c>
      <c r="O82" t="s">
        <v>4912</v>
      </c>
    </row>
    <row r="83" spans="1:15" x14ac:dyDescent="0.35">
      <c r="A83" t="s">
        <v>96</v>
      </c>
      <c r="B83">
        <v>58</v>
      </c>
      <c r="C83" t="s">
        <v>4802</v>
      </c>
      <c r="D83" t="s">
        <v>13</v>
      </c>
      <c r="E83">
        <v>66</v>
      </c>
      <c r="F83">
        <v>8</v>
      </c>
      <c r="G83" t="s">
        <v>4799</v>
      </c>
      <c r="H83" t="s">
        <v>4804</v>
      </c>
      <c r="I83">
        <v>13.99</v>
      </c>
      <c r="J83">
        <v>2</v>
      </c>
      <c r="K83">
        <v>2.2000000000000002</v>
      </c>
      <c r="L83">
        <v>0</v>
      </c>
      <c r="M83" t="s">
        <v>4812</v>
      </c>
      <c r="N83" t="s">
        <v>4900</v>
      </c>
      <c r="O83" t="s">
        <v>4911</v>
      </c>
    </row>
    <row r="84" spans="1:15" x14ac:dyDescent="0.35">
      <c r="A84" t="s">
        <v>97</v>
      </c>
      <c r="B84">
        <v>54</v>
      </c>
      <c r="C84" t="s">
        <v>4802</v>
      </c>
      <c r="D84" t="s">
        <v>13</v>
      </c>
      <c r="E84">
        <v>61</v>
      </c>
      <c r="F84">
        <v>42</v>
      </c>
      <c r="G84" t="s">
        <v>4798</v>
      </c>
      <c r="H84" t="s">
        <v>4805</v>
      </c>
      <c r="I84">
        <v>13.99</v>
      </c>
      <c r="J84">
        <v>1</v>
      </c>
      <c r="K84">
        <v>2.0299999999999998</v>
      </c>
      <c r="L84">
        <v>0</v>
      </c>
      <c r="M84" t="s">
        <v>4809</v>
      </c>
      <c r="N84" t="s">
        <v>4900</v>
      </c>
      <c r="O84" t="s">
        <v>4910</v>
      </c>
    </row>
    <row r="85" spans="1:15" x14ac:dyDescent="0.35">
      <c r="A85" t="s">
        <v>98</v>
      </c>
      <c r="B85">
        <v>43</v>
      </c>
      <c r="C85" t="s">
        <v>4803</v>
      </c>
      <c r="D85" t="s">
        <v>13</v>
      </c>
      <c r="E85">
        <v>80</v>
      </c>
      <c r="F85">
        <v>14</v>
      </c>
      <c r="G85" t="s">
        <v>4797</v>
      </c>
      <c r="H85" t="s">
        <v>4805</v>
      </c>
      <c r="I85">
        <v>13.99</v>
      </c>
      <c r="J85">
        <v>3</v>
      </c>
      <c r="K85">
        <v>2.67</v>
      </c>
      <c r="L85">
        <v>0</v>
      </c>
      <c r="M85" t="s">
        <v>4809</v>
      </c>
      <c r="N85" t="s">
        <v>4900</v>
      </c>
      <c r="O85" t="s">
        <v>4910</v>
      </c>
    </row>
    <row r="86" spans="1:15" x14ac:dyDescent="0.35">
      <c r="A86" t="s">
        <v>99</v>
      </c>
      <c r="B86">
        <v>56</v>
      </c>
      <c r="C86" t="s">
        <v>4803</v>
      </c>
      <c r="D86" t="s">
        <v>15</v>
      </c>
      <c r="E86">
        <v>80</v>
      </c>
      <c r="F86">
        <v>35</v>
      </c>
      <c r="G86" t="s">
        <v>4799</v>
      </c>
      <c r="H86" t="s">
        <v>4804</v>
      </c>
      <c r="I86">
        <v>17.989999999999998</v>
      </c>
      <c r="J86">
        <v>5</v>
      </c>
      <c r="K86">
        <v>2.67</v>
      </c>
      <c r="L86">
        <v>0</v>
      </c>
      <c r="M86" t="s">
        <v>4809</v>
      </c>
      <c r="N86" t="s">
        <v>4900</v>
      </c>
      <c r="O86" t="s">
        <v>4911</v>
      </c>
    </row>
    <row r="87" spans="1:15" x14ac:dyDescent="0.35">
      <c r="A87" t="s">
        <v>100</v>
      </c>
      <c r="B87">
        <v>43</v>
      </c>
      <c r="C87" t="s">
        <v>4802</v>
      </c>
      <c r="D87" t="s">
        <v>13</v>
      </c>
      <c r="E87">
        <v>57</v>
      </c>
      <c r="F87">
        <v>58</v>
      </c>
      <c r="G87" t="s">
        <v>4799</v>
      </c>
      <c r="H87" t="s">
        <v>4805</v>
      </c>
      <c r="I87">
        <v>13.99</v>
      </c>
      <c r="J87">
        <v>1</v>
      </c>
      <c r="K87">
        <v>1.9</v>
      </c>
      <c r="L87">
        <v>0</v>
      </c>
      <c r="M87" t="s">
        <v>4811</v>
      </c>
      <c r="N87" t="s">
        <v>4900</v>
      </c>
      <c r="O87" t="s">
        <v>4910</v>
      </c>
    </row>
    <row r="88" spans="1:15" x14ac:dyDescent="0.35">
      <c r="A88" t="s">
        <v>101</v>
      </c>
      <c r="B88">
        <v>41</v>
      </c>
      <c r="C88" t="s">
        <v>4803</v>
      </c>
      <c r="D88" t="s">
        <v>15</v>
      </c>
      <c r="E88">
        <v>108</v>
      </c>
      <c r="F88">
        <v>20</v>
      </c>
      <c r="G88" t="s">
        <v>4799</v>
      </c>
      <c r="H88" t="s">
        <v>4804</v>
      </c>
      <c r="I88">
        <v>17.989999999999998</v>
      </c>
      <c r="J88">
        <v>2</v>
      </c>
      <c r="K88">
        <v>3.6</v>
      </c>
      <c r="L88">
        <v>1</v>
      </c>
      <c r="M88" t="s">
        <v>4809</v>
      </c>
      <c r="N88" t="s">
        <v>4899</v>
      </c>
      <c r="O88" t="s">
        <v>4910</v>
      </c>
    </row>
    <row r="89" spans="1:15" x14ac:dyDescent="0.35">
      <c r="A89" t="s">
        <v>102</v>
      </c>
      <c r="B89">
        <v>50</v>
      </c>
      <c r="C89" t="s">
        <v>4802</v>
      </c>
      <c r="D89" t="s">
        <v>13</v>
      </c>
      <c r="E89">
        <v>77</v>
      </c>
      <c r="F89">
        <v>1</v>
      </c>
      <c r="G89" t="s">
        <v>4799</v>
      </c>
      <c r="H89" t="s">
        <v>4804</v>
      </c>
      <c r="I89">
        <v>13.99</v>
      </c>
      <c r="J89">
        <v>3</v>
      </c>
      <c r="K89">
        <v>2.57</v>
      </c>
      <c r="L89">
        <v>0</v>
      </c>
      <c r="M89" t="s">
        <v>4812</v>
      </c>
      <c r="N89" t="s">
        <v>4900</v>
      </c>
      <c r="O89" t="s">
        <v>4910</v>
      </c>
    </row>
    <row r="90" spans="1:15" x14ac:dyDescent="0.35">
      <c r="A90" t="s">
        <v>103</v>
      </c>
      <c r="B90">
        <v>57</v>
      </c>
      <c r="C90" t="s">
        <v>4802</v>
      </c>
      <c r="D90" t="s">
        <v>13</v>
      </c>
      <c r="E90">
        <v>47</v>
      </c>
      <c r="F90">
        <v>21</v>
      </c>
      <c r="G90" t="s">
        <v>4798</v>
      </c>
      <c r="H90" t="s">
        <v>4805</v>
      </c>
      <c r="I90">
        <v>13.99</v>
      </c>
      <c r="J90">
        <v>3</v>
      </c>
      <c r="K90">
        <v>1.57</v>
      </c>
      <c r="L90">
        <v>0</v>
      </c>
      <c r="M90" t="s">
        <v>4810</v>
      </c>
      <c r="N90" t="s">
        <v>4900</v>
      </c>
      <c r="O90" t="s">
        <v>4911</v>
      </c>
    </row>
    <row r="91" spans="1:15" x14ac:dyDescent="0.35">
      <c r="A91" t="s">
        <v>104</v>
      </c>
      <c r="B91">
        <v>34</v>
      </c>
      <c r="C91" t="s">
        <v>4803</v>
      </c>
      <c r="D91" t="s">
        <v>13</v>
      </c>
      <c r="E91">
        <v>69</v>
      </c>
      <c r="F91">
        <v>29</v>
      </c>
      <c r="G91" t="s">
        <v>4798</v>
      </c>
      <c r="H91" t="s">
        <v>4806</v>
      </c>
      <c r="I91">
        <v>13.99</v>
      </c>
      <c r="J91">
        <v>1</v>
      </c>
      <c r="K91">
        <v>2.2999999999999998</v>
      </c>
      <c r="L91">
        <v>0</v>
      </c>
      <c r="M91" t="s">
        <v>4811</v>
      </c>
      <c r="N91" t="s">
        <v>4900</v>
      </c>
      <c r="O91" t="s">
        <v>4912</v>
      </c>
    </row>
    <row r="92" spans="1:15" x14ac:dyDescent="0.35">
      <c r="A92" t="s">
        <v>105</v>
      </c>
      <c r="B92">
        <v>39</v>
      </c>
      <c r="C92" t="s">
        <v>4803</v>
      </c>
      <c r="D92" t="s">
        <v>13</v>
      </c>
      <c r="E92">
        <v>59</v>
      </c>
      <c r="F92">
        <v>22</v>
      </c>
      <c r="G92" t="s">
        <v>4797</v>
      </c>
      <c r="H92" t="s">
        <v>4806</v>
      </c>
      <c r="I92">
        <v>13.99</v>
      </c>
      <c r="J92">
        <v>4</v>
      </c>
      <c r="K92">
        <v>1.97</v>
      </c>
      <c r="L92">
        <v>0</v>
      </c>
      <c r="M92" t="s">
        <v>4812</v>
      </c>
      <c r="N92" t="s">
        <v>4900</v>
      </c>
      <c r="O92" t="s">
        <v>4910</v>
      </c>
    </row>
    <row r="93" spans="1:15" x14ac:dyDescent="0.35">
      <c r="A93" t="s">
        <v>106</v>
      </c>
      <c r="B93">
        <v>26</v>
      </c>
      <c r="C93" t="s">
        <v>4802</v>
      </c>
      <c r="D93" t="s">
        <v>13</v>
      </c>
      <c r="E93">
        <v>49</v>
      </c>
      <c r="F93">
        <v>3</v>
      </c>
      <c r="G93" t="s">
        <v>4798</v>
      </c>
      <c r="H93" t="s">
        <v>4806</v>
      </c>
      <c r="I93">
        <v>13.99</v>
      </c>
      <c r="J93">
        <v>1</v>
      </c>
      <c r="K93">
        <v>1.63</v>
      </c>
      <c r="L93">
        <v>0</v>
      </c>
      <c r="M93" t="s">
        <v>4809</v>
      </c>
      <c r="N93" t="s">
        <v>4900</v>
      </c>
      <c r="O93" t="s">
        <v>4912</v>
      </c>
    </row>
    <row r="94" spans="1:15" x14ac:dyDescent="0.35">
      <c r="A94" t="s">
        <v>107</v>
      </c>
      <c r="B94">
        <v>50</v>
      </c>
      <c r="C94" t="s">
        <v>4802</v>
      </c>
      <c r="D94" t="s">
        <v>14</v>
      </c>
      <c r="E94">
        <v>31</v>
      </c>
      <c r="F94">
        <v>2</v>
      </c>
      <c r="G94" t="s">
        <v>4798</v>
      </c>
      <c r="H94" t="s">
        <v>4804</v>
      </c>
      <c r="I94">
        <v>8.99</v>
      </c>
      <c r="J94">
        <v>1</v>
      </c>
      <c r="K94">
        <v>1.03</v>
      </c>
      <c r="L94">
        <v>0</v>
      </c>
      <c r="M94" t="s">
        <v>4809</v>
      </c>
      <c r="N94" t="s">
        <v>4900</v>
      </c>
      <c r="O94" t="s">
        <v>4910</v>
      </c>
    </row>
    <row r="95" spans="1:15" x14ac:dyDescent="0.35">
      <c r="A95" t="s">
        <v>108</v>
      </c>
      <c r="B95">
        <v>43</v>
      </c>
      <c r="C95" t="s">
        <v>4802</v>
      </c>
      <c r="D95" t="s">
        <v>13</v>
      </c>
      <c r="E95">
        <v>38</v>
      </c>
      <c r="F95">
        <v>56</v>
      </c>
      <c r="G95" t="s">
        <v>4797</v>
      </c>
      <c r="H95" t="s">
        <v>4806</v>
      </c>
      <c r="I95">
        <v>13.99</v>
      </c>
      <c r="J95">
        <v>4</v>
      </c>
      <c r="K95">
        <v>1.27</v>
      </c>
      <c r="L95">
        <v>0</v>
      </c>
      <c r="M95" t="s">
        <v>4809</v>
      </c>
      <c r="N95" t="s">
        <v>4900</v>
      </c>
      <c r="O95" t="s">
        <v>4910</v>
      </c>
    </row>
    <row r="96" spans="1:15" x14ac:dyDescent="0.35">
      <c r="A96" t="s">
        <v>109</v>
      </c>
      <c r="B96">
        <v>28</v>
      </c>
      <c r="C96" t="s">
        <v>4802</v>
      </c>
      <c r="D96" t="s">
        <v>15</v>
      </c>
      <c r="E96">
        <v>58</v>
      </c>
      <c r="F96">
        <v>31</v>
      </c>
      <c r="G96" t="s">
        <v>4799</v>
      </c>
      <c r="H96" t="s">
        <v>4805</v>
      </c>
      <c r="I96">
        <v>17.989999999999998</v>
      </c>
      <c r="J96">
        <v>2</v>
      </c>
      <c r="K96">
        <v>1.93</v>
      </c>
      <c r="L96">
        <v>0</v>
      </c>
      <c r="M96" t="s">
        <v>4812</v>
      </c>
      <c r="N96" t="s">
        <v>4900</v>
      </c>
      <c r="O96" t="s">
        <v>4912</v>
      </c>
    </row>
    <row r="97" spans="1:15" x14ac:dyDescent="0.35">
      <c r="A97" t="s">
        <v>110</v>
      </c>
      <c r="B97">
        <v>56</v>
      </c>
      <c r="C97" t="s">
        <v>4803</v>
      </c>
      <c r="D97" t="s">
        <v>13</v>
      </c>
      <c r="E97">
        <v>48</v>
      </c>
      <c r="F97">
        <v>4</v>
      </c>
      <c r="G97" t="s">
        <v>4799</v>
      </c>
      <c r="H97" t="s">
        <v>4805</v>
      </c>
      <c r="I97">
        <v>13.99</v>
      </c>
      <c r="J97">
        <v>1</v>
      </c>
      <c r="K97">
        <v>1.6</v>
      </c>
      <c r="L97">
        <v>0</v>
      </c>
      <c r="M97" t="s">
        <v>4808</v>
      </c>
      <c r="N97" t="s">
        <v>4900</v>
      </c>
      <c r="O97" t="s">
        <v>4911</v>
      </c>
    </row>
    <row r="98" spans="1:15" x14ac:dyDescent="0.35">
      <c r="A98" t="s">
        <v>111</v>
      </c>
      <c r="B98">
        <v>46</v>
      </c>
      <c r="C98" t="s">
        <v>4803</v>
      </c>
      <c r="D98" t="s">
        <v>13</v>
      </c>
      <c r="E98">
        <v>75</v>
      </c>
      <c r="F98">
        <v>51</v>
      </c>
      <c r="G98" t="s">
        <v>4800</v>
      </c>
      <c r="H98" t="s">
        <v>4806</v>
      </c>
      <c r="I98">
        <v>13.99</v>
      </c>
      <c r="J98">
        <v>3</v>
      </c>
      <c r="K98">
        <v>2.5</v>
      </c>
      <c r="L98">
        <v>0</v>
      </c>
      <c r="M98" t="s">
        <v>4812</v>
      </c>
      <c r="N98" t="s">
        <v>4900</v>
      </c>
      <c r="O98" t="s">
        <v>4910</v>
      </c>
    </row>
    <row r="99" spans="1:15" x14ac:dyDescent="0.35">
      <c r="A99" t="s">
        <v>112</v>
      </c>
      <c r="B99">
        <v>58</v>
      </c>
      <c r="C99" t="s">
        <v>4802</v>
      </c>
      <c r="D99" t="s">
        <v>13</v>
      </c>
      <c r="E99">
        <v>76</v>
      </c>
      <c r="F99">
        <v>19</v>
      </c>
      <c r="G99" t="s">
        <v>4798</v>
      </c>
      <c r="H99" t="s">
        <v>4806</v>
      </c>
      <c r="I99">
        <v>13.99</v>
      </c>
      <c r="J99">
        <v>4</v>
      </c>
      <c r="K99">
        <v>2.5299999999999998</v>
      </c>
      <c r="L99">
        <v>0</v>
      </c>
      <c r="M99" t="s">
        <v>4810</v>
      </c>
      <c r="N99" t="s">
        <v>4900</v>
      </c>
      <c r="O99" t="s">
        <v>4911</v>
      </c>
    </row>
    <row r="100" spans="1:15" x14ac:dyDescent="0.35">
      <c r="A100" t="s">
        <v>113</v>
      </c>
      <c r="B100">
        <v>63</v>
      </c>
      <c r="C100" t="s">
        <v>4802</v>
      </c>
      <c r="D100" t="s">
        <v>13</v>
      </c>
      <c r="E100">
        <v>48</v>
      </c>
      <c r="F100">
        <v>12</v>
      </c>
      <c r="G100" t="s">
        <v>4797</v>
      </c>
      <c r="H100" t="s">
        <v>4806</v>
      </c>
      <c r="I100">
        <v>13.99</v>
      </c>
      <c r="J100">
        <v>4</v>
      </c>
      <c r="K100">
        <v>2.0299999999999998</v>
      </c>
      <c r="L100">
        <v>0</v>
      </c>
      <c r="M100" t="s">
        <v>4809</v>
      </c>
      <c r="N100" t="s">
        <v>4900</v>
      </c>
      <c r="O100" t="s">
        <v>4911</v>
      </c>
    </row>
    <row r="101" spans="1:15" x14ac:dyDescent="0.35">
      <c r="A101" t="s">
        <v>114</v>
      </c>
      <c r="B101">
        <v>47</v>
      </c>
      <c r="C101" t="s">
        <v>4803</v>
      </c>
      <c r="D101" t="s">
        <v>13</v>
      </c>
      <c r="E101">
        <v>40</v>
      </c>
      <c r="F101">
        <v>9</v>
      </c>
      <c r="G101" t="s">
        <v>4799</v>
      </c>
      <c r="H101" t="s">
        <v>4804</v>
      </c>
      <c r="I101">
        <v>13.99</v>
      </c>
      <c r="J101">
        <v>1</v>
      </c>
      <c r="K101">
        <v>1.33</v>
      </c>
      <c r="L101">
        <v>0</v>
      </c>
      <c r="M101" t="s">
        <v>4812</v>
      </c>
      <c r="N101" t="s">
        <v>4900</v>
      </c>
      <c r="O101" t="s">
        <v>4910</v>
      </c>
    </row>
    <row r="102" spans="1:15" x14ac:dyDescent="0.35">
      <c r="A102" t="s">
        <v>115</v>
      </c>
      <c r="B102">
        <v>39</v>
      </c>
      <c r="C102" t="s">
        <v>4803</v>
      </c>
      <c r="D102" t="s">
        <v>15</v>
      </c>
      <c r="E102">
        <v>94</v>
      </c>
      <c r="F102">
        <v>56</v>
      </c>
      <c r="G102" t="s">
        <v>4798</v>
      </c>
      <c r="H102" t="s">
        <v>4805</v>
      </c>
      <c r="I102">
        <v>17.989999999999998</v>
      </c>
      <c r="J102">
        <v>4</v>
      </c>
      <c r="K102">
        <v>3.13</v>
      </c>
      <c r="L102">
        <v>0</v>
      </c>
      <c r="M102" t="s">
        <v>4812</v>
      </c>
      <c r="N102" t="s">
        <v>4900</v>
      </c>
      <c r="O102" t="s">
        <v>4910</v>
      </c>
    </row>
    <row r="103" spans="1:15" x14ac:dyDescent="0.35">
      <c r="A103" t="s">
        <v>116</v>
      </c>
      <c r="B103">
        <v>40</v>
      </c>
      <c r="C103" t="s">
        <v>4802</v>
      </c>
      <c r="D103" t="s">
        <v>15</v>
      </c>
      <c r="E103">
        <v>112</v>
      </c>
      <c r="F103">
        <v>58</v>
      </c>
      <c r="G103" t="s">
        <v>4797</v>
      </c>
      <c r="H103" t="s">
        <v>4804</v>
      </c>
      <c r="I103">
        <v>17.989999999999998</v>
      </c>
      <c r="J103">
        <v>3</v>
      </c>
      <c r="K103">
        <v>3.73</v>
      </c>
      <c r="L103">
        <v>0</v>
      </c>
      <c r="M103" t="s">
        <v>4808</v>
      </c>
      <c r="N103" t="s">
        <v>4900</v>
      </c>
      <c r="O103" t="s">
        <v>4910</v>
      </c>
    </row>
    <row r="104" spans="1:15" x14ac:dyDescent="0.35">
      <c r="A104" t="s">
        <v>117</v>
      </c>
      <c r="B104">
        <v>60</v>
      </c>
      <c r="C104" t="s">
        <v>4802</v>
      </c>
      <c r="D104" t="s">
        <v>13</v>
      </c>
      <c r="E104">
        <v>72</v>
      </c>
      <c r="F104">
        <v>5</v>
      </c>
      <c r="G104" t="s">
        <v>4799</v>
      </c>
      <c r="H104" t="s">
        <v>4805</v>
      </c>
      <c r="I104">
        <v>13.99</v>
      </c>
      <c r="J104">
        <v>2</v>
      </c>
      <c r="K104">
        <v>2.4</v>
      </c>
      <c r="L104">
        <v>0</v>
      </c>
      <c r="M104" t="s">
        <v>4812</v>
      </c>
      <c r="N104" t="s">
        <v>4900</v>
      </c>
      <c r="O104" t="s">
        <v>4911</v>
      </c>
    </row>
    <row r="105" spans="1:15" x14ac:dyDescent="0.35">
      <c r="A105" t="s">
        <v>118</v>
      </c>
      <c r="B105">
        <v>64</v>
      </c>
      <c r="C105" t="s">
        <v>4803</v>
      </c>
      <c r="D105" t="s">
        <v>15</v>
      </c>
      <c r="E105">
        <v>67</v>
      </c>
      <c r="F105">
        <v>37</v>
      </c>
      <c r="G105" t="s">
        <v>4797</v>
      </c>
      <c r="H105" t="s">
        <v>4804</v>
      </c>
      <c r="I105">
        <v>17.989999999999998</v>
      </c>
      <c r="J105">
        <v>4</v>
      </c>
      <c r="K105">
        <v>2.23</v>
      </c>
      <c r="L105">
        <v>1</v>
      </c>
      <c r="M105" t="s">
        <v>4808</v>
      </c>
      <c r="N105" t="s">
        <v>4899</v>
      </c>
      <c r="O105" t="s">
        <v>4911</v>
      </c>
    </row>
    <row r="106" spans="1:15" x14ac:dyDescent="0.35">
      <c r="A106" t="s">
        <v>119</v>
      </c>
      <c r="B106">
        <v>21</v>
      </c>
      <c r="C106" t="s">
        <v>4803</v>
      </c>
      <c r="D106" t="s">
        <v>13</v>
      </c>
      <c r="E106">
        <v>42</v>
      </c>
      <c r="F106">
        <v>34</v>
      </c>
      <c r="G106" t="s">
        <v>4799</v>
      </c>
      <c r="H106" t="s">
        <v>4805</v>
      </c>
      <c r="I106">
        <v>13.99</v>
      </c>
      <c r="J106">
        <v>3</v>
      </c>
      <c r="K106">
        <v>2.0299999999999998</v>
      </c>
      <c r="L106">
        <v>0</v>
      </c>
      <c r="M106" t="s">
        <v>4811</v>
      </c>
      <c r="N106" t="s">
        <v>4900</v>
      </c>
      <c r="O106" t="s">
        <v>4912</v>
      </c>
    </row>
    <row r="107" spans="1:15" x14ac:dyDescent="0.35">
      <c r="A107" t="s">
        <v>120</v>
      </c>
      <c r="B107">
        <v>31</v>
      </c>
      <c r="C107" t="s">
        <v>4803</v>
      </c>
      <c r="D107" t="s">
        <v>13</v>
      </c>
      <c r="E107">
        <v>74</v>
      </c>
      <c r="F107">
        <v>19</v>
      </c>
      <c r="G107" t="s">
        <v>4798</v>
      </c>
      <c r="H107" t="s">
        <v>4804</v>
      </c>
      <c r="I107">
        <v>13.99</v>
      </c>
      <c r="J107">
        <v>4</v>
      </c>
      <c r="K107">
        <v>2.4700000000000002</v>
      </c>
      <c r="L107">
        <v>0</v>
      </c>
      <c r="M107" t="s">
        <v>4809</v>
      </c>
      <c r="N107" t="s">
        <v>4900</v>
      </c>
      <c r="O107" t="s">
        <v>4912</v>
      </c>
    </row>
    <row r="108" spans="1:15" x14ac:dyDescent="0.35">
      <c r="A108" t="s">
        <v>121</v>
      </c>
      <c r="B108">
        <v>37</v>
      </c>
      <c r="C108" t="s">
        <v>4803</v>
      </c>
      <c r="D108" t="s">
        <v>13</v>
      </c>
      <c r="E108">
        <v>67</v>
      </c>
      <c r="F108">
        <v>13</v>
      </c>
      <c r="G108" t="s">
        <v>4801</v>
      </c>
      <c r="H108" t="s">
        <v>4806</v>
      </c>
      <c r="I108">
        <v>13.99</v>
      </c>
      <c r="J108">
        <v>4</v>
      </c>
      <c r="K108">
        <v>2.23</v>
      </c>
      <c r="L108">
        <v>0</v>
      </c>
      <c r="M108" t="s">
        <v>4809</v>
      </c>
      <c r="N108" t="s">
        <v>4900</v>
      </c>
      <c r="O108" t="s">
        <v>4910</v>
      </c>
    </row>
    <row r="109" spans="1:15" x14ac:dyDescent="0.35">
      <c r="A109" t="s">
        <v>122</v>
      </c>
      <c r="B109">
        <v>27</v>
      </c>
      <c r="C109" t="s">
        <v>4803</v>
      </c>
      <c r="D109" t="s">
        <v>13</v>
      </c>
      <c r="E109">
        <v>51</v>
      </c>
      <c r="F109">
        <v>60</v>
      </c>
      <c r="G109" t="s">
        <v>4797</v>
      </c>
      <c r="H109" t="s">
        <v>4805</v>
      </c>
      <c r="I109">
        <v>13.99</v>
      </c>
      <c r="J109">
        <v>4</v>
      </c>
      <c r="K109">
        <v>1.7</v>
      </c>
      <c r="L109">
        <v>0</v>
      </c>
      <c r="M109" t="s">
        <v>4809</v>
      </c>
      <c r="N109" t="s">
        <v>4900</v>
      </c>
      <c r="O109" t="s">
        <v>4912</v>
      </c>
    </row>
    <row r="110" spans="1:15" x14ac:dyDescent="0.35">
      <c r="A110" t="s">
        <v>123</v>
      </c>
      <c r="B110">
        <v>40</v>
      </c>
      <c r="C110" t="s">
        <v>4803</v>
      </c>
      <c r="D110" t="s">
        <v>13</v>
      </c>
      <c r="E110">
        <v>43</v>
      </c>
      <c r="F110">
        <v>12</v>
      </c>
      <c r="G110" t="s">
        <v>4800</v>
      </c>
      <c r="H110" t="s">
        <v>4806</v>
      </c>
      <c r="I110">
        <v>13.99</v>
      </c>
      <c r="J110">
        <v>2</v>
      </c>
      <c r="K110">
        <v>1.43</v>
      </c>
      <c r="L110">
        <v>0</v>
      </c>
      <c r="M110" t="s">
        <v>4810</v>
      </c>
      <c r="N110" t="s">
        <v>4900</v>
      </c>
      <c r="O110" t="s">
        <v>4910</v>
      </c>
    </row>
    <row r="111" spans="1:15" x14ac:dyDescent="0.35">
      <c r="A111" t="s">
        <v>124</v>
      </c>
      <c r="B111">
        <v>59</v>
      </c>
      <c r="C111" t="s">
        <v>4803</v>
      </c>
      <c r="D111" t="s">
        <v>13</v>
      </c>
      <c r="E111">
        <v>70</v>
      </c>
      <c r="F111">
        <v>54</v>
      </c>
      <c r="G111" t="s">
        <v>4798</v>
      </c>
      <c r="H111" t="s">
        <v>4805</v>
      </c>
      <c r="I111">
        <v>13.99</v>
      </c>
      <c r="J111">
        <v>1</v>
      </c>
      <c r="K111">
        <v>2.33</v>
      </c>
      <c r="L111">
        <v>0</v>
      </c>
      <c r="M111" t="s">
        <v>4811</v>
      </c>
      <c r="N111" t="s">
        <v>4900</v>
      </c>
      <c r="O111" t="s">
        <v>4911</v>
      </c>
    </row>
    <row r="112" spans="1:15" x14ac:dyDescent="0.35">
      <c r="A112" t="s">
        <v>125</v>
      </c>
      <c r="B112">
        <v>45</v>
      </c>
      <c r="C112" t="s">
        <v>4802</v>
      </c>
      <c r="D112" t="s">
        <v>13</v>
      </c>
      <c r="E112">
        <v>58</v>
      </c>
      <c r="F112">
        <v>12</v>
      </c>
      <c r="G112" t="s">
        <v>4798</v>
      </c>
      <c r="H112" t="s">
        <v>4806</v>
      </c>
      <c r="I112">
        <v>13.99</v>
      </c>
      <c r="J112">
        <v>4</v>
      </c>
      <c r="K112">
        <v>1.93</v>
      </c>
      <c r="L112">
        <v>0</v>
      </c>
      <c r="M112" t="s">
        <v>4811</v>
      </c>
      <c r="N112" t="s">
        <v>4900</v>
      </c>
      <c r="O112" t="s">
        <v>4910</v>
      </c>
    </row>
    <row r="113" spans="1:15" x14ac:dyDescent="0.35">
      <c r="A113" t="s">
        <v>126</v>
      </c>
      <c r="B113">
        <v>21</v>
      </c>
      <c r="C113" t="s">
        <v>4803</v>
      </c>
      <c r="D113" t="s">
        <v>13</v>
      </c>
      <c r="E113">
        <v>30</v>
      </c>
      <c r="F113">
        <v>5</v>
      </c>
      <c r="G113" t="s">
        <v>4798</v>
      </c>
      <c r="H113" t="s">
        <v>4805</v>
      </c>
      <c r="I113">
        <v>13.99</v>
      </c>
      <c r="J113">
        <v>2</v>
      </c>
      <c r="K113">
        <v>1</v>
      </c>
      <c r="L113">
        <v>0</v>
      </c>
      <c r="M113" t="s">
        <v>4810</v>
      </c>
      <c r="N113" t="s">
        <v>4900</v>
      </c>
      <c r="O113" t="s">
        <v>4912</v>
      </c>
    </row>
    <row r="114" spans="1:15" x14ac:dyDescent="0.35">
      <c r="A114" t="s">
        <v>127</v>
      </c>
      <c r="B114">
        <v>45</v>
      </c>
      <c r="C114" t="s">
        <v>4803</v>
      </c>
      <c r="D114" t="s">
        <v>13</v>
      </c>
      <c r="E114">
        <v>78</v>
      </c>
      <c r="F114">
        <v>56</v>
      </c>
      <c r="G114" t="s">
        <v>4798</v>
      </c>
      <c r="H114" t="s">
        <v>4805</v>
      </c>
      <c r="I114">
        <v>13.99</v>
      </c>
      <c r="J114">
        <v>1</v>
      </c>
      <c r="K114">
        <v>2.6</v>
      </c>
      <c r="L114">
        <v>1</v>
      </c>
      <c r="M114" t="s">
        <v>4809</v>
      </c>
      <c r="N114" t="s">
        <v>4899</v>
      </c>
      <c r="O114" t="s">
        <v>4910</v>
      </c>
    </row>
    <row r="115" spans="1:15" x14ac:dyDescent="0.35">
      <c r="A115" t="s">
        <v>128</v>
      </c>
      <c r="B115">
        <v>50</v>
      </c>
      <c r="C115" t="s">
        <v>4803</v>
      </c>
      <c r="D115" t="s">
        <v>13</v>
      </c>
      <c r="E115">
        <v>53</v>
      </c>
      <c r="F115">
        <v>36</v>
      </c>
      <c r="G115" t="s">
        <v>4799</v>
      </c>
      <c r="H115" t="s">
        <v>4804</v>
      </c>
      <c r="I115">
        <v>13.99</v>
      </c>
      <c r="J115">
        <v>2</v>
      </c>
      <c r="K115">
        <v>1.77</v>
      </c>
      <c r="L115">
        <v>1</v>
      </c>
      <c r="M115" t="s">
        <v>4811</v>
      </c>
      <c r="N115" t="s">
        <v>4899</v>
      </c>
      <c r="O115" t="s">
        <v>4910</v>
      </c>
    </row>
    <row r="116" spans="1:15" x14ac:dyDescent="0.35">
      <c r="A116" t="s">
        <v>129</v>
      </c>
      <c r="B116">
        <v>43</v>
      </c>
      <c r="C116" t="s">
        <v>4802</v>
      </c>
      <c r="D116" t="s">
        <v>14</v>
      </c>
      <c r="E116">
        <v>50</v>
      </c>
      <c r="F116">
        <v>8</v>
      </c>
      <c r="G116" t="s">
        <v>4798</v>
      </c>
      <c r="H116" t="s">
        <v>4804</v>
      </c>
      <c r="I116">
        <v>8.99</v>
      </c>
      <c r="J116">
        <v>2</v>
      </c>
      <c r="K116">
        <v>1.67</v>
      </c>
      <c r="L116">
        <v>0</v>
      </c>
      <c r="M116" t="s">
        <v>4811</v>
      </c>
      <c r="N116" t="s">
        <v>4900</v>
      </c>
      <c r="O116" t="s">
        <v>4910</v>
      </c>
    </row>
    <row r="117" spans="1:15" x14ac:dyDescent="0.35">
      <c r="A117" t="s">
        <v>130</v>
      </c>
      <c r="B117">
        <v>42</v>
      </c>
      <c r="C117" t="s">
        <v>4803</v>
      </c>
      <c r="D117" t="s">
        <v>13</v>
      </c>
      <c r="E117">
        <v>65</v>
      </c>
      <c r="F117">
        <v>18</v>
      </c>
      <c r="G117" t="s">
        <v>4800</v>
      </c>
      <c r="H117" t="s">
        <v>4805</v>
      </c>
      <c r="I117">
        <v>13.99</v>
      </c>
      <c r="J117">
        <v>3</v>
      </c>
      <c r="K117">
        <v>2.17</v>
      </c>
      <c r="L117">
        <v>0</v>
      </c>
      <c r="M117" t="s">
        <v>4809</v>
      </c>
      <c r="N117" t="s">
        <v>4900</v>
      </c>
      <c r="O117" t="s">
        <v>4910</v>
      </c>
    </row>
    <row r="118" spans="1:15" x14ac:dyDescent="0.35">
      <c r="A118" t="s">
        <v>131</v>
      </c>
      <c r="B118">
        <v>46</v>
      </c>
      <c r="C118" t="s">
        <v>4803</v>
      </c>
      <c r="D118" t="s">
        <v>15</v>
      </c>
      <c r="E118">
        <v>61</v>
      </c>
      <c r="F118">
        <v>29</v>
      </c>
      <c r="G118" t="s">
        <v>4800</v>
      </c>
      <c r="H118" t="s">
        <v>4804</v>
      </c>
      <c r="I118">
        <v>17.989999999999998</v>
      </c>
      <c r="J118">
        <v>3</v>
      </c>
      <c r="K118">
        <v>2.0299999999999998</v>
      </c>
      <c r="L118">
        <v>0</v>
      </c>
      <c r="M118" t="s">
        <v>4811</v>
      </c>
      <c r="N118" t="s">
        <v>4900</v>
      </c>
      <c r="O118" t="s">
        <v>4910</v>
      </c>
    </row>
    <row r="119" spans="1:15" x14ac:dyDescent="0.35">
      <c r="A119" t="s">
        <v>132</v>
      </c>
      <c r="B119">
        <v>57</v>
      </c>
      <c r="C119" t="s">
        <v>4803</v>
      </c>
      <c r="D119" t="s">
        <v>13</v>
      </c>
      <c r="E119">
        <v>33</v>
      </c>
      <c r="F119">
        <v>24</v>
      </c>
      <c r="G119" t="s">
        <v>4799</v>
      </c>
      <c r="H119" t="s">
        <v>4804</v>
      </c>
      <c r="I119">
        <v>13.99</v>
      </c>
      <c r="J119">
        <v>3</v>
      </c>
      <c r="K119">
        <v>1.1000000000000001</v>
      </c>
      <c r="L119">
        <v>0</v>
      </c>
      <c r="M119" t="s">
        <v>4808</v>
      </c>
      <c r="N119" t="s">
        <v>4900</v>
      </c>
      <c r="O119" t="s">
        <v>4911</v>
      </c>
    </row>
    <row r="120" spans="1:15" x14ac:dyDescent="0.35">
      <c r="A120" t="s">
        <v>133</v>
      </c>
      <c r="B120">
        <v>42</v>
      </c>
      <c r="C120" t="s">
        <v>4802</v>
      </c>
      <c r="D120" t="s">
        <v>13</v>
      </c>
      <c r="E120">
        <v>49</v>
      </c>
      <c r="F120">
        <v>17</v>
      </c>
      <c r="G120" t="s">
        <v>4800</v>
      </c>
      <c r="H120" t="s">
        <v>4805</v>
      </c>
      <c r="I120">
        <v>13.99</v>
      </c>
      <c r="J120">
        <v>1</v>
      </c>
      <c r="K120">
        <v>1.63</v>
      </c>
      <c r="L120">
        <v>0</v>
      </c>
      <c r="M120" t="s">
        <v>4810</v>
      </c>
      <c r="N120" t="s">
        <v>4900</v>
      </c>
      <c r="O120" t="s">
        <v>4910</v>
      </c>
    </row>
    <row r="121" spans="1:15" x14ac:dyDescent="0.35">
      <c r="A121" t="s">
        <v>134</v>
      </c>
      <c r="B121">
        <v>21</v>
      </c>
      <c r="C121" t="s">
        <v>4803</v>
      </c>
      <c r="D121" t="s">
        <v>13</v>
      </c>
      <c r="E121">
        <v>37</v>
      </c>
      <c r="F121">
        <v>29</v>
      </c>
      <c r="G121" t="s">
        <v>4797</v>
      </c>
      <c r="H121" t="s">
        <v>4804</v>
      </c>
      <c r="I121">
        <v>13.99</v>
      </c>
      <c r="J121">
        <v>3</v>
      </c>
      <c r="K121">
        <v>1.23</v>
      </c>
      <c r="L121">
        <v>0</v>
      </c>
      <c r="M121" t="s">
        <v>4809</v>
      </c>
      <c r="N121" t="s">
        <v>4900</v>
      </c>
      <c r="O121" t="s">
        <v>4912</v>
      </c>
    </row>
    <row r="122" spans="1:15" x14ac:dyDescent="0.35">
      <c r="A122" t="s">
        <v>135</v>
      </c>
      <c r="B122">
        <v>59</v>
      </c>
      <c r="C122" t="s">
        <v>4803</v>
      </c>
      <c r="D122" t="s">
        <v>13</v>
      </c>
      <c r="E122">
        <v>68</v>
      </c>
      <c r="F122">
        <v>41</v>
      </c>
      <c r="G122" t="s">
        <v>4798</v>
      </c>
      <c r="H122" t="s">
        <v>4805</v>
      </c>
      <c r="I122">
        <v>13.99</v>
      </c>
      <c r="J122">
        <v>4</v>
      </c>
      <c r="K122">
        <v>2.27</v>
      </c>
      <c r="L122">
        <v>0</v>
      </c>
      <c r="M122" t="s">
        <v>4810</v>
      </c>
      <c r="N122" t="s">
        <v>4900</v>
      </c>
      <c r="O122" t="s">
        <v>4911</v>
      </c>
    </row>
    <row r="123" spans="1:15" x14ac:dyDescent="0.35">
      <c r="A123" t="s">
        <v>136</v>
      </c>
      <c r="B123">
        <v>54</v>
      </c>
      <c r="C123" t="s">
        <v>4803</v>
      </c>
      <c r="D123" t="s">
        <v>13</v>
      </c>
      <c r="E123">
        <v>38</v>
      </c>
      <c r="F123">
        <v>29</v>
      </c>
      <c r="G123" t="s">
        <v>4799</v>
      </c>
      <c r="H123" t="s">
        <v>4806</v>
      </c>
      <c r="I123">
        <v>13.99</v>
      </c>
      <c r="J123">
        <v>3</v>
      </c>
      <c r="K123">
        <v>1.27</v>
      </c>
      <c r="L123">
        <v>0</v>
      </c>
      <c r="M123" t="s">
        <v>4808</v>
      </c>
      <c r="N123" t="s">
        <v>4900</v>
      </c>
      <c r="O123" t="s">
        <v>4910</v>
      </c>
    </row>
    <row r="124" spans="1:15" x14ac:dyDescent="0.35">
      <c r="A124" t="s">
        <v>137</v>
      </c>
      <c r="B124">
        <v>64</v>
      </c>
      <c r="C124" t="s">
        <v>4802</v>
      </c>
      <c r="D124" t="s">
        <v>15</v>
      </c>
      <c r="E124">
        <v>112</v>
      </c>
      <c r="F124">
        <v>45</v>
      </c>
      <c r="G124" t="s">
        <v>4797</v>
      </c>
      <c r="H124" t="s">
        <v>4804</v>
      </c>
      <c r="I124">
        <v>17.989999999999998</v>
      </c>
      <c r="J124">
        <v>2</v>
      </c>
      <c r="K124">
        <v>5</v>
      </c>
      <c r="L124">
        <v>1</v>
      </c>
      <c r="M124" t="s">
        <v>4812</v>
      </c>
      <c r="N124" t="s">
        <v>4899</v>
      </c>
      <c r="O124" t="s">
        <v>4911</v>
      </c>
    </row>
    <row r="125" spans="1:15" x14ac:dyDescent="0.35">
      <c r="A125" t="s">
        <v>138</v>
      </c>
      <c r="B125">
        <v>51</v>
      </c>
      <c r="C125" t="s">
        <v>4802</v>
      </c>
      <c r="D125" t="s">
        <v>13</v>
      </c>
      <c r="E125">
        <v>71</v>
      </c>
      <c r="F125">
        <v>33</v>
      </c>
      <c r="G125" t="s">
        <v>4797</v>
      </c>
      <c r="H125" t="s">
        <v>4806</v>
      </c>
      <c r="I125">
        <v>13.99</v>
      </c>
      <c r="J125">
        <v>4</v>
      </c>
      <c r="K125">
        <v>2.37</v>
      </c>
      <c r="L125">
        <v>0</v>
      </c>
      <c r="M125" t="s">
        <v>4811</v>
      </c>
      <c r="N125" t="s">
        <v>4900</v>
      </c>
      <c r="O125" t="s">
        <v>4910</v>
      </c>
    </row>
    <row r="126" spans="1:15" x14ac:dyDescent="0.35">
      <c r="A126" t="s">
        <v>139</v>
      </c>
      <c r="B126">
        <v>55</v>
      </c>
      <c r="C126" t="s">
        <v>4802</v>
      </c>
      <c r="D126" t="s">
        <v>13</v>
      </c>
      <c r="E126">
        <v>77</v>
      </c>
      <c r="F126">
        <v>14</v>
      </c>
      <c r="G126" t="s">
        <v>4797</v>
      </c>
      <c r="H126" t="s">
        <v>4804</v>
      </c>
      <c r="I126">
        <v>13.99</v>
      </c>
      <c r="J126">
        <v>2</v>
      </c>
      <c r="K126">
        <v>2.57</v>
      </c>
      <c r="L126">
        <v>0</v>
      </c>
      <c r="M126" t="s">
        <v>4809</v>
      </c>
      <c r="N126" t="s">
        <v>4900</v>
      </c>
      <c r="O126" t="s">
        <v>4911</v>
      </c>
    </row>
    <row r="127" spans="1:15" x14ac:dyDescent="0.35">
      <c r="A127" t="s">
        <v>140</v>
      </c>
      <c r="B127">
        <v>47</v>
      </c>
      <c r="C127" t="s">
        <v>4803</v>
      </c>
      <c r="D127" t="s">
        <v>14</v>
      </c>
      <c r="E127">
        <v>19</v>
      </c>
      <c r="F127">
        <v>57</v>
      </c>
      <c r="G127" t="s">
        <v>4797</v>
      </c>
      <c r="H127" t="s">
        <v>4805</v>
      </c>
      <c r="I127">
        <v>8.99</v>
      </c>
      <c r="J127">
        <v>2</v>
      </c>
      <c r="K127">
        <v>0.63</v>
      </c>
      <c r="L127">
        <v>1</v>
      </c>
      <c r="M127" t="s">
        <v>4808</v>
      </c>
      <c r="N127" t="s">
        <v>4899</v>
      </c>
      <c r="O127" t="s">
        <v>4910</v>
      </c>
    </row>
    <row r="128" spans="1:15" x14ac:dyDescent="0.35">
      <c r="A128" t="s">
        <v>141</v>
      </c>
      <c r="B128">
        <v>65</v>
      </c>
      <c r="C128" t="s">
        <v>4802</v>
      </c>
      <c r="D128" t="s">
        <v>13</v>
      </c>
      <c r="E128">
        <v>59</v>
      </c>
      <c r="F128">
        <v>8</v>
      </c>
      <c r="G128" t="s">
        <v>4797</v>
      </c>
      <c r="H128" t="s">
        <v>4805</v>
      </c>
      <c r="I128">
        <v>13.99</v>
      </c>
      <c r="J128">
        <v>4</v>
      </c>
      <c r="K128">
        <v>1.97</v>
      </c>
      <c r="L128">
        <v>0</v>
      </c>
      <c r="M128" t="s">
        <v>4808</v>
      </c>
      <c r="N128" t="s">
        <v>4900</v>
      </c>
      <c r="O128" t="s">
        <v>4911</v>
      </c>
    </row>
    <row r="129" spans="1:15" x14ac:dyDescent="0.35">
      <c r="A129" t="s">
        <v>142</v>
      </c>
      <c r="B129">
        <v>63</v>
      </c>
      <c r="C129" t="s">
        <v>4803</v>
      </c>
      <c r="D129" t="s">
        <v>13</v>
      </c>
      <c r="E129">
        <v>58</v>
      </c>
      <c r="F129">
        <v>52</v>
      </c>
      <c r="G129" t="s">
        <v>4798</v>
      </c>
      <c r="H129" t="s">
        <v>4804</v>
      </c>
      <c r="I129">
        <v>13.99</v>
      </c>
      <c r="J129">
        <v>4</v>
      </c>
      <c r="K129">
        <v>1.93</v>
      </c>
      <c r="L129">
        <v>1</v>
      </c>
      <c r="M129" t="s">
        <v>4811</v>
      </c>
      <c r="N129" t="s">
        <v>4899</v>
      </c>
      <c r="O129" t="s">
        <v>4911</v>
      </c>
    </row>
    <row r="130" spans="1:15" x14ac:dyDescent="0.35">
      <c r="A130" t="s">
        <v>143</v>
      </c>
      <c r="B130">
        <v>52</v>
      </c>
      <c r="C130" t="s">
        <v>4803</v>
      </c>
      <c r="D130" t="s">
        <v>15</v>
      </c>
      <c r="E130">
        <v>112</v>
      </c>
      <c r="F130">
        <v>25</v>
      </c>
      <c r="G130" t="s">
        <v>4799</v>
      </c>
      <c r="H130" t="s">
        <v>4805</v>
      </c>
      <c r="I130">
        <v>17.989999999999998</v>
      </c>
      <c r="J130">
        <v>2</v>
      </c>
      <c r="K130">
        <v>3.73</v>
      </c>
      <c r="L130">
        <v>0</v>
      </c>
      <c r="M130" t="s">
        <v>4810</v>
      </c>
      <c r="N130" t="s">
        <v>4900</v>
      </c>
      <c r="O130" t="s">
        <v>4910</v>
      </c>
    </row>
    <row r="131" spans="1:15" x14ac:dyDescent="0.35">
      <c r="A131" t="s">
        <v>144</v>
      </c>
      <c r="B131">
        <v>48</v>
      </c>
      <c r="C131" t="s">
        <v>4803</v>
      </c>
      <c r="D131" t="s">
        <v>13</v>
      </c>
      <c r="E131">
        <v>53</v>
      </c>
      <c r="F131">
        <v>57</v>
      </c>
      <c r="G131" t="s">
        <v>4797</v>
      </c>
      <c r="H131" t="s">
        <v>4806</v>
      </c>
      <c r="I131">
        <v>13.99</v>
      </c>
      <c r="J131">
        <v>1</v>
      </c>
      <c r="K131">
        <v>1.77</v>
      </c>
      <c r="L131">
        <v>1</v>
      </c>
      <c r="M131" t="s">
        <v>4810</v>
      </c>
      <c r="N131" t="s">
        <v>4899</v>
      </c>
      <c r="O131" t="s">
        <v>4910</v>
      </c>
    </row>
    <row r="132" spans="1:15" x14ac:dyDescent="0.35">
      <c r="A132" t="s">
        <v>145</v>
      </c>
      <c r="B132">
        <v>21</v>
      </c>
      <c r="C132" t="s">
        <v>4803</v>
      </c>
      <c r="D132" t="s">
        <v>15</v>
      </c>
      <c r="E132">
        <v>106</v>
      </c>
      <c r="F132">
        <v>48</v>
      </c>
      <c r="G132" t="s">
        <v>4798</v>
      </c>
      <c r="H132" t="s">
        <v>4806</v>
      </c>
      <c r="I132">
        <v>17.989999999999998</v>
      </c>
      <c r="J132">
        <v>4</v>
      </c>
      <c r="K132">
        <v>3.53</v>
      </c>
      <c r="L132">
        <v>0</v>
      </c>
      <c r="M132" t="s">
        <v>4810</v>
      </c>
      <c r="N132" t="s">
        <v>4900</v>
      </c>
      <c r="O132" t="s">
        <v>4912</v>
      </c>
    </row>
    <row r="133" spans="1:15" x14ac:dyDescent="0.35">
      <c r="A133" t="s">
        <v>146</v>
      </c>
      <c r="B133">
        <v>27</v>
      </c>
      <c r="C133" t="s">
        <v>4802</v>
      </c>
      <c r="D133" t="s">
        <v>15</v>
      </c>
      <c r="E133">
        <v>102</v>
      </c>
      <c r="F133">
        <v>31</v>
      </c>
      <c r="G133" t="s">
        <v>4799</v>
      </c>
      <c r="H133" t="s">
        <v>4805</v>
      </c>
      <c r="I133">
        <v>17.989999999999998</v>
      </c>
      <c r="J133">
        <v>3</v>
      </c>
      <c r="K133">
        <v>3.4</v>
      </c>
      <c r="L133">
        <v>0</v>
      </c>
      <c r="M133" t="s">
        <v>4808</v>
      </c>
      <c r="N133" t="s">
        <v>4900</v>
      </c>
      <c r="O133" t="s">
        <v>4912</v>
      </c>
    </row>
    <row r="134" spans="1:15" x14ac:dyDescent="0.35">
      <c r="A134" t="s">
        <v>147</v>
      </c>
      <c r="B134">
        <v>37</v>
      </c>
      <c r="C134" t="s">
        <v>4802</v>
      </c>
      <c r="D134" t="s">
        <v>13</v>
      </c>
      <c r="E134">
        <v>55</v>
      </c>
      <c r="F134">
        <v>22</v>
      </c>
      <c r="G134" t="s">
        <v>4800</v>
      </c>
      <c r="H134" t="s">
        <v>4804</v>
      </c>
      <c r="I134">
        <v>13.99</v>
      </c>
      <c r="J134">
        <v>3</v>
      </c>
      <c r="K134">
        <v>1.83</v>
      </c>
      <c r="L134">
        <v>0</v>
      </c>
      <c r="M134" t="s">
        <v>4808</v>
      </c>
      <c r="N134" t="s">
        <v>4900</v>
      </c>
      <c r="O134" t="s">
        <v>4910</v>
      </c>
    </row>
    <row r="135" spans="1:15" x14ac:dyDescent="0.35">
      <c r="A135" t="s">
        <v>148</v>
      </c>
      <c r="B135">
        <v>39</v>
      </c>
      <c r="C135" t="s">
        <v>4803</v>
      </c>
      <c r="D135" t="s">
        <v>13</v>
      </c>
      <c r="E135">
        <v>44</v>
      </c>
      <c r="F135">
        <v>35</v>
      </c>
      <c r="G135" t="s">
        <v>4797</v>
      </c>
      <c r="H135" t="s">
        <v>4805</v>
      </c>
      <c r="I135">
        <v>13.99</v>
      </c>
      <c r="J135">
        <v>1</v>
      </c>
      <c r="K135">
        <v>1.47</v>
      </c>
      <c r="L135">
        <v>0</v>
      </c>
      <c r="M135" t="s">
        <v>4808</v>
      </c>
      <c r="N135" t="s">
        <v>4900</v>
      </c>
      <c r="O135" t="s">
        <v>4910</v>
      </c>
    </row>
    <row r="136" spans="1:15" x14ac:dyDescent="0.35">
      <c r="A136" t="s">
        <v>149</v>
      </c>
      <c r="B136">
        <v>41</v>
      </c>
      <c r="C136" t="s">
        <v>4802</v>
      </c>
      <c r="D136" t="s">
        <v>13</v>
      </c>
      <c r="E136">
        <v>53</v>
      </c>
      <c r="F136">
        <v>34</v>
      </c>
      <c r="G136" t="s">
        <v>4799</v>
      </c>
      <c r="H136" t="s">
        <v>4804</v>
      </c>
      <c r="I136">
        <v>13.99</v>
      </c>
      <c r="J136">
        <v>1</v>
      </c>
      <c r="K136">
        <v>1.77</v>
      </c>
      <c r="L136">
        <v>1</v>
      </c>
      <c r="M136" t="s">
        <v>4810</v>
      </c>
      <c r="N136" t="s">
        <v>4899</v>
      </c>
      <c r="O136" t="s">
        <v>4910</v>
      </c>
    </row>
    <row r="137" spans="1:15" x14ac:dyDescent="0.35">
      <c r="A137" t="s">
        <v>150</v>
      </c>
      <c r="B137">
        <v>58</v>
      </c>
      <c r="C137" t="s">
        <v>4802</v>
      </c>
      <c r="D137" t="s">
        <v>13</v>
      </c>
      <c r="E137">
        <v>70</v>
      </c>
      <c r="F137">
        <v>54</v>
      </c>
      <c r="G137" t="s">
        <v>4797</v>
      </c>
      <c r="H137" t="s">
        <v>4804</v>
      </c>
      <c r="I137">
        <v>13.99</v>
      </c>
      <c r="J137">
        <v>4</v>
      </c>
      <c r="K137">
        <v>2.33</v>
      </c>
      <c r="L137">
        <v>1</v>
      </c>
      <c r="M137" t="s">
        <v>4812</v>
      </c>
      <c r="N137" t="s">
        <v>4899</v>
      </c>
      <c r="O137" t="s">
        <v>4911</v>
      </c>
    </row>
    <row r="138" spans="1:15" x14ac:dyDescent="0.35">
      <c r="A138" t="s">
        <v>151</v>
      </c>
      <c r="B138">
        <v>49</v>
      </c>
      <c r="C138" t="s">
        <v>4803</v>
      </c>
      <c r="D138" t="s">
        <v>13</v>
      </c>
      <c r="E138">
        <v>35</v>
      </c>
      <c r="F138">
        <v>47</v>
      </c>
      <c r="G138" t="s">
        <v>4799</v>
      </c>
      <c r="H138" t="s">
        <v>4804</v>
      </c>
      <c r="I138">
        <v>13.99</v>
      </c>
      <c r="J138">
        <v>2</v>
      </c>
      <c r="K138">
        <v>1.17</v>
      </c>
      <c r="L138">
        <v>0</v>
      </c>
      <c r="M138" t="s">
        <v>4812</v>
      </c>
      <c r="N138" t="s">
        <v>4900</v>
      </c>
      <c r="O138" t="s">
        <v>4910</v>
      </c>
    </row>
    <row r="139" spans="1:15" x14ac:dyDescent="0.35">
      <c r="A139" t="s">
        <v>152</v>
      </c>
      <c r="B139">
        <v>54</v>
      </c>
      <c r="C139" t="s">
        <v>4803</v>
      </c>
      <c r="D139" t="s">
        <v>13</v>
      </c>
      <c r="E139">
        <v>54</v>
      </c>
      <c r="F139">
        <v>5</v>
      </c>
      <c r="G139" t="s">
        <v>4799</v>
      </c>
      <c r="H139" t="s">
        <v>4807</v>
      </c>
      <c r="I139">
        <v>13.99</v>
      </c>
      <c r="J139">
        <v>1</v>
      </c>
      <c r="K139">
        <v>1.8</v>
      </c>
      <c r="L139">
        <v>0</v>
      </c>
      <c r="M139" t="s">
        <v>4810</v>
      </c>
      <c r="N139" t="s">
        <v>4900</v>
      </c>
      <c r="O139" t="s">
        <v>4910</v>
      </c>
    </row>
    <row r="140" spans="1:15" x14ac:dyDescent="0.35">
      <c r="A140" t="s">
        <v>153</v>
      </c>
      <c r="B140">
        <v>51</v>
      </c>
      <c r="C140" t="s">
        <v>4802</v>
      </c>
      <c r="D140" t="s">
        <v>13</v>
      </c>
      <c r="E140">
        <v>34</v>
      </c>
      <c r="F140">
        <v>27</v>
      </c>
      <c r="G140" t="s">
        <v>4797</v>
      </c>
      <c r="H140" t="s">
        <v>4804</v>
      </c>
      <c r="I140">
        <v>13.99</v>
      </c>
      <c r="J140">
        <v>1</v>
      </c>
      <c r="K140">
        <v>1.1299999999999999</v>
      </c>
      <c r="L140">
        <v>0</v>
      </c>
      <c r="M140" t="s">
        <v>4812</v>
      </c>
      <c r="N140" t="s">
        <v>4900</v>
      </c>
      <c r="O140" t="s">
        <v>4910</v>
      </c>
    </row>
    <row r="141" spans="1:15" x14ac:dyDescent="0.35">
      <c r="A141" t="s">
        <v>154</v>
      </c>
      <c r="B141">
        <v>36</v>
      </c>
      <c r="C141" t="s">
        <v>4803</v>
      </c>
      <c r="D141" t="s">
        <v>13</v>
      </c>
      <c r="E141">
        <v>63</v>
      </c>
      <c r="F141">
        <v>8</v>
      </c>
      <c r="G141" t="s">
        <v>4797</v>
      </c>
      <c r="H141" t="s">
        <v>4804</v>
      </c>
      <c r="I141">
        <v>13.99</v>
      </c>
      <c r="J141">
        <v>2</v>
      </c>
      <c r="K141">
        <v>2.1</v>
      </c>
      <c r="L141">
        <v>0</v>
      </c>
      <c r="M141" t="s">
        <v>4811</v>
      </c>
      <c r="N141" t="s">
        <v>4900</v>
      </c>
      <c r="O141" t="s">
        <v>4910</v>
      </c>
    </row>
    <row r="142" spans="1:15" x14ac:dyDescent="0.35">
      <c r="A142" t="s">
        <v>155</v>
      </c>
      <c r="B142">
        <v>18</v>
      </c>
      <c r="C142" t="s">
        <v>4802</v>
      </c>
      <c r="D142" t="s">
        <v>13</v>
      </c>
      <c r="E142">
        <v>39</v>
      </c>
      <c r="F142">
        <v>16</v>
      </c>
      <c r="G142" t="s">
        <v>4797</v>
      </c>
      <c r="H142" t="s">
        <v>4807</v>
      </c>
      <c r="I142">
        <v>13.99</v>
      </c>
      <c r="J142">
        <v>3</v>
      </c>
      <c r="K142">
        <v>1.3</v>
      </c>
      <c r="L142">
        <v>0</v>
      </c>
      <c r="M142" t="s">
        <v>4812</v>
      </c>
      <c r="N142" t="s">
        <v>4900</v>
      </c>
      <c r="O142" t="s">
        <v>4912</v>
      </c>
    </row>
    <row r="143" spans="1:15" x14ac:dyDescent="0.35">
      <c r="A143" t="s">
        <v>156</v>
      </c>
      <c r="B143">
        <v>44</v>
      </c>
      <c r="C143" t="s">
        <v>4803</v>
      </c>
      <c r="D143" t="s">
        <v>13</v>
      </c>
      <c r="E143">
        <v>45</v>
      </c>
      <c r="F143">
        <v>45</v>
      </c>
      <c r="G143" t="s">
        <v>4799</v>
      </c>
      <c r="H143" t="s">
        <v>4805</v>
      </c>
      <c r="I143">
        <v>13.99</v>
      </c>
      <c r="J143">
        <v>4</v>
      </c>
      <c r="K143">
        <v>1.5</v>
      </c>
      <c r="L143">
        <v>0</v>
      </c>
      <c r="M143" t="s">
        <v>4811</v>
      </c>
      <c r="N143" t="s">
        <v>4900</v>
      </c>
      <c r="O143" t="s">
        <v>4910</v>
      </c>
    </row>
    <row r="144" spans="1:15" x14ac:dyDescent="0.35">
      <c r="A144" t="s">
        <v>157</v>
      </c>
      <c r="B144">
        <v>48</v>
      </c>
      <c r="C144" t="s">
        <v>4802</v>
      </c>
      <c r="D144" t="s">
        <v>13</v>
      </c>
      <c r="E144">
        <v>65</v>
      </c>
      <c r="F144">
        <v>45</v>
      </c>
      <c r="G144" t="s">
        <v>4799</v>
      </c>
      <c r="H144" t="s">
        <v>4806</v>
      </c>
      <c r="I144">
        <v>13.99</v>
      </c>
      <c r="J144">
        <v>4</v>
      </c>
      <c r="K144">
        <v>2.17</v>
      </c>
      <c r="L144">
        <v>0</v>
      </c>
      <c r="M144" t="s">
        <v>4808</v>
      </c>
      <c r="N144" t="s">
        <v>4900</v>
      </c>
      <c r="O144" t="s">
        <v>4910</v>
      </c>
    </row>
    <row r="145" spans="1:15" x14ac:dyDescent="0.35">
      <c r="A145" t="s">
        <v>158</v>
      </c>
      <c r="B145">
        <v>56</v>
      </c>
      <c r="C145" t="s">
        <v>4802</v>
      </c>
      <c r="D145" t="s">
        <v>14</v>
      </c>
      <c r="E145">
        <v>22</v>
      </c>
      <c r="F145">
        <v>60</v>
      </c>
      <c r="G145" t="s">
        <v>4798</v>
      </c>
      <c r="H145" t="s">
        <v>4804</v>
      </c>
      <c r="I145">
        <v>8.99</v>
      </c>
      <c r="J145">
        <v>2</v>
      </c>
      <c r="K145">
        <v>2.0299999999999998</v>
      </c>
      <c r="L145">
        <v>1</v>
      </c>
      <c r="M145" t="s">
        <v>4810</v>
      </c>
      <c r="N145" t="s">
        <v>4899</v>
      </c>
      <c r="O145" t="s">
        <v>4911</v>
      </c>
    </row>
    <row r="146" spans="1:15" x14ac:dyDescent="0.35">
      <c r="A146" t="s">
        <v>159</v>
      </c>
      <c r="B146">
        <v>41</v>
      </c>
      <c r="C146" t="s">
        <v>4803</v>
      </c>
      <c r="D146" t="s">
        <v>13</v>
      </c>
      <c r="E146">
        <v>57</v>
      </c>
      <c r="F146">
        <v>2</v>
      </c>
      <c r="G146" t="s">
        <v>4798</v>
      </c>
      <c r="H146" t="s">
        <v>4807</v>
      </c>
      <c r="I146">
        <v>13.99</v>
      </c>
      <c r="J146">
        <v>2</v>
      </c>
      <c r="K146">
        <v>1.9</v>
      </c>
      <c r="L146">
        <v>0</v>
      </c>
      <c r="M146" t="s">
        <v>4809</v>
      </c>
      <c r="N146" t="s">
        <v>4900</v>
      </c>
      <c r="O146" t="s">
        <v>4910</v>
      </c>
    </row>
    <row r="147" spans="1:15" x14ac:dyDescent="0.35">
      <c r="A147" t="s">
        <v>160</v>
      </c>
      <c r="B147">
        <v>40</v>
      </c>
      <c r="C147" t="s">
        <v>4803</v>
      </c>
      <c r="D147" t="s">
        <v>15</v>
      </c>
      <c r="E147">
        <v>102</v>
      </c>
      <c r="F147">
        <v>23</v>
      </c>
      <c r="G147" t="s">
        <v>4800</v>
      </c>
      <c r="H147" t="s">
        <v>4804</v>
      </c>
      <c r="I147">
        <v>17.989999999999998</v>
      </c>
      <c r="J147">
        <v>4</v>
      </c>
      <c r="K147">
        <v>3.4</v>
      </c>
      <c r="L147">
        <v>0</v>
      </c>
      <c r="M147" t="s">
        <v>4808</v>
      </c>
      <c r="N147" t="s">
        <v>4900</v>
      </c>
      <c r="O147" t="s">
        <v>4910</v>
      </c>
    </row>
    <row r="148" spans="1:15" x14ac:dyDescent="0.35">
      <c r="A148" t="s">
        <v>161</v>
      </c>
      <c r="B148">
        <v>30</v>
      </c>
      <c r="C148" t="s">
        <v>4802</v>
      </c>
      <c r="D148" t="s">
        <v>13</v>
      </c>
      <c r="E148">
        <v>54</v>
      </c>
      <c r="F148">
        <v>41</v>
      </c>
      <c r="G148" t="s">
        <v>4799</v>
      </c>
      <c r="H148" t="s">
        <v>4804</v>
      </c>
      <c r="I148">
        <v>13.99</v>
      </c>
      <c r="J148">
        <v>3</v>
      </c>
      <c r="K148">
        <v>1.8</v>
      </c>
      <c r="L148">
        <v>0</v>
      </c>
      <c r="M148" t="s">
        <v>4810</v>
      </c>
      <c r="N148" t="s">
        <v>4900</v>
      </c>
      <c r="O148" t="s">
        <v>4912</v>
      </c>
    </row>
    <row r="149" spans="1:15" x14ac:dyDescent="0.35">
      <c r="A149" t="s">
        <v>162</v>
      </c>
      <c r="B149">
        <v>47</v>
      </c>
      <c r="C149" t="s">
        <v>4803</v>
      </c>
      <c r="D149" t="s">
        <v>13</v>
      </c>
      <c r="E149">
        <v>60</v>
      </c>
      <c r="F149">
        <v>27</v>
      </c>
      <c r="G149" t="s">
        <v>4799</v>
      </c>
      <c r="H149" t="s">
        <v>4804</v>
      </c>
      <c r="I149">
        <v>13.99</v>
      </c>
      <c r="J149">
        <v>1</v>
      </c>
      <c r="K149">
        <v>2.0299999999999998</v>
      </c>
      <c r="L149">
        <v>0</v>
      </c>
      <c r="M149" t="s">
        <v>4811</v>
      </c>
      <c r="N149" t="s">
        <v>4900</v>
      </c>
      <c r="O149" t="s">
        <v>4910</v>
      </c>
    </row>
    <row r="150" spans="1:15" x14ac:dyDescent="0.35">
      <c r="A150" t="s">
        <v>163</v>
      </c>
      <c r="B150">
        <v>47</v>
      </c>
      <c r="C150" t="s">
        <v>4802</v>
      </c>
      <c r="D150" t="s">
        <v>13</v>
      </c>
      <c r="E150">
        <v>63</v>
      </c>
      <c r="F150">
        <v>24</v>
      </c>
      <c r="G150" t="s">
        <v>4798</v>
      </c>
      <c r="H150" t="s">
        <v>4804</v>
      </c>
      <c r="I150">
        <v>13.99</v>
      </c>
      <c r="J150">
        <v>2</v>
      </c>
      <c r="K150">
        <v>2.1</v>
      </c>
      <c r="L150">
        <v>0</v>
      </c>
      <c r="M150" t="s">
        <v>4811</v>
      </c>
      <c r="N150" t="s">
        <v>4900</v>
      </c>
      <c r="O150" t="s">
        <v>4910</v>
      </c>
    </row>
    <row r="151" spans="1:15" x14ac:dyDescent="0.35">
      <c r="A151" t="s">
        <v>164</v>
      </c>
      <c r="B151">
        <v>40</v>
      </c>
      <c r="C151" t="s">
        <v>4803</v>
      </c>
      <c r="D151" t="s">
        <v>13</v>
      </c>
      <c r="E151">
        <v>42</v>
      </c>
      <c r="F151">
        <v>47</v>
      </c>
      <c r="G151" t="s">
        <v>4799</v>
      </c>
      <c r="H151" t="s">
        <v>4805</v>
      </c>
      <c r="I151">
        <v>13.99</v>
      </c>
      <c r="J151">
        <v>2</v>
      </c>
      <c r="K151">
        <v>2.0299999999999998</v>
      </c>
      <c r="L151">
        <v>0</v>
      </c>
      <c r="M151" t="s">
        <v>4811</v>
      </c>
      <c r="N151" t="s">
        <v>4900</v>
      </c>
      <c r="O151" t="s">
        <v>4910</v>
      </c>
    </row>
    <row r="152" spans="1:15" x14ac:dyDescent="0.35">
      <c r="A152" t="s">
        <v>165</v>
      </c>
      <c r="B152">
        <v>61</v>
      </c>
      <c r="C152" t="s">
        <v>4803</v>
      </c>
      <c r="D152" t="s">
        <v>13</v>
      </c>
      <c r="E152">
        <v>43</v>
      </c>
      <c r="F152">
        <v>53</v>
      </c>
      <c r="G152" t="s">
        <v>4799</v>
      </c>
      <c r="H152" t="s">
        <v>4805</v>
      </c>
      <c r="I152">
        <v>13.99</v>
      </c>
      <c r="J152">
        <v>1</v>
      </c>
      <c r="K152">
        <v>1.43</v>
      </c>
      <c r="L152">
        <v>1</v>
      </c>
      <c r="M152" t="s">
        <v>4812</v>
      </c>
      <c r="N152" t="s">
        <v>4899</v>
      </c>
      <c r="O152" t="s">
        <v>4911</v>
      </c>
    </row>
    <row r="153" spans="1:15" x14ac:dyDescent="0.35">
      <c r="A153" t="s">
        <v>166</v>
      </c>
      <c r="B153">
        <v>56</v>
      </c>
      <c r="C153" t="s">
        <v>4803</v>
      </c>
      <c r="D153" t="s">
        <v>15</v>
      </c>
      <c r="E153">
        <v>106</v>
      </c>
      <c r="F153">
        <v>999</v>
      </c>
      <c r="G153" t="s">
        <v>4798</v>
      </c>
      <c r="H153" t="s">
        <v>4805</v>
      </c>
      <c r="I153">
        <v>17.989999999999998</v>
      </c>
      <c r="J153">
        <v>2</v>
      </c>
      <c r="K153">
        <v>2.0299999999999998</v>
      </c>
      <c r="L153">
        <v>0</v>
      </c>
      <c r="M153" t="s">
        <v>4812</v>
      </c>
      <c r="N153" t="s">
        <v>4900</v>
      </c>
      <c r="O153" t="s">
        <v>4911</v>
      </c>
    </row>
    <row r="154" spans="1:15" x14ac:dyDescent="0.35">
      <c r="A154" t="s">
        <v>167</v>
      </c>
      <c r="B154">
        <v>40</v>
      </c>
      <c r="C154" t="s">
        <v>4803</v>
      </c>
      <c r="D154" t="s">
        <v>14</v>
      </c>
      <c r="E154">
        <v>14</v>
      </c>
      <c r="F154">
        <v>41</v>
      </c>
      <c r="G154" t="s">
        <v>4799</v>
      </c>
      <c r="H154" t="s">
        <v>4804</v>
      </c>
      <c r="I154">
        <v>8.99</v>
      </c>
      <c r="J154">
        <v>1</v>
      </c>
      <c r="K154">
        <v>0.47</v>
      </c>
      <c r="L154">
        <v>0</v>
      </c>
      <c r="M154" t="s">
        <v>4808</v>
      </c>
      <c r="N154" t="s">
        <v>4900</v>
      </c>
      <c r="O154" t="s">
        <v>4910</v>
      </c>
    </row>
    <row r="155" spans="1:15" x14ac:dyDescent="0.35">
      <c r="A155" t="s">
        <v>168</v>
      </c>
      <c r="B155">
        <v>29</v>
      </c>
      <c r="C155" t="s">
        <v>4803</v>
      </c>
      <c r="D155" t="s">
        <v>13</v>
      </c>
      <c r="E155">
        <v>78</v>
      </c>
      <c r="F155" t="s">
        <v>4814</v>
      </c>
      <c r="G155" t="s">
        <v>4798</v>
      </c>
      <c r="H155" t="s">
        <v>4805</v>
      </c>
      <c r="I155">
        <v>13.99</v>
      </c>
      <c r="J155">
        <v>2</v>
      </c>
      <c r="K155">
        <v>2.6</v>
      </c>
      <c r="L155">
        <v>0</v>
      </c>
      <c r="M155" t="s">
        <v>4812</v>
      </c>
      <c r="N155" t="s">
        <v>4900</v>
      </c>
      <c r="O155" t="s">
        <v>4912</v>
      </c>
    </row>
    <row r="156" spans="1:15" x14ac:dyDescent="0.35">
      <c r="A156" t="s">
        <v>169</v>
      </c>
      <c r="B156">
        <v>43</v>
      </c>
      <c r="C156" t="s">
        <v>4803</v>
      </c>
      <c r="D156" t="s">
        <v>15</v>
      </c>
      <c r="E156">
        <v>108</v>
      </c>
      <c r="F156">
        <v>27</v>
      </c>
      <c r="G156" t="s">
        <v>4798</v>
      </c>
      <c r="H156" t="s">
        <v>4806</v>
      </c>
      <c r="I156">
        <v>17.989999999999998</v>
      </c>
      <c r="J156">
        <v>4</v>
      </c>
      <c r="K156">
        <v>3.6</v>
      </c>
      <c r="L156">
        <v>0</v>
      </c>
      <c r="M156" t="s">
        <v>4811</v>
      </c>
      <c r="N156" t="s">
        <v>4900</v>
      </c>
      <c r="O156" t="s">
        <v>4910</v>
      </c>
    </row>
    <row r="157" spans="1:15" x14ac:dyDescent="0.35">
      <c r="A157" t="s">
        <v>170</v>
      </c>
      <c r="B157">
        <v>49</v>
      </c>
      <c r="C157" t="s">
        <v>4803</v>
      </c>
      <c r="D157" t="s">
        <v>13</v>
      </c>
      <c r="E157">
        <v>45</v>
      </c>
      <c r="F157">
        <v>46</v>
      </c>
      <c r="G157" t="s">
        <v>4798</v>
      </c>
      <c r="H157" t="s">
        <v>4805</v>
      </c>
      <c r="I157">
        <v>13.99</v>
      </c>
      <c r="J157">
        <v>4</v>
      </c>
      <c r="K157">
        <v>1.5</v>
      </c>
      <c r="L157">
        <v>1</v>
      </c>
      <c r="M157" t="s">
        <v>4810</v>
      </c>
      <c r="N157" t="s">
        <v>4899</v>
      </c>
      <c r="O157" t="s">
        <v>4910</v>
      </c>
    </row>
    <row r="158" spans="1:15" x14ac:dyDescent="0.35">
      <c r="A158" t="s">
        <v>171</v>
      </c>
      <c r="B158">
        <v>51</v>
      </c>
      <c r="C158" t="s">
        <v>4803</v>
      </c>
      <c r="D158" t="s">
        <v>13</v>
      </c>
      <c r="E158">
        <v>40</v>
      </c>
      <c r="F158">
        <v>15</v>
      </c>
      <c r="G158" t="s">
        <v>4797</v>
      </c>
      <c r="H158" t="s">
        <v>4805</v>
      </c>
      <c r="I158">
        <v>13.99</v>
      </c>
      <c r="J158">
        <v>3</v>
      </c>
      <c r="K158">
        <v>2.0299999999999998</v>
      </c>
      <c r="L158">
        <v>0</v>
      </c>
      <c r="M158" t="s">
        <v>4810</v>
      </c>
      <c r="N158" t="s">
        <v>4900</v>
      </c>
      <c r="O158" t="s">
        <v>4910</v>
      </c>
    </row>
    <row r="159" spans="1:15" x14ac:dyDescent="0.35">
      <c r="A159" t="s">
        <v>172</v>
      </c>
      <c r="B159">
        <v>62</v>
      </c>
      <c r="C159" t="s">
        <v>4802</v>
      </c>
      <c r="D159" t="s">
        <v>13</v>
      </c>
      <c r="E159">
        <v>75</v>
      </c>
      <c r="F159">
        <v>50</v>
      </c>
      <c r="G159" t="s">
        <v>4799</v>
      </c>
      <c r="H159" t="s">
        <v>4806</v>
      </c>
      <c r="I159">
        <v>13.99</v>
      </c>
      <c r="J159">
        <v>1</v>
      </c>
      <c r="K159">
        <v>2.5</v>
      </c>
      <c r="L159">
        <v>0</v>
      </c>
      <c r="M159" t="s">
        <v>4812</v>
      </c>
      <c r="N159" t="s">
        <v>4900</v>
      </c>
      <c r="O159" t="s">
        <v>4911</v>
      </c>
    </row>
    <row r="160" spans="1:15" x14ac:dyDescent="0.35">
      <c r="A160" t="s">
        <v>173</v>
      </c>
      <c r="B160">
        <v>40</v>
      </c>
      <c r="C160" t="s">
        <v>4803</v>
      </c>
      <c r="D160" t="s">
        <v>13</v>
      </c>
      <c r="E160">
        <v>61</v>
      </c>
      <c r="F160">
        <v>47</v>
      </c>
      <c r="G160" t="s">
        <v>4797</v>
      </c>
      <c r="H160" t="s">
        <v>4804</v>
      </c>
      <c r="I160">
        <v>13.99</v>
      </c>
      <c r="J160">
        <v>1</v>
      </c>
      <c r="K160">
        <v>2.0299999999999998</v>
      </c>
      <c r="L160">
        <v>0</v>
      </c>
      <c r="M160" t="s">
        <v>4808</v>
      </c>
      <c r="N160" t="s">
        <v>4900</v>
      </c>
      <c r="O160" t="s">
        <v>4910</v>
      </c>
    </row>
    <row r="161" spans="1:15" x14ac:dyDescent="0.35">
      <c r="A161" t="s">
        <v>174</v>
      </c>
      <c r="B161">
        <v>20</v>
      </c>
      <c r="C161" t="s">
        <v>4803</v>
      </c>
      <c r="D161" t="s">
        <v>15</v>
      </c>
      <c r="E161">
        <v>67</v>
      </c>
      <c r="F161">
        <v>52</v>
      </c>
      <c r="G161" t="s">
        <v>4797</v>
      </c>
      <c r="H161" t="s">
        <v>4805</v>
      </c>
      <c r="I161">
        <v>17.989999999999998</v>
      </c>
      <c r="J161">
        <v>2</v>
      </c>
      <c r="K161">
        <v>2.23</v>
      </c>
      <c r="L161">
        <v>0</v>
      </c>
      <c r="M161" t="s">
        <v>4811</v>
      </c>
      <c r="N161" t="s">
        <v>4900</v>
      </c>
      <c r="O161" t="s">
        <v>4912</v>
      </c>
    </row>
    <row r="162" spans="1:15" x14ac:dyDescent="0.35">
      <c r="A162" t="s">
        <v>175</v>
      </c>
      <c r="B162">
        <v>44</v>
      </c>
      <c r="C162" t="s">
        <v>4803</v>
      </c>
      <c r="D162" t="s">
        <v>13</v>
      </c>
      <c r="E162">
        <v>30</v>
      </c>
      <c r="F162">
        <v>10</v>
      </c>
      <c r="G162" t="s">
        <v>4799</v>
      </c>
      <c r="H162" t="s">
        <v>4805</v>
      </c>
      <c r="I162">
        <v>13.99</v>
      </c>
      <c r="J162">
        <v>2</v>
      </c>
      <c r="K162">
        <v>1</v>
      </c>
      <c r="L162">
        <v>0</v>
      </c>
      <c r="M162" t="s">
        <v>4809</v>
      </c>
      <c r="N162" t="s">
        <v>4900</v>
      </c>
      <c r="O162" t="s">
        <v>4910</v>
      </c>
    </row>
    <row r="163" spans="1:15" x14ac:dyDescent="0.35">
      <c r="A163" t="s">
        <v>176</v>
      </c>
      <c r="B163">
        <v>57</v>
      </c>
      <c r="C163" t="s">
        <v>4803</v>
      </c>
      <c r="D163" t="s">
        <v>15</v>
      </c>
      <c r="E163">
        <v>61</v>
      </c>
      <c r="F163">
        <v>59</v>
      </c>
      <c r="G163" t="s">
        <v>4799</v>
      </c>
      <c r="H163" t="s">
        <v>4806</v>
      </c>
      <c r="I163">
        <v>17.989999999999998</v>
      </c>
      <c r="J163">
        <v>4</v>
      </c>
      <c r="K163">
        <v>2.0299999999999998</v>
      </c>
      <c r="L163">
        <v>0</v>
      </c>
      <c r="M163" t="s">
        <v>4810</v>
      </c>
      <c r="N163" t="s">
        <v>4900</v>
      </c>
      <c r="O163" t="s">
        <v>4911</v>
      </c>
    </row>
    <row r="164" spans="1:15" x14ac:dyDescent="0.35">
      <c r="A164" t="s">
        <v>177</v>
      </c>
      <c r="B164">
        <v>37</v>
      </c>
      <c r="C164" t="s">
        <v>4802</v>
      </c>
      <c r="D164" t="s">
        <v>13</v>
      </c>
      <c r="E164">
        <v>75</v>
      </c>
      <c r="F164">
        <v>57</v>
      </c>
      <c r="G164" t="s">
        <v>4798</v>
      </c>
      <c r="H164" t="s">
        <v>4804</v>
      </c>
      <c r="I164">
        <v>13.99</v>
      </c>
      <c r="J164">
        <v>1</v>
      </c>
      <c r="K164">
        <v>2.5</v>
      </c>
      <c r="L164">
        <v>0</v>
      </c>
      <c r="M164" t="s">
        <v>4809</v>
      </c>
      <c r="N164" t="s">
        <v>4900</v>
      </c>
      <c r="O164" t="s">
        <v>4910</v>
      </c>
    </row>
    <row r="165" spans="1:15" x14ac:dyDescent="0.35">
      <c r="A165" t="s">
        <v>178</v>
      </c>
      <c r="B165">
        <v>54</v>
      </c>
      <c r="C165" t="s">
        <v>4802</v>
      </c>
      <c r="D165" t="s">
        <v>14</v>
      </c>
      <c r="E165">
        <v>49</v>
      </c>
      <c r="F165">
        <v>49</v>
      </c>
      <c r="G165" t="s">
        <v>4797</v>
      </c>
      <c r="H165" t="s">
        <v>4805</v>
      </c>
      <c r="I165">
        <v>8.99</v>
      </c>
      <c r="J165">
        <v>1</v>
      </c>
      <c r="K165">
        <v>5</v>
      </c>
      <c r="L165">
        <v>0</v>
      </c>
      <c r="M165" t="s">
        <v>4809</v>
      </c>
      <c r="N165" t="s">
        <v>4900</v>
      </c>
      <c r="O165" t="s">
        <v>4910</v>
      </c>
    </row>
    <row r="166" spans="1:15" x14ac:dyDescent="0.35">
      <c r="A166" t="s">
        <v>179</v>
      </c>
      <c r="B166">
        <v>34</v>
      </c>
      <c r="C166" t="s">
        <v>4803</v>
      </c>
      <c r="D166" t="s">
        <v>13</v>
      </c>
      <c r="E166">
        <v>68</v>
      </c>
      <c r="F166">
        <v>15</v>
      </c>
      <c r="G166" t="s">
        <v>4799</v>
      </c>
      <c r="H166" t="s">
        <v>4804</v>
      </c>
      <c r="I166">
        <v>13.99</v>
      </c>
      <c r="J166">
        <v>1</v>
      </c>
      <c r="K166">
        <v>2.27</v>
      </c>
      <c r="L166">
        <v>0</v>
      </c>
      <c r="M166" t="s">
        <v>4812</v>
      </c>
      <c r="N166" t="s">
        <v>4900</v>
      </c>
      <c r="O166" t="s">
        <v>4912</v>
      </c>
    </row>
    <row r="167" spans="1:15" x14ac:dyDescent="0.35">
      <c r="A167" t="s">
        <v>180</v>
      </c>
      <c r="B167">
        <v>51</v>
      </c>
      <c r="C167" t="s">
        <v>4803</v>
      </c>
      <c r="D167" t="s">
        <v>13</v>
      </c>
      <c r="E167">
        <v>58</v>
      </c>
      <c r="F167">
        <v>30</v>
      </c>
      <c r="G167" t="s">
        <v>4798</v>
      </c>
      <c r="H167" t="s">
        <v>4805</v>
      </c>
      <c r="I167">
        <v>13.99</v>
      </c>
      <c r="J167">
        <v>3</v>
      </c>
      <c r="K167">
        <v>1.93</v>
      </c>
      <c r="L167">
        <v>1</v>
      </c>
      <c r="M167" t="s">
        <v>4808</v>
      </c>
      <c r="N167" t="s">
        <v>4899</v>
      </c>
      <c r="O167" t="s">
        <v>4910</v>
      </c>
    </row>
    <row r="168" spans="1:15" x14ac:dyDescent="0.35">
      <c r="A168" t="s">
        <v>181</v>
      </c>
      <c r="B168">
        <v>35</v>
      </c>
      <c r="C168" t="s">
        <v>4803</v>
      </c>
      <c r="D168" t="s">
        <v>13</v>
      </c>
      <c r="E168">
        <v>76</v>
      </c>
      <c r="F168">
        <v>18</v>
      </c>
      <c r="G168" t="s">
        <v>4800</v>
      </c>
      <c r="H168" t="s">
        <v>4805</v>
      </c>
      <c r="I168">
        <v>13.99</v>
      </c>
      <c r="J168">
        <v>3</v>
      </c>
      <c r="K168">
        <v>2.5299999999999998</v>
      </c>
      <c r="L168">
        <v>0</v>
      </c>
      <c r="M168" t="s">
        <v>4808</v>
      </c>
      <c r="N168" t="s">
        <v>4900</v>
      </c>
      <c r="O168" t="s">
        <v>4910</v>
      </c>
    </row>
    <row r="169" spans="1:15" x14ac:dyDescent="0.35">
      <c r="A169" t="s">
        <v>182</v>
      </c>
      <c r="B169">
        <v>51</v>
      </c>
      <c r="C169" t="s">
        <v>4803</v>
      </c>
      <c r="D169" t="s">
        <v>15</v>
      </c>
      <c r="E169">
        <v>62</v>
      </c>
      <c r="F169">
        <v>3</v>
      </c>
      <c r="G169" t="s">
        <v>4800</v>
      </c>
      <c r="H169" t="s">
        <v>4806</v>
      </c>
      <c r="I169">
        <v>17.989999999999998</v>
      </c>
      <c r="J169">
        <v>4</v>
      </c>
      <c r="K169">
        <v>2.0699999999999998</v>
      </c>
      <c r="L169">
        <v>0</v>
      </c>
      <c r="M169" t="s">
        <v>4808</v>
      </c>
      <c r="N169" t="s">
        <v>4900</v>
      </c>
      <c r="O169" t="s">
        <v>4910</v>
      </c>
    </row>
    <row r="170" spans="1:15" x14ac:dyDescent="0.35">
      <c r="A170" t="s">
        <v>183</v>
      </c>
      <c r="B170">
        <v>37</v>
      </c>
      <c r="C170" t="s">
        <v>4802</v>
      </c>
      <c r="D170" t="s">
        <v>13</v>
      </c>
      <c r="E170">
        <v>76</v>
      </c>
      <c r="F170">
        <v>44</v>
      </c>
      <c r="G170" t="s">
        <v>4798</v>
      </c>
      <c r="H170" t="s">
        <v>4805</v>
      </c>
      <c r="I170">
        <v>13.99</v>
      </c>
      <c r="J170">
        <v>2</v>
      </c>
      <c r="K170">
        <v>2.5299999999999998</v>
      </c>
      <c r="L170">
        <v>1</v>
      </c>
      <c r="M170" t="s">
        <v>4811</v>
      </c>
      <c r="N170" t="s">
        <v>4899</v>
      </c>
      <c r="O170" t="s">
        <v>4910</v>
      </c>
    </row>
    <row r="171" spans="1:15" x14ac:dyDescent="0.35">
      <c r="A171" t="s">
        <v>184</v>
      </c>
      <c r="B171">
        <v>54</v>
      </c>
      <c r="C171" t="s">
        <v>4803</v>
      </c>
      <c r="D171" t="s">
        <v>13</v>
      </c>
      <c r="E171">
        <v>79</v>
      </c>
      <c r="F171">
        <v>13</v>
      </c>
      <c r="G171" t="s">
        <v>4798</v>
      </c>
      <c r="H171" t="s">
        <v>4805</v>
      </c>
      <c r="I171">
        <v>13.99</v>
      </c>
      <c r="J171">
        <v>1</v>
      </c>
      <c r="K171">
        <v>2.63</v>
      </c>
      <c r="L171">
        <v>0</v>
      </c>
      <c r="M171" t="s">
        <v>4810</v>
      </c>
      <c r="N171" t="s">
        <v>4900</v>
      </c>
      <c r="O171" t="s">
        <v>4910</v>
      </c>
    </row>
    <row r="172" spans="1:15" x14ac:dyDescent="0.35">
      <c r="A172" t="s">
        <v>185</v>
      </c>
      <c r="B172">
        <v>21</v>
      </c>
      <c r="C172" t="s">
        <v>4802</v>
      </c>
      <c r="D172" t="s">
        <v>13</v>
      </c>
      <c r="E172">
        <v>36</v>
      </c>
      <c r="F172">
        <v>5</v>
      </c>
      <c r="G172" t="s">
        <v>4799</v>
      </c>
      <c r="H172" t="s">
        <v>4805</v>
      </c>
      <c r="I172">
        <v>13.99</v>
      </c>
      <c r="J172">
        <v>3</v>
      </c>
      <c r="K172">
        <v>1.2</v>
      </c>
      <c r="L172">
        <v>0</v>
      </c>
      <c r="M172" t="s">
        <v>4812</v>
      </c>
      <c r="N172" t="s">
        <v>4900</v>
      </c>
      <c r="O172" t="s">
        <v>4912</v>
      </c>
    </row>
    <row r="173" spans="1:15" x14ac:dyDescent="0.35">
      <c r="A173" t="s">
        <v>186</v>
      </c>
      <c r="B173">
        <v>32</v>
      </c>
      <c r="C173" t="s">
        <v>4803</v>
      </c>
      <c r="D173" t="s">
        <v>14</v>
      </c>
      <c r="E173">
        <v>78</v>
      </c>
      <c r="F173">
        <v>40</v>
      </c>
      <c r="G173" t="s">
        <v>4797</v>
      </c>
      <c r="H173" t="s">
        <v>4806</v>
      </c>
      <c r="I173">
        <v>8.99</v>
      </c>
      <c r="J173">
        <v>4</v>
      </c>
      <c r="K173">
        <v>5</v>
      </c>
      <c r="L173">
        <v>0</v>
      </c>
      <c r="M173" t="s">
        <v>4809</v>
      </c>
      <c r="N173" t="s">
        <v>4900</v>
      </c>
      <c r="O173" t="s">
        <v>4912</v>
      </c>
    </row>
    <row r="174" spans="1:15" x14ac:dyDescent="0.35">
      <c r="A174" t="s">
        <v>187</v>
      </c>
      <c r="B174">
        <v>18</v>
      </c>
      <c r="C174" t="s">
        <v>4802</v>
      </c>
      <c r="D174" t="s">
        <v>13</v>
      </c>
      <c r="E174">
        <v>71</v>
      </c>
      <c r="F174">
        <v>17</v>
      </c>
      <c r="G174" t="s">
        <v>4798</v>
      </c>
      <c r="H174" t="s">
        <v>4804</v>
      </c>
      <c r="I174">
        <v>13.99</v>
      </c>
      <c r="J174">
        <v>4</v>
      </c>
      <c r="K174">
        <v>2.37</v>
      </c>
      <c r="L174">
        <v>0</v>
      </c>
      <c r="M174" t="s">
        <v>4811</v>
      </c>
      <c r="N174" t="s">
        <v>4900</v>
      </c>
      <c r="O174" t="s">
        <v>4912</v>
      </c>
    </row>
    <row r="175" spans="1:15" x14ac:dyDescent="0.35">
      <c r="A175" t="s">
        <v>188</v>
      </c>
      <c r="B175">
        <v>52</v>
      </c>
      <c r="C175" t="s">
        <v>4803</v>
      </c>
      <c r="D175" t="s">
        <v>13</v>
      </c>
      <c r="E175">
        <v>73</v>
      </c>
      <c r="F175">
        <v>45</v>
      </c>
      <c r="G175" t="s">
        <v>4800</v>
      </c>
      <c r="H175" t="s">
        <v>4805</v>
      </c>
      <c r="I175">
        <v>13.99</v>
      </c>
      <c r="J175">
        <v>1</v>
      </c>
      <c r="K175">
        <v>2.4300000000000002</v>
      </c>
      <c r="L175">
        <v>0</v>
      </c>
      <c r="M175" t="s">
        <v>4812</v>
      </c>
      <c r="N175" t="s">
        <v>4900</v>
      </c>
      <c r="O175" t="s">
        <v>4910</v>
      </c>
    </row>
    <row r="176" spans="1:15" x14ac:dyDescent="0.35">
      <c r="A176" t="s">
        <v>189</v>
      </c>
      <c r="B176">
        <v>42</v>
      </c>
      <c r="C176" t="s">
        <v>4802</v>
      </c>
      <c r="D176" t="s">
        <v>13</v>
      </c>
      <c r="E176">
        <v>51</v>
      </c>
      <c r="F176">
        <v>49</v>
      </c>
      <c r="G176" t="s">
        <v>4797</v>
      </c>
      <c r="H176" t="s">
        <v>4804</v>
      </c>
      <c r="I176">
        <v>13.99</v>
      </c>
      <c r="J176">
        <v>3</v>
      </c>
      <c r="K176">
        <v>1.7</v>
      </c>
      <c r="L176">
        <v>0</v>
      </c>
      <c r="M176" t="s">
        <v>4808</v>
      </c>
      <c r="N176" t="s">
        <v>4900</v>
      </c>
      <c r="O176" t="s">
        <v>4910</v>
      </c>
    </row>
    <row r="177" spans="1:15" x14ac:dyDescent="0.35">
      <c r="A177" t="s">
        <v>190</v>
      </c>
      <c r="B177">
        <v>27</v>
      </c>
      <c r="C177" t="s">
        <v>4803</v>
      </c>
      <c r="D177" t="s">
        <v>15</v>
      </c>
      <c r="E177">
        <v>110</v>
      </c>
      <c r="F177">
        <v>16</v>
      </c>
      <c r="G177" t="s">
        <v>4799</v>
      </c>
      <c r="H177" t="s">
        <v>4806</v>
      </c>
      <c r="I177">
        <v>17.989999999999998</v>
      </c>
      <c r="J177">
        <v>5</v>
      </c>
      <c r="K177">
        <v>5</v>
      </c>
      <c r="L177">
        <v>1</v>
      </c>
      <c r="M177" t="s">
        <v>4808</v>
      </c>
      <c r="N177" t="s">
        <v>4899</v>
      </c>
      <c r="O177" t="s">
        <v>4912</v>
      </c>
    </row>
    <row r="178" spans="1:15" x14ac:dyDescent="0.35">
      <c r="A178" t="s">
        <v>191</v>
      </c>
      <c r="B178">
        <v>22</v>
      </c>
      <c r="C178" t="s">
        <v>4802</v>
      </c>
      <c r="D178" t="s">
        <v>13</v>
      </c>
      <c r="E178">
        <v>71</v>
      </c>
      <c r="F178">
        <v>33</v>
      </c>
      <c r="G178" t="s">
        <v>4800</v>
      </c>
      <c r="H178" t="s">
        <v>4804</v>
      </c>
      <c r="I178">
        <v>13.99</v>
      </c>
      <c r="J178">
        <v>4</v>
      </c>
      <c r="K178">
        <v>2.37</v>
      </c>
      <c r="L178">
        <v>1</v>
      </c>
      <c r="M178" t="s">
        <v>4812</v>
      </c>
      <c r="N178" t="s">
        <v>4899</v>
      </c>
      <c r="O178" t="s">
        <v>4912</v>
      </c>
    </row>
    <row r="179" spans="1:15" x14ac:dyDescent="0.35">
      <c r="A179" t="s">
        <v>192</v>
      </c>
      <c r="B179">
        <v>43</v>
      </c>
      <c r="C179" t="s">
        <v>4803</v>
      </c>
      <c r="D179" t="s">
        <v>15</v>
      </c>
      <c r="E179">
        <v>50</v>
      </c>
      <c r="F179">
        <v>0</v>
      </c>
      <c r="G179" t="s">
        <v>4799</v>
      </c>
      <c r="H179" t="s">
        <v>4804</v>
      </c>
      <c r="I179">
        <v>17.989999999999998</v>
      </c>
      <c r="J179">
        <v>4</v>
      </c>
      <c r="K179">
        <v>1.67</v>
      </c>
      <c r="L179">
        <v>0</v>
      </c>
      <c r="M179" t="s">
        <v>4812</v>
      </c>
      <c r="N179" t="s">
        <v>4900</v>
      </c>
      <c r="O179" t="s">
        <v>4910</v>
      </c>
    </row>
    <row r="180" spans="1:15" x14ac:dyDescent="0.35">
      <c r="A180" t="s">
        <v>193</v>
      </c>
      <c r="B180">
        <v>34</v>
      </c>
      <c r="C180" t="s">
        <v>4803</v>
      </c>
      <c r="D180" t="s">
        <v>13</v>
      </c>
      <c r="E180">
        <v>60</v>
      </c>
      <c r="F180">
        <v>57</v>
      </c>
      <c r="G180" t="s">
        <v>4798</v>
      </c>
      <c r="H180" t="s">
        <v>4806</v>
      </c>
      <c r="I180">
        <v>13.99</v>
      </c>
      <c r="J180">
        <v>1</v>
      </c>
      <c r="K180">
        <v>2</v>
      </c>
      <c r="L180">
        <v>0</v>
      </c>
      <c r="M180" t="s">
        <v>4812</v>
      </c>
      <c r="N180" t="s">
        <v>4900</v>
      </c>
      <c r="O180" t="s">
        <v>4912</v>
      </c>
    </row>
    <row r="181" spans="1:15" x14ac:dyDescent="0.35">
      <c r="A181" t="s">
        <v>194</v>
      </c>
      <c r="B181">
        <v>57</v>
      </c>
      <c r="C181" t="s">
        <v>4802</v>
      </c>
      <c r="D181" t="s">
        <v>13</v>
      </c>
      <c r="E181">
        <v>36</v>
      </c>
      <c r="F181">
        <v>54</v>
      </c>
      <c r="G181" t="s">
        <v>4799</v>
      </c>
      <c r="H181" t="s">
        <v>4805</v>
      </c>
      <c r="I181">
        <v>13.99</v>
      </c>
      <c r="J181">
        <v>1</v>
      </c>
      <c r="K181">
        <v>2.0299999999999998</v>
      </c>
      <c r="L181">
        <v>0</v>
      </c>
      <c r="M181" t="s">
        <v>4810</v>
      </c>
      <c r="N181" t="s">
        <v>4900</v>
      </c>
      <c r="O181" t="s">
        <v>4911</v>
      </c>
    </row>
    <row r="182" spans="1:15" x14ac:dyDescent="0.35">
      <c r="A182" t="s">
        <v>195</v>
      </c>
      <c r="B182">
        <v>65</v>
      </c>
      <c r="C182" t="s">
        <v>4802</v>
      </c>
      <c r="D182" t="s">
        <v>13</v>
      </c>
      <c r="E182">
        <v>39</v>
      </c>
      <c r="F182">
        <v>25</v>
      </c>
      <c r="G182" t="s">
        <v>4799</v>
      </c>
      <c r="H182" t="s">
        <v>4805</v>
      </c>
      <c r="I182">
        <v>13.99</v>
      </c>
      <c r="J182">
        <v>4</v>
      </c>
      <c r="K182">
        <v>1.3</v>
      </c>
      <c r="L182">
        <v>0</v>
      </c>
      <c r="M182" t="s">
        <v>4808</v>
      </c>
      <c r="N182" t="s">
        <v>4900</v>
      </c>
      <c r="O182" t="s">
        <v>4911</v>
      </c>
    </row>
    <row r="183" spans="1:15" x14ac:dyDescent="0.35">
      <c r="A183" t="s">
        <v>196</v>
      </c>
      <c r="B183">
        <v>23</v>
      </c>
      <c r="C183" t="s">
        <v>4802</v>
      </c>
      <c r="D183" t="s">
        <v>13</v>
      </c>
      <c r="E183">
        <v>54</v>
      </c>
      <c r="F183">
        <v>3</v>
      </c>
      <c r="G183" t="s">
        <v>4799</v>
      </c>
      <c r="H183" t="s">
        <v>4806</v>
      </c>
      <c r="I183">
        <v>13.99</v>
      </c>
      <c r="J183">
        <v>2</v>
      </c>
      <c r="K183">
        <v>1.8</v>
      </c>
      <c r="L183">
        <v>0</v>
      </c>
      <c r="M183" t="s">
        <v>4809</v>
      </c>
      <c r="N183" t="s">
        <v>4900</v>
      </c>
      <c r="O183" t="s">
        <v>4912</v>
      </c>
    </row>
    <row r="184" spans="1:15" x14ac:dyDescent="0.35">
      <c r="A184" t="s">
        <v>197</v>
      </c>
      <c r="B184">
        <v>61</v>
      </c>
      <c r="C184" t="s">
        <v>4803</v>
      </c>
      <c r="D184" t="s">
        <v>15</v>
      </c>
      <c r="E184">
        <v>78</v>
      </c>
      <c r="F184">
        <v>9</v>
      </c>
      <c r="G184" t="s">
        <v>4798</v>
      </c>
      <c r="H184" t="s">
        <v>4807</v>
      </c>
      <c r="I184">
        <v>17.989999999999998</v>
      </c>
      <c r="J184">
        <v>3</v>
      </c>
      <c r="K184">
        <v>2.6</v>
      </c>
      <c r="L184">
        <v>0</v>
      </c>
      <c r="M184" t="s">
        <v>4812</v>
      </c>
      <c r="N184" t="s">
        <v>4900</v>
      </c>
      <c r="O184" t="s">
        <v>4911</v>
      </c>
    </row>
    <row r="185" spans="1:15" x14ac:dyDescent="0.35">
      <c r="A185" t="s">
        <v>198</v>
      </c>
      <c r="B185">
        <v>56</v>
      </c>
      <c r="C185" t="s">
        <v>4802</v>
      </c>
      <c r="D185" t="s">
        <v>13</v>
      </c>
      <c r="E185">
        <v>38</v>
      </c>
      <c r="F185">
        <v>7</v>
      </c>
      <c r="G185" t="s">
        <v>4798</v>
      </c>
      <c r="H185" t="s">
        <v>4804</v>
      </c>
      <c r="I185">
        <v>13.99</v>
      </c>
      <c r="J185">
        <v>2</v>
      </c>
      <c r="K185">
        <v>1.27</v>
      </c>
      <c r="L185">
        <v>0</v>
      </c>
      <c r="M185" t="s">
        <v>4812</v>
      </c>
      <c r="N185" t="s">
        <v>4900</v>
      </c>
      <c r="O185" t="s">
        <v>4911</v>
      </c>
    </row>
    <row r="186" spans="1:15" x14ac:dyDescent="0.35">
      <c r="A186" t="s">
        <v>199</v>
      </c>
      <c r="B186">
        <v>46</v>
      </c>
      <c r="C186" t="s">
        <v>4802</v>
      </c>
      <c r="D186" t="s">
        <v>13</v>
      </c>
      <c r="E186">
        <v>77</v>
      </c>
      <c r="F186">
        <v>35</v>
      </c>
      <c r="G186" t="s">
        <v>4797</v>
      </c>
      <c r="H186" t="s">
        <v>4805</v>
      </c>
      <c r="I186">
        <v>13.99</v>
      </c>
      <c r="J186">
        <v>3</v>
      </c>
      <c r="K186">
        <v>2.57</v>
      </c>
      <c r="L186">
        <v>0</v>
      </c>
      <c r="M186" t="s">
        <v>4812</v>
      </c>
      <c r="N186" t="s">
        <v>4900</v>
      </c>
      <c r="O186" t="s">
        <v>4910</v>
      </c>
    </row>
    <row r="187" spans="1:15" x14ac:dyDescent="0.35">
      <c r="A187" t="s">
        <v>200</v>
      </c>
      <c r="B187">
        <v>40</v>
      </c>
      <c r="C187" t="s">
        <v>4802</v>
      </c>
      <c r="D187" t="s">
        <v>15</v>
      </c>
      <c r="E187">
        <v>94</v>
      </c>
      <c r="F187">
        <v>45</v>
      </c>
      <c r="G187" t="s">
        <v>4797</v>
      </c>
      <c r="H187" t="s">
        <v>4806</v>
      </c>
      <c r="I187">
        <v>17.989999999999998</v>
      </c>
      <c r="J187">
        <v>3</v>
      </c>
      <c r="K187">
        <v>5</v>
      </c>
      <c r="L187">
        <v>0</v>
      </c>
      <c r="M187" t="s">
        <v>4809</v>
      </c>
      <c r="N187" t="s">
        <v>4900</v>
      </c>
      <c r="O187" t="s">
        <v>4910</v>
      </c>
    </row>
    <row r="188" spans="1:15" x14ac:dyDescent="0.35">
      <c r="A188" t="s">
        <v>201</v>
      </c>
      <c r="B188">
        <v>22</v>
      </c>
      <c r="C188" t="s">
        <v>4802</v>
      </c>
      <c r="D188" t="s">
        <v>13</v>
      </c>
      <c r="E188">
        <v>58</v>
      </c>
      <c r="F188">
        <v>50</v>
      </c>
      <c r="G188" t="s">
        <v>4798</v>
      </c>
      <c r="H188" t="s">
        <v>4805</v>
      </c>
      <c r="I188">
        <v>13.99</v>
      </c>
      <c r="J188">
        <v>3</v>
      </c>
      <c r="K188">
        <v>1.93</v>
      </c>
      <c r="L188">
        <v>0</v>
      </c>
      <c r="M188" t="s">
        <v>4808</v>
      </c>
      <c r="N188" t="s">
        <v>4900</v>
      </c>
      <c r="O188" t="s">
        <v>4912</v>
      </c>
    </row>
    <row r="189" spans="1:15" x14ac:dyDescent="0.35">
      <c r="A189" t="s">
        <v>202</v>
      </c>
      <c r="B189">
        <v>36</v>
      </c>
      <c r="C189" t="s">
        <v>4803</v>
      </c>
      <c r="D189" t="s">
        <v>15</v>
      </c>
      <c r="E189">
        <v>59</v>
      </c>
      <c r="F189">
        <v>59</v>
      </c>
      <c r="G189" t="s">
        <v>4798</v>
      </c>
      <c r="H189" t="s">
        <v>4804</v>
      </c>
      <c r="I189">
        <v>17.989999999999998</v>
      </c>
      <c r="J189">
        <v>3</v>
      </c>
      <c r="K189">
        <v>1.97</v>
      </c>
      <c r="L189">
        <v>1</v>
      </c>
      <c r="M189" t="s">
        <v>4812</v>
      </c>
      <c r="N189" t="s">
        <v>4899</v>
      </c>
      <c r="O189" t="s">
        <v>4910</v>
      </c>
    </row>
    <row r="190" spans="1:15" x14ac:dyDescent="0.35">
      <c r="A190" t="s">
        <v>203</v>
      </c>
      <c r="B190">
        <v>35</v>
      </c>
      <c r="C190" t="s">
        <v>4803</v>
      </c>
      <c r="D190" t="s">
        <v>15</v>
      </c>
      <c r="E190">
        <v>110</v>
      </c>
      <c r="F190">
        <v>9</v>
      </c>
      <c r="G190" t="s">
        <v>4798</v>
      </c>
      <c r="H190" t="s">
        <v>4805</v>
      </c>
      <c r="I190">
        <v>17.989999999999998</v>
      </c>
      <c r="J190">
        <v>3</v>
      </c>
      <c r="K190">
        <v>3.67</v>
      </c>
      <c r="L190">
        <v>0</v>
      </c>
      <c r="M190" t="s">
        <v>4812</v>
      </c>
      <c r="N190" t="s">
        <v>4900</v>
      </c>
      <c r="O190" t="s">
        <v>4910</v>
      </c>
    </row>
    <row r="191" spans="1:15" x14ac:dyDescent="0.35">
      <c r="A191" t="s">
        <v>204</v>
      </c>
      <c r="B191">
        <v>18</v>
      </c>
      <c r="C191" t="s">
        <v>4802</v>
      </c>
      <c r="D191" t="s">
        <v>14</v>
      </c>
      <c r="E191">
        <v>43</v>
      </c>
      <c r="F191">
        <v>9</v>
      </c>
      <c r="G191" t="s">
        <v>4797</v>
      </c>
      <c r="H191" t="s">
        <v>4804</v>
      </c>
      <c r="I191">
        <v>8.99</v>
      </c>
      <c r="J191">
        <v>1</v>
      </c>
      <c r="K191">
        <v>1.43</v>
      </c>
      <c r="L191">
        <v>0</v>
      </c>
      <c r="M191" t="s">
        <v>4812</v>
      </c>
      <c r="N191" t="s">
        <v>4900</v>
      </c>
      <c r="O191" t="s">
        <v>4912</v>
      </c>
    </row>
    <row r="192" spans="1:15" x14ac:dyDescent="0.35">
      <c r="A192" t="s">
        <v>205</v>
      </c>
      <c r="B192">
        <v>33</v>
      </c>
      <c r="C192" t="s">
        <v>4802</v>
      </c>
      <c r="D192" t="s">
        <v>15</v>
      </c>
      <c r="E192">
        <v>115</v>
      </c>
      <c r="F192">
        <v>50</v>
      </c>
      <c r="G192" t="s">
        <v>4798</v>
      </c>
      <c r="H192" t="s">
        <v>4807</v>
      </c>
      <c r="I192">
        <v>17.989999999999998</v>
      </c>
      <c r="J192">
        <v>5</v>
      </c>
      <c r="K192">
        <v>3.83</v>
      </c>
      <c r="L192">
        <v>0</v>
      </c>
      <c r="M192" t="s">
        <v>4811</v>
      </c>
      <c r="N192" t="s">
        <v>4900</v>
      </c>
      <c r="O192" t="s">
        <v>4912</v>
      </c>
    </row>
    <row r="193" spans="1:15" x14ac:dyDescent="0.35">
      <c r="A193" t="s">
        <v>206</v>
      </c>
      <c r="B193">
        <v>62</v>
      </c>
      <c r="C193" t="s">
        <v>4803</v>
      </c>
      <c r="D193" t="s">
        <v>13</v>
      </c>
      <c r="E193">
        <v>61</v>
      </c>
      <c r="F193">
        <v>20</v>
      </c>
      <c r="G193" t="s">
        <v>4800</v>
      </c>
      <c r="H193" t="s">
        <v>4805</v>
      </c>
      <c r="I193">
        <v>13.99</v>
      </c>
      <c r="J193">
        <v>1</v>
      </c>
      <c r="K193">
        <v>2.0299999999999998</v>
      </c>
      <c r="L193">
        <v>0</v>
      </c>
      <c r="M193" t="s">
        <v>4809</v>
      </c>
      <c r="N193" t="s">
        <v>4900</v>
      </c>
      <c r="O193" t="s">
        <v>4911</v>
      </c>
    </row>
    <row r="194" spans="1:15" x14ac:dyDescent="0.35">
      <c r="A194" t="s">
        <v>207</v>
      </c>
      <c r="B194">
        <v>60</v>
      </c>
      <c r="C194" t="s">
        <v>4802</v>
      </c>
      <c r="D194" t="s">
        <v>15</v>
      </c>
      <c r="E194">
        <v>100</v>
      </c>
      <c r="F194" t="s">
        <v>4814</v>
      </c>
      <c r="G194" t="s">
        <v>4799</v>
      </c>
      <c r="H194" t="s">
        <v>4804</v>
      </c>
      <c r="I194">
        <v>17.989999999999998</v>
      </c>
      <c r="J194">
        <v>5</v>
      </c>
      <c r="K194">
        <v>3.33</v>
      </c>
      <c r="L194">
        <v>0</v>
      </c>
      <c r="M194" t="s">
        <v>4812</v>
      </c>
      <c r="N194" t="s">
        <v>4900</v>
      </c>
      <c r="O194" t="s">
        <v>4911</v>
      </c>
    </row>
    <row r="195" spans="1:15" x14ac:dyDescent="0.35">
      <c r="A195" t="s">
        <v>208</v>
      </c>
      <c r="B195">
        <v>65</v>
      </c>
      <c r="C195" t="s">
        <v>4803</v>
      </c>
      <c r="D195" t="s">
        <v>15</v>
      </c>
      <c r="E195">
        <v>54</v>
      </c>
      <c r="F195">
        <v>31</v>
      </c>
      <c r="G195" t="s">
        <v>4799</v>
      </c>
      <c r="H195" t="s">
        <v>4805</v>
      </c>
      <c r="I195">
        <v>17.989999999999998</v>
      </c>
      <c r="J195">
        <v>3</v>
      </c>
      <c r="K195">
        <v>1.8</v>
      </c>
      <c r="L195">
        <v>1</v>
      </c>
      <c r="M195" t="s">
        <v>4811</v>
      </c>
      <c r="N195" t="s">
        <v>4899</v>
      </c>
      <c r="O195" t="s">
        <v>4911</v>
      </c>
    </row>
    <row r="196" spans="1:15" x14ac:dyDescent="0.35">
      <c r="A196" t="s">
        <v>209</v>
      </c>
      <c r="B196">
        <v>21</v>
      </c>
      <c r="C196" t="s">
        <v>4802</v>
      </c>
      <c r="D196" t="s">
        <v>13</v>
      </c>
      <c r="E196">
        <v>57</v>
      </c>
      <c r="F196">
        <v>4</v>
      </c>
      <c r="G196" t="s">
        <v>4797</v>
      </c>
      <c r="H196" t="s">
        <v>4806</v>
      </c>
      <c r="I196">
        <v>13.99</v>
      </c>
      <c r="J196">
        <v>3</v>
      </c>
      <c r="K196">
        <v>1.9</v>
      </c>
      <c r="L196">
        <v>0</v>
      </c>
      <c r="M196" t="s">
        <v>4812</v>
      </c>
      <c r="N196" t="s">
        <v>4900</v>
      </c>
      <c r="O196" t="s">
        <v>4912</v>
      </c>
    </row>
    <row r="197" spans="1:15" x14ac:dyDescent="0.35">
      <c r="A197" t="s">
        <v>210</v>
      </c>
      <c r="B197">
        <v>49</v>
      </c>
      <c r="C197" t="s">
        <v>4802</v>
      </c>
      <c r="D197" t="s">
        <v>13</v>
      </c>
      <c r="E197">
        <v>34</v>
      </c>
      <c r="F197">
        <v>6</v>
      </c>
      <c r="G197" t="s">
        <v>4800</v>
      </c>
      <c r="H197" t="s">
        <v>4804</v>
      </c>
      <c r="I197">
        <v>13.99</v>
      </c>
      <c r="J197">
        <v>4</v>
      </c>
      <c r="K197">
        <v>2.0299999999999998</v>
      </c>
      <c r="L197">
        <v>0</v>
      </c>
      <c r="M197" t="s">
        <v>4809</v>
      </c>
      <c r="N197" t="s">
        <v>4900</v>
      </c>
      <c r="O197" t="s">
        <v>4910</v>
      </c>
    </row>
    <row r="198" spans="1:15" x14ac:dyDescent="0.35">
      <c r="A198" t="s">
        <v>211</v>
      </c>
      <c r="B198">
        <v>38</v>
      </c>
      <c r="C198" t="s">
        <v>4802</v>
      </c>
      <c r="D198" t="s">
        <v>13</v>
      </c>
      <c r="E198">
        <v>57</v>
      </c>
      <c r="F198">
        <v>9</v>
      </c>
      <c r="G198" t="s">
        <v>4799</v>
      </c>
      <c r="H198" t="s">
        <v>4805</v>
      </c>
      <c r="I198">
        <v>13.99</v>
      </c>
      <c r="J198">
        <v>4</v>
      </c>
      <c r="K198">
        <v>2.0299999999999998</v>
      </c>
      <c r="L198">
        <v>0</v>
      </c>
      <c r="M198" t="s">
        <v>4812</v>
      </c>
      <c r="N198" t="s">
        <v>4900</v>
      </c>
      <c r="O198" t="s">
        <v>4910</v>
      </c>
    </row>
    <row r="199" spans="1:15" x14ac:dyDescent="0.35">
      <c r="A199" t="s">
        <v>212</v>
      </c>
      <c r="B199">
        <v>24</v>
      </c>
      <c r="C199" t="s">
        <v>4803</v>
      </c>
      <c r="D199" t="s">
        <v>15</v>
      </c>
      <c r="E199">
        <v>120</v>
      </c>
      <c r="F199">
        <v>25</v>
      </c>
      <c r="G199" t="s">
        <v>4797</v>
      </c>
      <c r="H199" t="s">
        <v>4804</v>
      </c>
      <c r="I199">
        <v>17.989999999999998</v>
      </c>
      <c r="J199">
        <v>3</v>
      </c>
      <c r="K199">
        <v>4</v>
      </c>
      <c r="L199">
        <v>0</v>
      </c>
      <c r="M199" t="s">
        <v>4812</v>
      </c>
      <c r="N199" t="s">
        <v>4900</v>
      </c>
      <c r="O199" t="s">
        <v>4912</v>
      </c>
    </row>
    <row r="200" spans="1:15" x14ac:dyDescent="0.35">
      <c r="A200" t="s">
        <v>213</v>
      </c>
      <c r="B200">
        <v>47</v>
      </c>
      <c r="C200" t="s">
        <v>4802</v>
      </c>
      <c r="D200" t="s">
        <v>13</v>
      </c>
      <c r="E200">
        <v>72</v>
      </c>
      <c r="F200" t="s">
        <v>4814</v>
      </c>
      <c r="G200" t="s">
        <v>4799</v>
      </c>
      <c r="H200" t="s">
        <v>4804</v>
      </c>
      <c r="I200">
        <v>13.99</v>
      </c>
      <c r="J200">
        <v>3</v>
      </c>
      <c r="K200">
        <v>2.0299999999999998</v>
      </c>
      <c r="L200">
        <v>1</v>
      </c>
      <c r="M200" t="s">
        <v>4811</v>
      </c>
      <c r="N200" t="s">
        <v>4899</v>
      </c>
      <c r="O200" t="s">
        <v>4910</v>
      </c>
    </row>
    <row r="201" spans="1:15" x14ac:dyDescent="0.35">
      <c r="A201" t="s">
        <v>214</v>
      </c>
      <c r="B201">
        <v>63</v>
      </c>
      <c r="C201" t="s">
        <v>4802</v>
      </c>
      <c r="D201" t="s">
        <v>15</v>
      </c>
      <c r="E201">
        <v>98</v>
      </c>
      <c r="F201">
        <v>52</v>
      </c>
      <c r="G201" t="s">
        <v>4798</v>
      </c>
      <c r="H201" t="s">
        <v>4805</v>
      </c>
      <c r="I201">
        <v>17.989999999999998</v>
      </c>
      <c r="J201">
        <v>4</v>
      </c>
      <c r="K201">
        <v>2.0299999999999998</v>
      </c>
      <c r="L201">
        <v>0</v>
      </c>
      <c r="M201" t="s">
        <v>4812</v>
      </c>
      <c r="N201" t="s">
        <v>4900</v>
      </c>
      <c r="O201" t="s">
        <v>4911</v>
      </c>
    </row>
    <row r="202" spans="1:15" x14ac:dyDescent="0.35">
      <c r="A202" t="s">
        <v>215</v>
      </c>
      <c r="B202">
        <v>22</v>
      </c>
      <c r="C202" t="s">
        <v>4803</v>
      </c>
      <c r="D202" t="s">
        <v>13</v>
      </c>
      <c r="E202">
        <v>49</v>
      </c>
      <c r="F202">
        <v>11</v>
      </c>
      <c r="G202" t="s">
        <v>4797</v>
      </c>
      <c r="H202" t="s">
        <v>4805</v>
      </c>
      <c r="I202">
        <v>13.99</v>
      </c>
      <c r="J202">
        <v>1</v>
      </c>
      <c r="K202">
        <v>1.63</v>
      </c>
      <c r="L202">
        <v>0</v>
      </c>
      <c r="M202" t="s">
        <v>4809</v>
      </c>
      <c r="N202" t="s">
        <v>4900</v>
      </c>
      <c r="O202" t="s">
        <v>4912</v>
      </c>
    </row>
    <row r="203" spans="1:15" x14ac:dyDescent="0.35">
      <c r="A203" t="s">
        <v>216</v>
      </c>
      <c r="B203">
        <v>40</v>
      </c>
      <c r="C203" t="s">
        <v>4802</v>
      </c>
      <c r="D203" t="s">
        <v>14</v>
      </c>
      <c r="E203">
        <v>15</v>
      </c>
      <c r="F203">
        <v>9</v>
      </c>
      <c r="G203" t="s">
        <v>4799</v>
      </c>
      <c r="H203" t="s">
        <v>4805</v>
      </c>
      <c r="I203">
        <v>8.99</v>
      </c>
      <c r="J203">
        <v>2</v>
      </c>
      <c r="K203">
        <v>2.0299999999999998</v>
      </c>
      <c r="L203">
        <v>0</v>
      </c>
      <c r="M203" t="s">
        <v>4809</v>
      </c>
      <c r="N203" t="s">
        <v>4900</v>
      </c>
      <c r="O203" t="s">
        <v>4910</v>
      </c>
    </row>
    <row r="204" spans="1:15" x14ac:dyDescent="0.35">
      <c r="A204" t="s">
        <v>217</v>
      </c>
      <c r="B204">
        <v>24</v>
      </c>
      <c r="C204" t="s">
        <v>4802</v>
      </c>
      <c r="D204" t="s">
        <v>13</v>
      </c>
      <c r="E204">
        <v>46</v>
      </c>
      <c r="F204">
        <v>4</v>
      </c>
      <c r="G204" t="s">
        <v>4797</v>
      </c>
      <c r="H204" t="s">
        <v>4804</v>
      </c>
      <c r="I204">
        <v>13.99</v>
      </c>
      <c r="J204">
        <v>2</v>
      </c>
      <c r="K204">
        <v>1.53</v>
      </c>
      <c r="L204">
        <v>0</v>
      </c>
      <c r="M204" t="s">
        <v>4808</v>
      </c>
      <c r="N204" t="s">
        <v>4900</v>
      </c>
      <c r="O204" t="s">
        <v>4912</v>
      </c>
    </row>
    <row r="205" spans="1:15" x14ac:dyDescent="0.35">
      <c r="A205" t="s">
        <v>218</v>
      </c>
      <c r="B205">
        <v>51</v>
      </c>
      <c r="C205" t="s">
        <v>4803</v>
      </c>
      <c r="D205" t="s">
        <v>13</v>
      </c>
      <c r="E205">
        <v>47</v>
      </c>
      <c r="F205">
        <v>50</v>
      </c>
      <c r="G205" t="s">
        <v>4798</v>
      </c>
      <c r="H205" t="s">
        <v>4806</v>
      </c>
      <c r="I205">
        <v>13.99</v>
      </c>
      <c r="J205">
        <v>4</v>
      </c>
      <c r="K205">
        <v>1.57</v>
      </c>
      <c r="L205">
        <v>1</v>
      </c>
      <c r="M205" t="s">
        <v>4810</v>
      </c>
      <c r="N205" t="s">
        <v>4899</v>
      </c>
      <c r="O205" t="s">
        <v>4910</v>
      </c>
    </row>
    <row r="206" spans="1:15" x14ac:dyDescent="0.35">
      <c r="A206" t="s">
        <v>219</v>
      </c>
      <c r="B206">
        <v>45</v>
      </c>
      <c r="C206" t="s">
        <v>4803</v>
      </c>
      <c r="D206" t="s">
        <v>13</v>
      </c>
      <c r="E206">
        <v>45</v>
      </c>
      <c r="F206">
        <v>3</v>
      </c>
      <c r="G206" t="s">
        <v>4799</v>
      </c>
      <c r="H206" t="s">
        <v>4805</v>
      </c>
      <c r="I206">
        <v>13.99</v>
      </c>
      <c r="J206">
        <v>2</v>
      </c>
      <c r="K206">
        <v>1.5</v>
      </c>
      <c r="L206">
        <v>0</v>
      </c>
      <c r="M206" t="s">
        <v>4808</v>
      </c>
      <c r="N206" t="s">
        <v>4900</v>
      </c>
      <c r="O206" t="s">
        <v>4910</v>
      </c>
    </row>
    <row r="207" spans="1:15" x14ac:dyDescent="0.35">
      <c r="A207" t="s">
        <v>220</v>
      </c>
      <c r="B207">
        <v>63</v>
      </c>
      <c r="C207" t="s">
        <v>4802</v>
      </c>
      <c r="D207" t="s">
        <v>13</v>
      </c>
      <c r="E207">
        <v>73</v>
      </c>
      <c r="F207">
        <v>5</v>
      </c>
      <c r="G207" t="s">
        <v>4798</v>
      </c>
      <c r="H207" t="s">
        <v>4805</v>
      </c>
      <c r="I207">
        <v>13.99</v>
      </c>
      <c r="J207">
        <v>4</v>
      </c>
      <c r="K207">
        <v>2.4300000000000002</v>
      </c>
      <c r="L207">
        <v>0</v>
      </c>
      <c r="M207" t="s">
        <v>4811</v>
      </c>
      <c r="N207" t="s">
        <v>4900</v>
      </c>
      <c r="O207" t="s">
        <v>4911</v>
      </c>
    </row>
    <row r="208" spans="1:15" x14ac:dyDescent="0.35">
      <c r="A208" t="s">
        <v>221</v>
      </c>
      <c r="B208">
        <v>30</v>
      </c>
      <c r="C208" t="s">
        <v>4803</v>
      </c>
      <c r="D208" t="s">
        <v>13</v>
      </c>
      <c r="E208">
        <v>77</v>
      </c>
      <c r="F208">
        <v>57</v>
      </c>
      <c r="G208" t="s">
        <v>4799</v>
      </c>
      <c r="H208" t="s">
        <v>4805</v>
      </c>
      <c r="I208">
        <v>13.99</v>
      </c>
      <c r="J208">
        <v>1</v>
      </c>
      <c r="K208">
        <v>2.57</v>
      </c>
      <c r="L208">
        <v>0</v>
      </c>
      <c r="M208" t="s">
        <v>4810</v>
      </c>
      <c r="N208" t="s">
        <v>4900</v>
      </c>
      <c r="O208" t="s">
        <v>4912</v>
      </c>
    </row>
    <row r="209" spans="1:15" x14ac:dyDescent="0.35">
      <c r="A209" t="s">
        <v>222</v>
      </c>
      <c r="B209">
        <v>48</v>
      </c>
      <c r="C209" t="s">
        <v>4803</v>
      </c>
      <c r="D209" t="s">
        <v>13</v>
      </c>
      <c r="E209">
        <v>68</v>
      </c>
      <c r="F209">
        <v>1</v>
      </c>
      <c r="G209" t="s">
        <v>4797</v>
      </c>
      <c r="H209" t="s">
        <v>4805</v>
      </c>
      <c r="I209">
        <v>13.99</v>
      </c>
      <c r="J209">
        <v>4</v>
      </c>
      <c r="K209">
        <v>2.27</v>
      </c>
      <c r="L209">
        <v>0</v>
      </c>
      <c r="M209" t="s">
        <v>4810</v>
      </c>
      <c r="N209" t="s">
        <v>4900</v>
      </c>
      <c r="O209" t="s">
        <v>4910</v>
      </c>
    </row>
    <row r="210" spans="1:15" x14ac:dyDescent="0.35">
      <c r="A210" t="s">
        <v>223</v>
      </c>
      <c r="B210">
        <v>56</v>
      </c>
      <c r="C210" t="s">
        <v>4803</v>
      </c>
      <c r="D210" t="s">
        <v>13</v>
      </c>
      <c r="E210">
        <v>58</v>
      </c>
      <c r="F210">
        <v>5</v>
      </c>
      <c r="G210" t="s">
        <v>4797</v>
      </c>
      <c r="H210" t="s">
        <v>4804</v>
      </c>
      <c r="I210">
        <v>13.99</v>
      </c>
      <c r="J210">
        <v>2</v>
      </c>
      <c r="K210">
        <v>1.93</v>
      </c>
      <c r="L210">
        <v>0</v>
      </c>
      <c r="M210" t="s">
        <v>4811</v>
      </c>
      <c r="N210" t="s">
        <v>4900</v>
      </c>
      <c r="O210" t="s">
        <v>4911</v>
      </c>
    </row>
    <row r="211" spans="1:15" x14ac:dyDescent="0.35">
      <c r="A211" t="s">
        <v>224</v>
      </c>
      <c r="B211">
        <v>44</v>
      </c>
      <c r="C211" t="s">
        <v>4803</v>
      </c>
      <c r="D211" t="s">
        <v>13</v>
      </c>
      <c r="E211">
        <v>79</v>
      </c>
      <c r="F211">
        <v>999</v>
      </c>
      <c r="G211" t="s">
        <v>4798</v>
      </c>
      <c r="H211" t="s">
        <v>4804</v>
      </c>
      <c r="I211">
        <v>13.99</v>
      </c>
      <c r="J211">
        <v>4</v>
      </c>
      <c r="K211">
        <v>2.63</v>
      </c>
      <c r="L211">
        <v>0</v>
      </c>
      <c r="M211" t="s">
        <v>4812</v>
      </c>
      <c r="N211" t="s">
        <v>4900</v>
      </c>
      <c r="O211" t="s">
        <v>4910</v>
      </c>
    </row>
    <row r="212" spans="1:15" x14ac:dyDescent="0.35">
      <c r="A212" t="s">
        <v>225</v>
      </c>
      <c r="B212">
        <v>60</v>
      </c>
      <c r="C212" t="s">
        <v>4803</v>
      </c>
      <c r="D212" t="s">
        <v>13</v>
      </c>
      <c r="E212">
        <v>70</v>
      </c>
      <c r="F212">
        <v>40</v>
      </c>
      <c r="G212" t="s">
        <v>4797</v>
      </c>
      <c r="H212" t="s">
        <v>4805</v>
      </c>
      <c r="I212">
        <v>13.99</v>
      </c>
      <c r="J212">
        <v>4</v>
      </c>
      <c r="K212">
        <v>2.33</v>
      </c>
      <c r="L212">
        <v>0</v>
      </c>
      <c r="M212" t="s">
        <v>4808</v>
      </c>
      <c r="N212" t="s">
        <v>4900</v>
      </c>
      <c r="O212" t="s">
        <v>4911</v>
      </c>
    </row>
    <row r="213" spans="1:15" x14ac:dyDescent="0.35">
      <c r="A213" t="s">
        <v>226</v>
      </c>
      <c r="B213">
        <v>35</v>
      </c>
      <c r="C213" t="s">
        <v>4802</v>
      </c>
      <c r="D213" t="s">
        <v>13</v>
      </c>
      <c r="E213">
        <v>40</v>
      </c>
      <c r="F213">
        <v>37</v>
      </c>
      <c r="G213" t="s">
        <v>4798</v>
      </c>
      <c r="H213" t="s">
        <v>4804</v>
      </c>
      <c r="I213">
        <v>13.99</v>
      </c>
      <c r="J213">
        <v>3</v>
      </c>
      <c r="K213">
        <v>1.33</v>
      </c>
      <c r="L213">
        <v>1</v>
      </c>
      <c r="M213" t="s">
        <v>4810</v>
      </c>
      <c r="N213" t="s">
        <v>4899</v>
      </c>
      <c r="O213" t="s">
        <v>4910</v>
      </c>
    </row>
    <row r="214" spans="1:15" x14ac:dyDescent="0.35">
      <c r="A214" t="s">
        <v>227</v>
      </c>
      <c r="B214">
        <v>57</v>
      </c>
      <c r="C214" t="s">
        <v>4803</v>
      </c>
      <c r="D214" t="s">
        <v>13</v>
      </c>
      <c r="E214">
        <v>43</v>
      </c>
      <c r="F214">
        <v>36</v>
      </c>
      <c r="G214" t="s">
        <v>4799</v>
      </c>
      <c r="H214" t="s">
        <v>4805</v>
      </c>
      <c r="I214">
        <v>13.99</v>
      </c>
      <c r="J214">
        <v>2</v>
      </c>
      <c r="K214">
        <v>1.43</v>
      </c>
      <c r="L214">
        <v>0</v>
      </c>
      <c r="M214" t="s">
        <v>4811</v>
      </c>
      <c r="N214" t="s">
        <v>4900</v>
      </c>
      <c r="O214" t="s">
        <v>4911</v>
      </c>
    </row>
    <row r="215" spans="1:15" x14ac:dyDescent="0.35">
      <c r="A215" t="s">
        <v>228</v>
      </c>
      <c r="B215">
        <v>31</v>
      </c>
      <c r="C215" t="s">
        <v>4803</v>
      </c>
      <c r="D215" t="s">
        <v>13</v>
      </c>
      <c r="E215">
        <v>30</v>
      </c>
      <c r="F215">
        <v>11</v>
      </c>
      <c r="G215" t="s">
        <v>4798</v>
      </c>
      <c r="H215" t="s">
        <v>4805</v>
      </c>
      <c r="I215">
        <v>13.99</v>
      </c>
      <c r="J215">
        <v>2</v>
      </c>
      <c r="K215">
        <v>1</v>
      </c>
      <c r="L215">
        <v>0</v>
      </c>
      <c r="M215" t="s">
        <v>4808</v>
      </c>
      <c r="N215" t="s">
        <v>4900</v>
      </c>
      <c r="O215" t="s">
        <v>4912</v>
      </c>
    </row>
    <row r="216" spans="1:15" x14ac:dyDescent="0.35">
      <c r="A216" t="s">
        <v>229</v>
      </c>
      <c r="B216">
        <v>45</v>
      </c>
      <c r="C216" t="s">
        <v>4802</v>
      </c>
      <c r="D216" t="s">
        <v>13</v>
      </c>
      <c r="E216">
        <v>64</v>
      </c>
      <c r="F216">
        <v>32</v>
      </c>
      <c r="G216" t="s">
        <v>4797</v>
      </c>
      <c r="H216" t="s">
        <v>4805</v>
      </c>
      <c r="I216">
        <v>13.99</v>
      </c>
      <c r="J216">
        <v>4</v>
      </c>
      <c r="K216">
        <v>2.13</v>
      </c>
      <c r="L216">
        <v>0</v>
      </c>
      <c r="M216" t="s">
        <v>4812</v>
      </c>
      <c r="N216" t="s">
        <v>4900</v>
      </c>
      <c r="O216" t="s">
        <v>4910</v>
      </c>
    </row>
    <row r="217" spans="1:15" x14ac:dyDescent="0.35">
      <c r="A217" t="s">
        <v>230</v>
      </c>
      <c r="B217">
        <v>35</v>
      </c>
      <c r="C217" t="s">
        <v>4802</v>
      </c>
      <c r="D217" t="s">
        <v>13</v>
      </c>
      <c r="E217">
        <v>45</v>
      </c>
      <c r="F217">
        <v>13</v>
      </c>
      <c r="G217" t="s">
        <v>4800</v>
      </c>
      <c r="H217" t="s">
        <v>4806</v>
      </c>
      <c r="I217">
        <v>13.99</v>
      </c>
      <c r="J217">
        <v>3</v>
      </c>
      <c r="K217">
        <v>1.5</v>
      </c>
      <c r="L217">
        <v>0</v>
      </c>
      <c r="M217" t="s">
        <v>4809</v>
      </c>
      <c r="N217" t="s">
        <v>4900</v>
      </c>
      <c r="O217" t="s">
        <v>4910</v>
      </c>
    </row>
    <row r="218" spans="1:15" x14ac:dyDescent="0.35">
      <c r="A218" t="s">
        <v>231</v>
      </c>
      <c r="B218">
        <v>49</v>
      </c>
      <c r="C218" t="s">
        <v>4802</v>
      </c>
      <c r="D218" t="s">
        <v>13</v>
      </c>
      <c r="E218">
        <v>57</v>
      </c>
      <c r="F218">
        <v>43</v>
      </c>
      <c r="G218" t="s">
        <v>4798</v>
      </c>
      <c r="H218" t="s">
        <v>4805</v>
      </c>
      <c r="I218">
        <v>13.99</v>
      </c>
      <c r="J218">
        <v>1</v>
      </c>
      <c r="K218">
        <v>1.9</v>
      </c>
      <c r="L218">
        <v>0</v>
      </c>
      <c r="M218" t="s">
        <v>4809</v>
      </c>
      <c r="N218" t="s">
        <v>4900</v>
      </c>
      <c r="O218" t="s">
        <v>4910</v>
      </c>
    </row>
    <row r="219" spans="1:15" x14ac:dyDescent="0.35">
      <c r="A219" t="s">
        <v>232</v>
      </c>
      <c r="B219">
        <v>56</v>
      </c>
      <c r="C219" t="s">
        <v>4803</v>
      </c>
      <c r="D219" t="s">
        <v>13</v>
      </c>
      <c r="E219">
        <v>38</v>
      </c>
      <c r="F219">
        <v>59</v>
      </c>
      <c r="G219" t="s">
        <v>4798</v>
      </c>
      <c r="H219" t="s">
        <v>4806</v>
      </c>
      <c r="I219">
        <v>13.99</v>
      </c>
      <c r="J219">
        <v>4</v>
      </c>
      <c r="K219">
        <v>1.27</v>
      </c>
      <c r="L219">
        <v>1</v>
      </c>
      <c r="M219" t="s">
        <v>4812</v>
      </c>
      <c r="N219" t="s">
        <v>4899</v>
      </c>
      <c r="O219" t="s">
        <v>4911</v>
      </c>
    </row>
    <row r="220" spans="1:15" x14ac:dyDescent="0.35">
      <c r="A220" t="s">
        <v>233</v>
      </c>
      <c r="B220">
        <v>28</v>
      </c>
      <c r="C220" t="s">
        <v>4803</v>
      </c>
      <c r="D220" t="s">
        <v>14</v>
      </c>
      <c r="E220">
        <v>37</v>
      </c>
      <c r="F220">
        <v>17</v>
      </c>
      <c r="G220" t="s">
        <v>4797</v>
      </c>
      <c r="H220" t="s">
        <v>4806</v>
      </c>
      <c r="I220">
        <v>8.99</v>
      </c>
      <c r="J220">
        <v>2</v>
      </c>
      <c r="K220">
        <v>1.23</v>
      </c>
      <c r="L220">
        <v>0</v>
      </c>
      <c r="M220" t="s">
        <v>4812</v>
      </c>
      <c r="N220" t="s">
        <v>4900</v>
      </c>
      <c r="O220" t="s">
        <v>4912</v>
      </c>
    </row>
    <row r="221" spans="1:15" x14ac:dyDescent="0.35">
      <c r="A221" t="s">
        <v>234</v>
      </c>
      <c r="B221">
        <v>41</v>
      </c>
      <c r="C221" t="s">
        <v>4803</v>
      </c>
      <c r="D221" t="s">
        <v>13</v>
      </c>
      <c r="E221">
        <v>39</v>
      </c>
      <c r="F221">
        <v>8</v>
      </c>
      <c r="G221" t="s">
        <v>4797</v>
      </c>
      <c r="H221" t="s">
        <v>4806</v>
      </c>
      <c r="I221">
        <v>13.99</v>
      </c>
      <c r="J221">
        <v>2</v>
      </c>
      <c r="K221">
        <v>1.3</v>
      </c>
      <c r="L221">
        <v>1</v>
      </c>
      <c r="M221" t="s">
        <v>4810</v>
      </c>
      <c r="N221" t="s">
        <v>4899</v>
      </c>
      <c r="O221" t="s">
        <v>4910</v>
      </c>
    </row>
    <row r="222" spans="1:15" x14ac:dyDescent="0.35">
      <c r="A222" t="s">
        <v>235</v>
      </c>
      <c r="B222">
        <v>20</v>
      </c>
      <c r="C222" t="s">
        <v>4803</v>
      </c>
      <c r="D222" t="s">
        <v>13</v>
      </c>
      <c r="E222">
        <v>34</v>
      </c>
      <c r="F222">
        <v>9</v>
      </c>
      <c r="G222" t="s">
        <v>4798</v>
      </c>
      <c r="H222" t="s">
        <v>4805</v>
      </c>
      <c r="I222">
        <v>13.99</v>
      </c>
      <c r="J222">
        <v>1</v>
      </c>
      <c r="K222">
        <v>5</v>
      </c>
      <c r="L222">
        <v>0</v>
      </c>
      <c r="M222" t="s">
        <v>4811</v>
      </c>
      <c r="N222" t="s">
        <v>4900</v>
      </c>
      <c r="O222" t="s">
        <v>4912</v>
      </c>
    </row>
    <row r="223" spans="1:15" x14ac:dyDescent="0.35">
      <c r="A223" t="s">
        <v>236</v>
      </c>
      <c r="B223">
        <v>53</v>
      </c>
      <c r="C223" t="s">
        <v>4802</v>
      </c>
      <c r="D223" t="s">
        <v>15</v>
      </c>
      <c r="E223">
        <v>96</v>
      </c>
      <c r="F223">
        <v>59</v>
      </c>
      <c r="G223" t="s">
        <v>4799</v>
      </c>
      <c r="H223" t="s">
        <v>4804</v>
      </c>
      <c r="I223">
        <v>17.989999999999998</v>
      </c>
      <c r="J223">
        <v>5</v>
      </c>
      <c r="K223">
        <v>3.2</v>
      </c>
      <c r="L223">
        <v>0</v>
      </c>
      <c r="M223" t="s">
        <v>4808</v>
      </c>
      <c r="N223" t="s">
        <v>4900</v>
      </c>
      <c r="O223" t="s">
        <v>4910</v>
      </c>
    </row>
    <row r="224" spans="1:15" x14ac:dyDescent="0.35">
      <c r="A224" t="s">
        <v>237</v>
      </c>
      <c r="B224">
        <v>41</v>
      </c>
      <c r="C224" t="s">
        <v>4802</v>
      </c>
      <c r="D224" t="s">
        <v>15</v>
      </c>
      <c r="E224">
        <v>65</v>
      </c>
      <c r="F224">
        <v>28</v>
      </c>
      <c r="G224" t="s">
        <v>4799</v>
      </c>
      <c r="H224" t="s">
        <v>4805</v>
      </c>
      <c r="I224">
        <v>17.989999999999998</v>
      </c>
      <c r="J224">
        <v>5</v>
      </c>
      <c r="K224">
        <v>2.17</v>
      </c>
      <c r="L224">
        <v>1</v>
      </c>
      <c r="M224" t="s">
        <v>4811</v>
      </c>
      <c r="N224" t="s">
        <v>4899</v>
      </c>
      <c r="O224" t="s">
        <v>4910</v>
      </c>
    </row>
    <row r="225" spans="1:15" x14ac:dyDescent="0.35">
      <c r="A225" t="s">
        <v>238</v>
      </c>
      <c r="B225">
        <v>23</v>
      </c>
      <c r="C225" t="s">
        <v>4803</v>
      </c>
      <c r="D225" t="s">
        <v>14</v>
      </c>
      <c r="E225">
        <v>13</v>
      </c>
      <c r="F225">
        <v>0</v>
      </c>
      <c r="G225" t="s">
        <v>4797</v>
      </c>
      <c r="H225" t="s">
        <v>4804</v>
      </c>
      <c r="I225">
        <v>8.99</v>
      </c>
      <c r="J225">
        <v>2</v>
      </c>
      <c r="K225">
        <v>0.43</v>
      </c>
      <c r="L225">
        <v>0</v>
      </c>
      <c r="M225" t="s">
        <v>4812</v>
      </c>
      <c r="N225" t="s">
        <v>4900</v>
      </c>
      <c r="O225" t="s">
        <v>4912</v>
      </c>
    </row>
    <row r="226" spans="1:15" x14ac:dyDescent="0.35">
      <c r="A226" t="s">
        <v>239</v>
      </c>
      <c r="B226">
        <v>41</v>
      </c>
      <c r="C226" t="s">
        <v>4802</v>
      </c>
      <c r="D226" t="s">
        <v>13</v>
      </c>
      <c r="E226">
        <v>36</v>
      </c>
      <c r="F226">
        <v>60</v>
      </c>
      <c r="G226" t="s">
        <v>4797</v>
      </c>
      <c r="H226" t="s">
        <v>4804</v>
      </c>
      <c r="I226">
        <v>13.99</v>
      </c>
      <c r="J226">
        <v>4</v>
      </c>
      <c r="K226">
        <v>1.2</v>
      </c>
      <c r="L226">
        <v>0</v>
      </c>
      <c r="M226" t="s">
        <v>4808</v>
      </c>
      <c r="N226" t="s">
        <v>4900</v>
      </c>
      <c r="O226" t="s">
        <v>4910</v>
      </c>
    </row>
    <row r="227" spans="1:15" x14ac:dyDescent="0.35">
      <c r="A227" t="s">
        <v>240</v>
      </c>
      <c r="B227">
        <v>64</v>
      </c>
      <c r="C227" t="s">
        <v>4803</v>
      </c>
      <c r="D227" t="s">
        <v>13</v>
      </c>
      <c r="E227">
        <v>68</v>
      </c>
      <c r="F227">
        <v>3</v>
      </c>
      <c r="G227" t="s">
        <v>4798</v>
      </c>
      <c r="H227" t="s">
        <v>4805</v>
      </c>
      <c r="I227">
        <v>13.99</v>
      </c>
      <c r="J227">
        <v>4</v>
      </c>
      <c r="K227">
        <v>2.27</v>
      </c>
      <c r="L227">
        <v>0</v>
      </c>
      <c r="M227" t="s">
        <v>4809</v>
      </c>
      <c r="N227" t="s">
        <v>4900</v>
      </c>
      <c r="O227" t="s">
        <v>4911</v>
      </c>
    </row>
    <row r="228" spans="1:15" x14ac:dyDescent="0.35">
      <c r="A228" t="s">
        <v>241</v>
      </c>
      <c r="B228">
        <v>23</v>
      </c>
      <c r="C228" t="s">
        <v>4802</v>
      </c>
      <c r="D228" t="s">
        <v>13</v>
      </c>
      <c r="E228">
        <v>60</v>
      </c>
      <c r="F228">
        <v>29</v>
      </c>
      <c r="G228" t="s">
        <v>4799</v>
      </c>
      <c r="H228" t="s">
        <v>4805</v>
      </c>
      <c r="I228">
        <v>13.99</v>
      </c>
      <c r="J228">
        <v>4</v>
      </c>
      <c r="K228">
        <v>2</v>
      </c>
      <c r="L228">
        <v>0</v>
      </c>
      <c r="M228" t="s">
        <v>4810</v>
      </c>
      <c r="N228" t="s">
        <v>4900</v>
      </c>
      <c r="O228" t="s">
        <v>4912</v>
      </c>
    </row>
    <row r="229" spans="1:15" x14ac:dyDescent="0.35">
      <c r="A229" t="s">
        <v>242</v>
      </c>
      <c r="B229">
        <v>52</v>
      </c>
      <c r="C229" t="s">
        <v>4802</v>
      </c>
      <c r="D229" t="s">
        <v>15</v>
      </c>
      <c r="E229">
        <v>102</v>
      </c>
      <c r="F229">
        <v>32</v>
      </c>
      <c r="G229" t="s">
        <v>4797</v>
      </c>
      <c r="H229" t="s">
        <v>4805</v>
      </c>
      <c r="I229">
        <v>17.989999999999998</v>
      </c>
      <c r="J229">
        <v>2</v>
      </c>
      <c r="K229">
        <v>3.4</v>
      </c>
      <c r="L229">
        <v>0</v>
      </c>
      <c r="M229" t="s">
        <v>4809</v>
      </c>
      <c r="N229" t="s">
        <v>4900</v>
      </c>
      <c r="O229" t="s">
        <v>4910</v>
      </c>
    </row>
    <row r="230" spans="1:15" x14ac:dyDescent="0.35">
      <c r="A230" t="s">
        <v>243</v>
      </c>
      <c r="B230">
        <v>60</v>
      </c>
      <c r="C230" t="s">
        <v>4802</v>
      </c>
      <c r="D230" t="s">
        <v>13</v>
      </c>
      <c r="E230">
        <v>49</v>
      </c>
      <c r="F230">
        <v>35</v>
      </c>
      <c r="G230" t="s">
        <v>4797</v>
      </c>
      <c r="H230" t="s">
        <v>4805</v>
      </c>
      <c r="I230">
        <v>13.99</v>
      </c>
      <c r="J230">
        <v>1</v>
      </c>
      <c r="K230">
        <v>1.63</v>
      </c>
      <c r="L230">
        <v>0</v>
      </c>
      <c r="M230" t="s">
        <v>4811</v>
      </c>
      <c r="N230" t="s">
        <v>4900</v>
      </c>
      <c r="O230" t="s">
        <v>4911</v>
      </c>
    </row>
    <row r="231" spans="1:15" x14ac:dyDescent="0.35">
      <c r="A231" t="s">
        <v>244</v>
      </c>
      <c r="B231">
        <v>59</v>
      </c>
      <c r="C231" t="s">
        <v>4802</v>
      </c>
      <c r="D231" t="s">
        <v>13</v>
      </c>
      <c r="E231">
        <v>77</v>
      </c>
      <c r="F231">
        <v>29</v>
      </c>
      <c r="G231" t="s">
        <v>4798</v>
      </c>
      <c r="H231" t="s">
        <v>4806</v>
      </c>
      <c r="I231">
        <v>13.99</v>
      </c>
      <c r="J231">
        <v>1</v>
      </c>
      <c r="K231">
        <v>2.57</v>
      </c>
      <c r="L231">
        <v>0</v>
      </c>
      <c r="M231" t="s">
        <v>4812</v>
      </c>
      <c r="N231" t="s">
        <v>4900</v>
      </c>
      <c r="O231" t="s">
        <v>4911</v>
      </c>
    </row>
    <row r="232" spans="1:15" x14ac:dyDescent="0.35">
      <c r="A232" t="s">
        <v>245</v>
      </c>
      <c r="B232">
        <v>38</v>
      </c>
      <c r="C232" t="s">
        <v>4802</v>
      </c>
      <c r="D232" t="s">
        <v>13</v>
      </c>
      <c r="E232">
        <v>65</v>
      </c>
      <c r="F232">
        <v>54</v>
      </c>
      <c r="G232" t="s">
        <v>4798</v>
      </c>
      <c r="H232" t="s">
        <v>4804</v>
      </c>
      <c r="I232">
        <v>13.99</v>
      </c>
      <c r="J232">
        <v>2</v>
      </c>
      <c r="K232">
        <v>2.17</v>
      </c>
      <c r="L232">
        <v>1</v>
      </c>
      <c r="M232" t="s">
        <v>4808</v>
      </c>
      <c r="N232" t="s">
        <v>4899</v>
      </c>
      <c r="O232" t="s">
        <v>4910</v>
      </c>
    </row>
    <row r="233" spans="1:15" x14ac:dyDescent="0.35">
      <c r="A233" t="s">
        <v>246</v>
      </c>
      <c r="B233">
        <v>63</v>
      </c>
      <c r="C233" t="s">
        <v>4802</v>
      </c>
      <c r="D233" t="s">
        <v>13</v>
      </c>
      <c r="E233">
        <v>74</v>
      </c>
      <c r="F233">
        <v>60</v>
      </c>
      <c r="G233" t="s">
        <v>4798</v>
      </c>
      <c r="H233" t="s">
        <v>4804</v>
      </c>
      <c r="I233">
        <v>13.99</v>
      </c>
      <c r="J233">
        <v>1</v>
      </c>
      <c r="K233">
        <v>2.4700000000000002</v>
      </c>
      <c r="L233">
        <v>0</v>
      </c>
      <c r="M233" t="s">
        <v>4809</v>
      </c>
      <c r="N233" t="s">
        <v>4900</v>
      </c>
      <c r="O233" t="s">
        <v>4911</v>
      </c>
    </row>
    <row r="234" spans="1:15" x14ac:dyDescent="0.35">
      <c r="A234" t="s">
        <v>247</v>
      </c>
      <c r="B234">
        <v>26</v>
      </c>
      <c r="C234" t="s">
        <v>4802</v>
      </c>
      <c r="D234" t="s">
        <v>14</v>
      </c>
      <c r="E234">
        <v>28</v>
      </c>
      <c r="F234">
        <v>35</v>
      </c>
      <c r="G234" t="s">
        <v>4798</v>
      </c>
      <c r="H234" t="s">
        <v>4804</v>
      </c>
      <c r="I234">
        <v>8.99</v>
      </c>
      <c r="J234">
        <v>1</v>
      </c>
      <c r="K234">
        <v>0.93</v>
      </c>
      <c r="L234">
        <v>1</v>
      </c>
      <c r="M234" t="s">
        <v>4810</v>
      </c>
      <c r="N234" t="s">
        <v>4899</v>
      </c>
      <c r="O234" t="s">
        <v>4912</v>
      </c>
    </row>
    <row r="235" spans="1:15" x14ac:dyDescent="0.35">
      <c r="A235" t="s">
        <v>248</v>
      </c>
      <c r="B235">
        <v>31</v>
      </c>
      <c r="C235" t="s">
        <v>4803</v>
      </c>
      <c r="D235" t="s">
        <v>13</v>
      </c>
      <c r="E235">
        <v>77</v>
      </c>
      <c r="F235">
        <v>24</v>
      </c>
      <c r="G235" t="s">
        <v>4800</v>
      </c>
      <c r="H235" t="s">
        <v>4805</v>
      </c>
      <c r="I235">
        <v>13.99</v>
      </c>
      <c r="J235">
        <v>3</v>
      </c>
      <c r="K235">
        <v>2.57</v>
      </c>
      <c r="L235">
        <v>0</v>
      </c>
      <c r="M235" t="s">
        <v>4808</v>
      </c>
      <c r="N235" t="s">
        <v>4900</v>
      </c>
      <c r="O235" t="s">
        <v>4912</v>
      </c>
    </row>
    <row r="236" spans="1:15" x14ac:dyDescent="0.35">
      <c r="A236" t="s">
        <v>249</v>
      </c>
      <c r="B236">
        <v>28</v>
      </c>
      <c r="C236" t="s">
        <v>4803</v>
      </c>
      <c r="D236" t="s">
        <v>13</v>
      </c>
      <c r="E236">
        <v>50</v>
      </c>
      <c r="F236">
        <v>999</v>
      </c>
      <c r="G236" t="s">
        <v>4798</v>
      </c>
      <c r="H236" t="s">
        <v>4806</v>
      </c>
      <c r="I236">
        <v>13.99</v>
      </c>
      <c r="J236">
        <v>4</v>
      </c>
      <c r="K236">
        <v>1.67</v>
      </c>
      <c r="L236">
        <v>1</v>
      </c>
      <c r="M236" t="s">
        <v>4808</v>
      </c>
      <c r="N236" t="s">
        <v>4899</v>
      </c>
      <c r="O236" t="s">
        <v>4912</v>
      </c>
    </row>
    <row r="237" spans="1:15" x14ac:dyDescent="0.35">
      <c r="A237" t="s">
        <v>250</v>
      </c>
      <c r="B237">
        <v>38</v>
      </c>
      <c r="C237" t="s">
        <v>4802</v>
      </c>
      <c r="D237" t="s">
        <v>13</v>
      </c>
      <c r="E237">
        <v>50</v>
      </c>
      <c r="F237">
        <v>58</v>
      </c>
      <c r="G237" t="s">
        <v>4799</v>
      </c>
      <c r="H237" t="s">
        <v>4806</v>
      </c>
      <c r="I237">
        <v>13.99</v>
      </c>
      <c r="J237">
        <v>3</v>
      </c>
      <c r="K237">
        <v>1.67</v>
      </c>
      <c r="L237">
        <v>0</v>
      </c>
      <c r="M237" t="s">
        <v>4810</v>
      </c>
      <c r="N237" t="s">
        <v>4900</v>
      </c>
      <c r="O237" t="s">
        <v>4910</v>
      </c>
    </row>
    <row r="238" spans="1:15" x14ac:dyDescent="0.35">
      <c r="A238" t="s">
        <v>251</v>
      </c>
      <c r="B238">
        <v>34</v>
      </c>
      <c r="C238" t="s">
        <v>4803</v>
      </c>
      <c r="D238" t="s">
        <v>13</v>
      </c>
      <c r="E238">
        <v>40</v>
      </c>
      <c r="F238">
        <v>58</v>
      </c>
      <c r="G238" t="s">
        <v>4798</v>
      </c>
      <c r="H238" t="s">
        <v>4804</v>
      </c>
      <c r="I238">
        <v>13.99</v>
      </c>
      <c r="J238">
        <v>3</v>
      </c>
      <c r="K238">
        <v>1.33</v>
      </c>
      <c r="L238">
        <v>0</v>
      </c>
      <c r="M238" t="s">
        <v>4809</v>
      </c>
      <c r="N238" t="s">
        <v>4900</v>
      </c>
      <c r="O238" t="s">
        <v>4912</v>
      </c>
    </row>
    <row r="239" spans="1:15" x14ac:dyDescent="0.35">
      <c r="A239" t="s">
        <v>252</v>
      </c>
      <c r="B239">
        <v>21</v>
      </c>
      <c r="C239" t="s">
        <v>4803</v>
      </c>
      <c r="D239" t="s">
        <v>15</v>
      </c>
      <c r="E239">
        <v>102</v>
      </c>
      <c r="F239">
        <v>13</v>
      </c>
      <c r="G239" t="s">
        <v>4799</v>
      </c>
      <c r="H239" t="s">
        <v>4806</v>
      </c>
      <c r="I239">
        <v>17.989999999999998</v>
      </c>
      <c r="J239">
        <v>3</v>
      </c>
      <c r="K239">
        <v>3.4</v>
      </c>
      <c r="L239">
        <v>0</v>
      </c>
      <c r="M239" t="s">
        <v>4810</v>
      </c>
      <c r="N239" t="s">
        <v>4900</v>
      </c>
      <c r="O239" t="s">
        <v>4912</v>
      </c>
    </row>
    <row r="240" spans="1:15" x14ac:dyDescent="0.35">
      <c r="A240" t="s">
        <v>253</v>
      </c>
      <c r="B240">
        <v>29</v>
      </c>
      <c r="C240" t="s">
        <v>4802</v>
      </c>
      <c r="D240" t="s">
        <v>15</v>
      </c>
      <c r="E240">
        <v>51</v>
      </c>
      <c r="F240">
        <v>24</v>
      </c>
      <c r="G240" t="s">
        <v>4799</v>
      </c>
      <c r="H240" t="s">
        <v>4804</v>
      </c>
      <c r="I240">
        <v>17.989999999999998</v>
      </c>
      <c r="J240">
        <v>2</v>
      </c>
      <c r="K240">
        <v>1.7</v>
      </c>
      <c r="L240">
        <v>0</v>
      </c>
      <c r="M240" t="s">
        <v>4812</v>
      </c>
      <c r="N240" t="s">
        <v>4900</v>
      </c>
      <c r="O240" t="s">
        <v>4912</v>
      </c>
    </row>
    <row r="241" spans="1:15" x14ac:dyDescent="0.35">
      <c r="A241" t="s">
        <v>254</v>
      </c>
      <c r="B241">
        <v>51</v>
      </c>
      <c r="C241" t="s">
        <v>4802</v>
      </c>
      <c r="D241" t="s">
        <v>13</v>
      </c>
      <c r="E241">
        <v>55</v>
      </c>
      <c r="F241">
        <v>40</v>
      </c>
      <c r="G241" t="s">
        <v>4799</v>
      </c>
      <c r="H241" t="s">
        <v>4804</v>
      </c>
      <c r="I241">
        <v>13.99</v>
      </c>
      <c r="J241">
        <v>2</v>
      </c>
      <c r="K241">
        <v>1.83</v>
      </c>
      <c r="L241">
        <v>0</v>
      </c>
      <c r="M241" t="s">
        <v>4811</v>
      </c>
      <c r="N241" t="s">
        <v>4900</v>
      </c>
      <c r="O241" t="s">
        <v>4910</v>
      </c>
    </row>
    <row r="242" spans="1:15" x14ac:dyDescent="0.35">
      <c r="A242" t="s">
        <v>255</v>
      </c>
      <c r="B242">
        <v>65</v>
      </c>
      <c r="C242" t="s">
        <v>4803</v>
      </c>
      <c r="D242" t="s">
        <v>15</v>
      </c>
      <c r="E242">
        <v>64</v>
      </c>
      <c r="F242">
        <v>60</v>
      </c>
      <c r="G242" t="s">
        <v>4798</v>
      </c>
      <c r="H242" t="s">
        <v>4805</v>
      </c>
      <c r="I242">
        <v>17.989999999999998</v>
      </c>
      <c r="J242">
        <v>5</v>
      </c>
      <c r="K242">
        <v>2.13</v>
      </c>
      <c r="L242">
        <v>1</v>
      </c>
      <c r="M242" t="s">
        <v>4811</v>
      </c>
      <c r="N242" t="s">
        <v>4899</v>
      </c>
      <c r="O242" t="s">
        <v>4911</v>
      </c>
    </row>
    <row r="243" spans="1:15" x14ac:dyDescent="0.35">
      <c r="A243" t="s">
        <v>256</v>
      </c>
      <c r="B243">
        <v>60</v>
      </c>
      <c r="C243" t="s">
        <v>4803</v>
      </c>
      <c r="D243" t="s">
        <v>15</v>
      </c>
      <c r="E243">
        <v>85</v>
      </c>
      <c r="F243">
        <v>5</v>
      </c>
      <c r="G243" t="s">
        <v>4799</v>
      </c>
      <c r="H243" t="s">
        <v>4804</v>
      </c>
      <c r="I243">
        <v>17.989999999999998</v>
      </c>
      <c r="J243">
        <v>2</v>
      </c>
      <c r="K243">
        <v>2.83</v>
      </c>
      <c r="L243">
        <v>0</v>
      </c>
      <c r="M243" t="s">
        <v>4810</v>
      </c>
      <c r="N243" t="s">
        <v>4900</v>
      </c>
      <c r="O243" t="s">
        <v>4911</v>
      </c>
    </row>
    <row r="244" spans="1:15" x14ac:dyDescent="0.35">
      <c r="A244" t="s">
        <v>257</v>
      </c>
      <c r="B244">
        <v>22</v>
      </c>
      <c r="C244" t="s">
        <v>4803</v>
      </c>
      <c r="D244" t="s">
        <v>15</v>
      </c>
      <c r="E244">
        <v>69</v>
      </c>
      <c r="F244">
        <v>4</v>
      </c>
      <c r="G244" t="s">
        <v>4798</v>
      </c>
      <c r="H244" t="s">
        <v>4805</v>
      </c>
      <c r="I244">
        <v>17.989999999999998</v>
      </c>
      <c r="J244">
        <v>5</v>
      </c>
      <c r="K244">
        <v>2.2999999999999998</v>
      </c>
      <c r="L244">
        <v>0</v>
      </c>
      <c r="M244" t="s">
        <v>4812</v>
      </c>
      <c r="N244" t="s">
        <v>4900</v>
      </c>
      <c r="O244" t="s">
        <v>4912</v>
      </c>
    </row>
    <row r="245" spans="1:15" x14ac:dyDescent="0.35">
      <c r="A245" t="s">
        <v>258</v>
      </c>
      <c r="B245">
        <v>56</v>
      </c>
      <c r="C245" t="s">
        <v>4803</v>
      </c>
      <c r="D245" t="s">
        <v>13</v>
      </c>
      <c r="E245">
        <v>76</v>
      </c>
      <c r="F245">
        <v>48</v>
      </c>
      <c r="G245" t="s">
        <v>4797</v>
      </c>
      <c r="H245" t="s">
        <v>4804</v>
      </c>
      <c r="I245">
        <v>13.99</v>
      </c>
      <c r="J245">
        <v>3</v>
      </c>
      <c r="K245">
        <v>2.5299999999999998</v>
      </c>
      <c r="L245">
        <v>0</v>
      </c>
      <c r="M245" t="s">
        <v>4810</v>
      </c>
      <c r="N245" t="s">
        <v>4900</v>
      </c>
      <c r="O245" t="s">
        <v>4911</v>
      </c>
    </row>
    <row r="246" spans="1:15" x14ac:dyDescent="0.35">
      <c r="A246" t="s">
        <v>259</v>
      </c>
      <c r="B246">
        <v>49</v>
      </c>
      <c r="C246" t="s">
        <v>4803</v>
      </c>
      <c r="D246" t="s">
        <v>14</v>
      </c>
      <c r="E246">
        <v>58</v>
      </c>
      <c r="F246">
        <v>23</v>
      </c>
      <c r="G246" t="s">
        <v>4799</v>
      </c>
      <c r="H246" t="s">
        <v>4805</v>
      </c>
      <c r="I246">
        <v>8.99</v>
      </c>
      <c r="J246">
        <v>1</v>
      </c>
      <c r="K246">
        <v>1.93</v>
      </c>
      <c r="L246">
        <v>0</v>
      </c>
      <c r="M246" t="s">
        <v>4811</v>
      </c>
      <c r="N246" t="s">
        <v>4900</v>
      </c>
      <c r="O246" t="s">
        <v>4910</v>
      </c>
    </row>
    <row r="247" spans="1:15" x14ac:dyDescent="0.35">
      <c r="A247" t="s">
        <v>260</v>
      </c>
      <c r="B247">
        <v>47</v>
      </c>
      <c r="C247" t="s">
        <v>4802</v>
      </c>
      <c r="D247" t="s">
        <v>13</v>
      </c>
      <c r="E247">
        <v>54</v>
      </c>
      <c r="F247">
        <v>42</v>
      </c>
      <c r="G247" t="s">
        <v>4798</v>
      </c>
      <c r="H247" t="s">
        <v>4804</v>
      </c>
      <c r="I247">
        <v>13.99</v>
      </c>
      <c r="J247">
        <v>1</v>
      </c>
      <c r="K247">
        <v>1.8</v>
      </c>
      <c r="L247">
        <v>0</v>
      </c>
      <c r="M247" t="s">
        <v>4809</v>
      </c>
      <c r="N247" t="s">
        <v>4900</v>
      </c>
      <c r="O247" t="s">
        <v>4910</v>
      </c>
    </row>
    <row r="248" spans="1:15" x14ac:dyDescent="0.35">
      <c r="A248" t="s">
        <v>261</v>
      </c>
      <c r="B248">
        <v>58</v>
      </c>
      <c r="C248" t="s">
        <v>4802</v>
      </c>
      <c r="D248" t="s">
        <v>13</v>
      </c>
      <c r="E248">
        <v>46</v>
      </c>
      <c r="F248">
        <v>6</v>
      </c>
      <c r="G248" t="s">
        <v>4798</v>
      </c>
      <c r="H248" t="s">
        <v>4804</v>
      </c>
      <c r="I248">
        <v>13.99</v>
      </c>
      <c r="J248">
        <v>3</v>
      </c>
      <c r="K248">
        <v>1.53</v>
      </c>
      <c r="L248">
        <v>0</v>
      </c>
      <c r="M248" t="s">
        <v>4810</v>
      </c>
      <c r="N248" t="s">
        <v>4900</v>
      </c>
      <c r="O248" t="s">
        <v>4911</v>
      </c>
    </row>
    <row r="249" spans="1:15" x14ac:dyDescent="0.35">
      <c r="A249" t="s">
        <v>262</v>
      </c>
      <c r="B249">
        <v>33</v>
      </c>
      <c r="C249" t="s">
        <v>4803</v>
      </c>
      <c r="D249" t="s">
        <v>13</v>
      </c>
      <c r="E249">
        <v>36</v>
      </c>
      <c r="F249">
        <v>38</v>
      </c>
      <c r="G249" t="s">
        <v>4797</v>
      </c>
      <c r="H249" t="s">
        <v>4804</v>
      </c>
      <c r="I249">
        <v>13.99</v>
      </c>
      <c r="J249">
        <v>2</v>
      </c>
      <c r="K249">
        <v>1.2</v>
      </c>
      <c r="L249">
        <v>0</v>
      </c>
      <c r="M249" t="s">
        <v>4810</v>
      </c>
      <c r="N249" t="s">
        <v>4900</v>
      </c>
      <c r="O249" t="s">
        <v>4912</v>
      </c>
    </row>
    <row r="250" spans="1:15" x14ac:dyDescent="0.35">
      <c r="A250" t="s">
        <v>263</v>
      </c>
      <c r="B250">
        <v>47</v>
      </c>
      <c r="C250" t="s">
        <v>4802</v>
      </c>
      <c r="D250" t="s">
        <v>13</v>
      </c>
      <c r="E250">
        <v>65</v>
      </c>
      <c r="F250">
        <v>47</v>
      </c>
      <c r="G250" t="s">
        <v>4799</v>
      </c>
      <c r="H250" t="s">
        <v>4804</v>
      </c>
      <c r="I250">
        <v>13.99</v>
      </c>
      <c r="J250">
        <v>1</v>
      </c>
      <c r="K250">
        <v>2.17</v>
      </c>
      <c r="L250">
        <v>0</v>
      </c>
      <c r="M250" t="s">
        <v>4808</v>
      </c>
      <c r="N250" t="s">
        <v>4900</v>
      </c>
      <c r="O250" t="s">
        <v>4910</v>
      </c>
    </row>
    <row r="251" spans="1:15" x14ac:dyDescent="0.35">
      <c r="A251" t="s">
        <v>264</v>
      </c>
      <c r="B251">
        <v>56</v>
      </c>
      <c r="C251" t="s">
        <v>4803</v>
      </c>
      <c r="D251" t="s">
        <v>13</v>
      </c>
      <c r="E251">
        <v>63</v>
      </c>
      <c r="F251">
        <v>42</v>
      </c>
      <c r="G251" t="s">
        <v>4797</v>
      </c>
      <c r="H251" t="s">
        <v>4806</v>
      </c>
      <c r="I251">
        <v>13.99</v>
      </c>
      <c r="J251">
        <v>4</v>
      </c>
      <c r="K251">
        <v>2.1</v>
      </c>
      <c r="L251">
        <v>0</v>
      </c>
      <c r="M251" t="s">
        <v>4809</v>
      </c>
      <c r="N251" t="s">
        <v>4900</v>
      </c>
      <c r="O251" t="s">
        <v>4911</v>
      </c>
    </row>
    <row r="252" spans="1:15" x14ac:dyDescent="0.35">
      <c r="A252" t="s">
        <v>265</v>
      </c>
      <c r="B252">
        <v>21</v>
      </c>
      <c r="C252" t="s">
        <v>4802</v>
      </c>
      <c r="D252" t="s">
        <v>13</v>
      </c>
      <c r="E252">
        <v>58</v>
      </c>
      <c r="F252">
        <v>13</v>
      </c>
      <c r="G252" t="s">
        <v>4798</v>
      </c>
      <c r="H252" t="s">
        <v>4804</v>
      </c>
      <c r="I252">
        <v>13.99</v>
      </c>
      <c r="J252">
        <v>4</v>
      </c>
      <c r="K252">
        <v>1.93</v>
      </c>
      <c r="L252">
        <v>0</v>
      </c>
      <c r="M252" t="s">
        <v>4810</v>
      </c>
      <c r="N252" t="s">
        <v>4900</v>
      </c>
      <c r="O252" t="s">
        <v>4912</v>
      </c>
    </row>
    <row r="253" spans="1:15" x14ac:dyDescent="0.35">
      <c r="A253" t="s">
        <v>266</v>
      </c>
      <c r="B253">
        <v>25</v>
      </c>
      <c r="C253" t="s">
        <v>4802</v>
      </c>
      <c r="D253" t="s">
        <v>13</v>
      </c>
      <c r="E253">
        <v>32</v>
      </c>
      <c r="F253">
        <v>11</v>
      </c>
      <c r="G253" t="s">
        <v>4798</v>
      </c>
      <c r="H253" t="s">
        <v>4804</v>
      </c>
      <c r="I253">
        <v>13.99</v>
      </c>
      <c r="J253">
        <v>3</v>
      </c>
      <c r="K253">
        <v>1.07</v>
      </c>
      <c r="L253">
        <v>0</v>
      </c>
      <c r="M253" t="s">
        <v>4812</v>
      </c>
      <c r="N253" t="s">
        <v>4900</v>
      </c>
      <c r="O253" t="s">
        <v>4912</v>
      </c>
    </row>
    <row r="254" spans="1:15" x14ac:dyDescent="0.35">
      <c r="A254" t="s">
        <v>267</v>
      </c>
      <c r="B254">
        <v>28</v>
      </c>
      <c r="C254" t="s">
        <v>4802</v>
      </c>
      <c r="D254" t="s">
        <v>15</v>
      </c>
      <c r="E254">
        <v>55</v>
      </c>
      <c r="F254">
        <v>58</v>
      </c>
      <c r="G254" t="s">
        <v>4799</v>
      </c>
      <c r="H254" t="s">
        <v>4806</v>
      </c>
      <c r="I254">
        <v>17.989999999999998</v>
      </c>
      <c r="J254">
        <v>3</v>
      </c>
      <c r="K254">
        <v>1.83</v>
      </c>
      <c r="L254">
        <v>1</v>
      </c>
      <c r="M254" t="s">
        <v>4809</v>
      </c>
      <c r="N254" t="s">
        <v>4899</v>
      </c>
      <c r="O254" t="s">
        <v>4912</v>
      </c>
    </row>
    <row r="255" spans="1:15" x14ac:dyDescent="0.35">
      <c r="A255" t="s">
        <v>268</v>
      </c>
      <c r="B255">
        <v>36</v>
      </c>
      <c r="C255" t="s">
        <v>4803</v>
      </c>
      <c r="D255" t="s">
        <v>14</v>
      </c>
      <c r="E255">
        <v>38</v>
      </c>
      <c r="F255">
        <v>2</v>
      </c>
      <c r="G255" t="s">
        <v>4798</v>
      </c>
      <c r="H255" t="s">
        <v>4804</v>
      </c>
      <c r="I255">
        <v>8.99</v>
      </c>
      <c r="J255">
        <v>2</v>
      </c>
      <c r="K255">
        <v>1.27</v>
      </c>
      <c r="L255">
        <v>1</v>
      </c>
      <c r="M255" t="s">
        <v>4812</v>
      </c>
      <c r="N255" t="s">
        <v>4899</v>
      </c>
      <c r="O255" t="s">
        <v>4910</v>
      </c>
    </row>
    <row r="256" spans="1:15" x14ac:dyDescent="0.35">
      <c r="A256" t="s">
        <v>269</v>
      </c>
      <c r="B256">
        <v>43</v>
      </c>
      <c r="C256" t="s">
        <v>4802</v>
      </c>
      <c r="D256" t="s">
        <v>15</v>
      </c>
      <c r="E256">
        <v>112</v>
      </c>
      <c r="F256">
        <v>39</v>
      </c>
      <c r="G256" t="s">
        <v>4798</v>
      </c>
      <c r="H256" t="s">
        <v>4804</v>
      </c>
      <c r="I256">
        <v>17.989999999999998</v>
      </c>
      <c r="J256">
        <v>3</v>
      </c>
      <c r="K256">
        <v>3.73</v>
      </c>
      <c r="L256">
        <v>0</v>
      </c>
      <c r="M256" t="s">
        <v>4808</v>
      </c>
      <c r="N256" t="s">
        <v>4900</v>
      </c>
      <c r="O256" t="s">
        <v>4910</v>
      </c>
    </row>
    <row r="257" spans="1:15" x14ac:dyDescent="0.35">
      <c r="A257" t="s">
        <v>270</v>
      </c>
      <c r="B257">
        <v>28</v>
      </c>
      <c r="C257" t="s">
        <v>4803</v>
      </c>
      <c r="D257" t="s">
        <v>15</v>
      </c>
      <c r="E257">
        <v>112</v>
      </c>
      <c r="F257">
        <v>33</v>
      </c>
      <c r="G257" t="s">
        <v>4799</v>
      </c>
      <c r="H257" t="s">
        <v>4805</v>
      </c>
      <c r="I257">
        <v>17.989999999999998</v>
      </c>
      <c r="J257">
        <v>4</v>
      </c>
      <c r="K257">
        <v>3.73</v>
      </c>
      <c r="L257">
        <v>0</v>
      </c>
      <c r="M257" t="s">
        <v>4808</v>
      </c>
      <c r="N257" t="s">
        <v>4900</v>
      </c>
      <c r="O257" t="s">
        <v>4912</v>
      </c>
    </row>
    <row r="258" spans="1:15" x14ac:dyDescent="0.35">
      <c r="A258" t="s">
        <v>271</v>
      </c>
      <c r="B258">
        <v>29</v>
      </c>
      <c r="C258" t="s">
        <v>4803</v>
      </c>
      <c r="D258" t="s">
        <v>15</v>
      </c>
      <c r="E258">
        <v>39</v>
      </c>
      <c r="F258">
        <v>6</v>
      </c>
      <c r="G258" t="s">
        <v>4798</v>
      </c>
      <c r="H258" t="s">
        <v>4804</v>
      </c>
      <c r="I258">
        <v>17.989999999999998</v>
      </c>
      <c r="J258">
        <v>2</v>
      </c>
      <c r="K258">
        <v>1.3</v>
      </c>
      <c r="L258">
        <v>0</v>
      </c>
      <c r="M258" t="s">
        <v>4808</v>
      </c>
      <c r="N258" t="s">
        <v>4900</v>
      </c>
      <c r="O258" t="s">
        <v>4912</v>
      </c>
    </row>
    <row r="259" spans="1:15" x14ac:dyDescent="0.35">
      <c r="A259" t="s">
        <v>272</v>
      </c>
      <c r="B259">
        <v>46</v>
      </c>
      <c r="C259" t="s">
        <v>4803</v>
      </c>
      <c r="D259" t="s">
        <v>14</v>
      </c>
      <c r="E259">
        <v>21</v>
      </c>
      <c r="F259">
        <v>20</v>
      </c>
      <c r="G259" t="s">
        <v>4798</v>
      </c>
      <c r="H259" t="s">
        <v>4805</v>
      </c>
      <c r="I259">
        <v>8.99</v>
      </c>
      <c r="J259">
        <v>2</v>
      </c>
      <c r="K259">
        <v>0.7</v>
      </c>
      <c r="L259">
        <v>0</v>
      </c>
      <c r="M259" t="s">
        <v>4808</v>
      </c>
      <c r="N259" t="s">
        <v>4900</v>
      </c>
      <c r="O259" t="s">
        <v>4910</v>
      </c>
    </row>
    <row r="260" spans="1:15" x14ac:dyDescent="0.35">
      <c r="A260" t="s">
        <v>273</v>
      </c>
      <c r="B260">
        <v>62</v>
      </c>
      <c r="C260" t="s">
        <v>4802</v>
      </c>
      <c r="D260" t="s">
        <v>13</v>
      </c>
      <c r="E260">
        <v>67</v>
      </c>
      <c r="F260">
        <v>60</v>
      </c>
      <c r="G260" t="s">
        <v>4798</v>
      </c>
      <c r="H260" t="s">
        <v>4805</v>
      </c>
      <c r="I260">
        <v>13.99</v>
      </c>
      <c r="J260">
        <v>4</v>
      </c>
      <c r="K260">
        <v>2.23</v>
      </c>
      <c r="L260">
        <v>0</v>
      </c>
      <c r="M260" t="s">
        <v>4809</v>
      </c>
      <c r="N260" t="s">
        <v>4900</v>
      </c>
      <c r="O260" t="s">
        <v>4911</v>
      </c>
    </row>
    <row r="261" spans="1:15" x14ac:dyDescent="0.35">
      <c r="A261" t="s">
        <v>274</v>
      </c>
      <c r="B261">
        <v>49</v>
      </c>
      <c r="C261" t="s">
        <v>4802</v>
      </c>
      <c r="D261" t="s">
        <v>13</v>
      </c>
      <c r="E261">
        <v>65</v>
      </c>
      <c r="F261">
        <v>52</v>
      </c>
      <c r="G261" t="s">
        <v>4797</v>
      </c>
      <c r="H261" t="s">
        <v>4806</v>
      </c>
      <c r="I261">
        <v>13.99</v>
      </c>
      <c r="J261">
        <v>2</v>
      </c>
      <c r="K261">
        <v>2.17</v>
      </c>
      <c r="L261">
        <v>0</v>
      </c>
      <c r="M261" t="s">
        <v>4811</v>
      </c>
      <c r="N261" t="s">
        <v>4900</v>
      </c>
      <c r="O261" t="s">
        <v>4910</v>
      </c>
    </row>
    <row r="262" spans="1:15" x14ac:dyDescent="0.35">
      <c r="A262" t="s">
        <v>275</v>
      </c>
      <c r="B262">
        <v>63</v>
      </c>
      <c r="C262" t="s">
        <v>4802</v>
      </c>
      <c r="D262" t="s">
        <v>13</v>
      </c>
      <c r="E262">
        <v>36</v>
      </c>
      <c r="F262">
        <v>20</v>
      </c>
      <c r="G262" t="s">
        <v>4798</v>
      </c>
      <c r="H262" t="s">
        <v>4805</v>
      </c>
      <c r="I262">
        <v>13.99</v>
      </c>
      <c r="J262">
        <v>1</v>
      </c>
      <c r="K262">
        <v>1.2</v>
      </c>
      <c r="L262">
        <v>0</v>
      </c>
      <c r="M262" t="s">
        <v>4810</v>
      </c>
      <c r="N262" t="s">
        <v>4900</v>
      </c>
      <c r="O262" t="s">
        <v>4911</v>
      </c>
    </row>
    <row r="263" spans="1:15" x14ac:dyDescent="0.35">
      <c r="A263" t="s">
        <v>276</v>
      </c>
      <c r="B263">
        <v>49</v>
      </c>
      <c r="C263" t="s">
        <v>4803</v>
      </c>
      <c r="D263" t="s">
        <v>15</v>
      </c>
      <c r="E263">
        <v>86</v>
      </c>
      <c r="F263">
        <v>50</v>
      </c>
      <c r="G263" t="s">
        <v>4797</v>
      </c>
      <c r="H263" t="s">
        <v>4805</v>
      </c>
      <c r="I263">
        <v>17.989999999999998</v>
      </c>
      <c r="J263">
        <v>3</v>
      </c>
      <c r="K263">
        <v>2.87</v>
      </c>
      <c r="L263">
        <v>0</v>
      </c>
      <c r="M263" t="s">
        <v>4808</v>
      </c>
      <c r="N263" t="s">
        <v>4900</v>
      </c>
      <c r="O263" t="s">
        <v>4910</v>
      </c>
    </row>
    <row r="264" spans="1:15" x14ac:dyDescent="0.35">
      <c r="A264" t="s">
        <v>277</v>
      </c>
      <c r="B264">
        <v>42</v>
      </c>
      <c r="C264" t="s">
        <v>4803</v>
      </c>
      <c r="D264" t="s">
        <v>13</v>
      </c>
      <c r="E264">
        <v>44</v>
      </c>
      <c r="F264">
        <v>18</v>
      </c>
      <c r="G264" t="s">
        <v>4798</v>
      </c>
      <c r="H264" t="s">
        <v>4806</v>
      </c>
      <c r="I264">
        <v>13.99</v>
      </c>
      <c r="J264">
        <v>1</v>
      </c>
      <c r="K264">
        <v>1.47</v>
      </c>
      <c r="L264">
        <v>0</v>
      </c>
      <c r="M264" t="s">
        <v>4811</v>
      </c>
      <c r="N264" t="s">
        <v>4900</v>
      </c>
      <c r="O264" t="s">
        <v>4910</v>
      </c>
    </row>
    <row r="265" spans="1:15" x14ac:dyDescent="0.35">
      <c r="A265" t="s">
        <v>278</v>
      </c>
      <c r="B265">
        <v>46</v>
      </c>
      <c r="C265" t="s">
        <v>4802</v>
      </c>
      <c r="D265" t="s">
        <v>13</v>
      </c>
      <c r="E265">
        <v>36</v>
      </c>
      <c r="F265">
        <v>36</v>
      </c>
      <c r="G265" t="s">
        <v>4800</v>
      </c>
      <c r="H265" t="s">
        <v>4804</v>
      </c>
      <c r="I265">
        <v>13.99</v>
      </c>
      <c r="J265">
        <v>1</v>
      </c>
      <c r="K265">
        <v>1.2</v>
      </c>
      <c r="L265">
        <v>1</v>
      </c>
      <c r="M265" t="s">
        <v>4810</v>
      </c>
      <c r="N265" t="s">
        <v>4899</v>
      </c>
      <c r="O265" t="s">
        <v>4910</v>
      </c>
    </row>
    <row r="266" spans="1:15" x14ac:dyDescent="0.35">
      <c r="A266" t="s">
        <v>279</v>
      </c>
      <c r="B266">
        <v>26</v>
      </c>
      <c r="C266" t="s">
        <v>4802</v>
      </c>
      <c r="D266" t="s">
        <v>13</v>
      </c>
      <c r="E266">
        <v>58</v>
      </c>
      <c r="F266">
        <v>999</v>
      </c>
      <c r="G266" t="s">
        <v>4799</v>
      </c>
      <c r="H266" t="s">
        <v>4805</v>
      </c>
      <c r="I266">
        <v>13.99</v>
      </c>
      <c r="J266">
        <v>2</v>
      </c>
      <c r="K266">
        <v>1.93</v>
      </c>
      <c r="L266">
        <v>0</v>
      </c>
      <c r="M266" t="s">
        <v>4812</v>
      </c>
      <c r="N266" t="s">
        <v>4900</v>
      </c>
      <c r="O266" t="s">
        <v>4912</v>
      </c>
    </row>
    <row r="267" spans="1:15" x14ac:dyDescent="0.35">
      <c r="A267" t="s">
        <v>280</v>
      </c>
      <c r="B267">
        <v>57</v>
      </c>
      <c r="C267" t="s">
        <v>4803</v>
      </c>
      <c r="D267" t="s">
        <v>13</v>
      </c>
      <c r="E267">
        <v>43</v>
      </c>
      <c r="F267">
        <v>36</v>
      </c>
      <c r="G267" t="s">
        <v>4797</v>
      </c>
      <c r="H267" t="s">
        <v>4807</v>
      </c>
      <c r="I267">
        <v>13.99</v>
      </c>
      <c r="J267">
        <v>1</v>
      </c>
      <c r="K267">
        <v>1.43</v>
      </c>
      <c r="L267">
        <v>0</v>
      </c>
      <c r="M267" t="s">
        <v>4810</v>
      </c>
      <c r="N267" t="s">
        <v>4900</v>
      </c>
      <c r="O267" t="s">
        <v>4911</v>
      </c>
    </row>
    <row r="268" spans="1:15" x14ac:dyDescent="0.35">
      <c r="A268" t="s">
        <v>281</v>
      </c>
      <c r="B268">
        <v>36</v>
      </c>
      <c r="C268" t="s">
        <v>4802</v>
      </c>
      <c r="D268" t="s">
        <v>15</v>
      </c>
      <c r="E268">
        <v>90</v>
      </c>
      <c r="F268">
        <v>3</v>
      </c>
      <c r="G268" t="s">
        <v>4799</v>
      </c>
      <c r="H268" t="s">
        <v>4805</v>
      </c>
      <c r="I268">
        <v>17.989999999999998</v>
      </c>
      <c r="J268">
        <v>3</v>
      </c>
      <c r="K268">
        <v>3</v>
      </c>
      <c r="L268">
        <v>0</v>
      </c>
      <c r="M268" t="s">
        <v>4810</v>
      </c>
      <c r="N268" t="s">
        <v>4900</v>
      </c>
      <c r="O268" t="s">
        <v>4910</v>
      </c>
    </row>
    <row r="269" spans="1:15" x14ac:dyDescent="0.35">
      <c r="A269" t="s">
        <v>282</v>
      </c>
      <c r="B269">
        <v>37</v>
      </c>
      <c r="C269" t="s">
        <v>4803</v>
      </c>
      <c r="D269" t="s">
        <v>14</v>
      </c>
      <c r="E269">
        <v>15</v>
      </c>
      <c r="F269">
        <v>15</v>
      </c>
      <c r="G269" t="s">
        <v>4799</v>
      </c>
      <c r="H269" t="s">
        <v>4805</v>
      </c>
      <c r="I269">
        <v>8.99</v>
      </c>
      <c r="J269">
        <v>1</v>
      </c>
      <c r="K269">
        <v>0.5</v>
      </c>
      <c r="L269">
        <v>0</v>
      </c>
      <c r="M269" t="s">
        <v>4810</v>
      </c>
      <c r="N269" t="s">
        <v>4900</v>
      </c>
      <c r="O269" t="s">
        <v>4910</v>
      </c>
    </row>
    <row r="270" spans="1:15" x14ac:dyDescent="0.35">
      <c r="A270" t="s">
        <v>283</v>
      </c>
      <c r="B270">
        <v>54</v>
      </c>
      <c r="C270" t="s">
        <v>4802</v>
      </c>
      <c r="D270" t="s">
        <v>13</v>
      </c>
      <c r="E270">
        <v>77</v>
      </c>
      <c r="F270">
        <v>17</v>
      </c>
      <c r="G270" t="s">
        <v>4797</v>
      </c>
      <c r="H270" t="s">
        <v>4806</v>
      </c>
      <c r="I270">
        <v>13.99</v>
      </c>
      <c r="J270">
        <v>1</v>
      </c>
      <c r="K270">
        <v>5</v>
      </c>
      <c r="L270">
        <v>0</v>
      </c>
      <c r="M270" t="s">
        <v>4808</v>
      </c>
      <c r="N270" t="s">
        <v>4900</v>
      </c>
      <c r="O270" t="s">
        <v>4910</v>
      </c>
    </row>
    <row r="271" spans="1:15" x14ac:dyDescent="0.35">
      <c r="A271" t="s">
        <v>284</v>
      </c>
      <c r="B271">
        <v>57</v>
      </c>
      <c r="C271" t="s">
        <v>4803</v>
      </c>
      <c r="D271" t="s">
        <v>14</v>
      </c>
      <c r="E271">
        <v>62</v>
      </c>
      <c r="F271">
        <v>30</v>
      </c>
      <c r="G271" t="s">
        <v>4798</v>
      </c>
      <c r="H271" t="s">
        <v>4805</v>
      </c>
      <c r="I271">
        <v>8.99</v>
      </c>
      <c r="J271">
        <v>2</v>
      </c>
      <c r="K271">
        <v>2.0699999999999998</v>
      </c>
      <c r="L271">
        <v>0</v>
      </c>
      <c r="M271" t="s">
        <v>4810</v>
      </c>
      <c r="N271" t="s">
        <v>4900</v>
      </c>
      <c r="O271" t="s">
        <v>4911</v>
      </c>
    </row>
    <row r="272" spans="1:15" x14ac:dyDescent="0.35">
      <c r="A272" t="s">
        <v>285</v>
      </c>
      <c r="B272">
        <v>38</v>
      </c>
      <c r="C272" t="s">
        <v>4802</v>
      </c>
      <c r="D272" t="s">
        <v>13</v>
      </c>
      <c r="E272">
        <v>49</v>
      </c>
      <c r="F272">
        <v>26</v>
      </c>
      <c r="G272" t="s">
        <v>4797</v>
      </c>
      <c r="H272" t="s">
        <v>4804</v>
      </c>
      <c r="I272">
        <v>13.99</v>
      </c>
      <c r="J272">
        <v>3</v>
      </c>
      <c r="K272">
        <v>1.63</v>
      </c>
      <c r="L272">
        <v>0</v>
      </c>
      <c r="M272" t="s">
        <v>4811</v>
      </c>
      <c r="N272" t="s">
        <v>4900</v>
      </c>
      <c r="O272" t="s">
        <v>4910</v>
      </c>
    </row>
    <row r="273" spans="1:15" x14ac:dyDescent="0.35">
      <c r="A273" t="s">
        <v>286</v>
      </c>
      <c r="B273">
        <v>55</v>
      </c>
      <c r="C273" t="s">
        <v>4802</v>
      </c>
      <c r="D273" t="s">
        <v>13</v>
      </c>
      <c r="E273">
        <v>78</v>
      </c>
      <c r="F273">
        <v>45</v>
      </c>
      <c r="G273" t="s">
        <v>4797</v>
      </c>
      <c r="H273" t="s">
        <v>4806</v>
      </c>
      <c r="I273">
        <v>13.99</v>
      </c>
      <c r="J273">
        <v>4</v>
      </c>
      <c r="K273">
        <v>2.6</v>
      </c>
      <c r="L273">
        <v>1</v>
      </c>
      <c r="M273" t="s">
        <v>4811</v>
      </c>
      <c r="N273" t="s">
        <v>4899</v>
      </c>
      <c r="O273" t="s">
        <v>4911</v>
      </c>
    </row>
    <row r="274" spans="1:15" x14ac:dyDescent="0.35">
      <c r="A274" t="s">
        <v>287</v>
      </c>
      <c r="B274">
        <v>26</v>
      </c>
      <c r="C274" t="s">
        <v>4803</v>
      </c>
      <c r="D274" t="s">
        <v>15</v>
      </c>
      <c r="E274">
        <v>71</v>
      </c>
      <c r="F274">
        <v>31</v>
      </c>
      <c r="G274" t="s">
        <v>4799</v>
      </c>
      <c r="H274" t="s">
        <v>4806</v>
      </c>
      <c r="I274">
        <v>17.989999999999998</v>
      </c>
      <c r="J274">
        <v>5</v>
      </c>
      <c r="K274">
        <v>2.37</v>
      </c>
      <c r="L274">
        <v>0</v>
      </c>
      <c r="M274" t="s">
        <v>4809</v>
      </c>
      <c r="N274" t="s">
        <v>4900</v>
      </c>
      <c r="O274" t="s">
        <v>4912</v>
      </c>
    </row>
    <row r="275" spans="1:15" x14ac:dyDescent="0.35">
      <c r="A275" t="s">
        <v>288</v>
      </c>
      <c r="B275">
        <v>27</v>
      </c>
      <c r="C275" t="s">
        <v>4802</v>
      </c>
      <c r="D275" t="s">
        <v>13</v>
      </c>
      <c r="E275">
        <v>77</v>
      </c>
      <c r="F275">
        <v>55</v>
      </c>
      <c r="G275" t="s">
        <v>4800</v>
      </c>
      <c r="H275" t="s">
        <v>4805</v>
      </c>
      <c r="I275">
        <v>13.99</v>
      </c>
      <c r="J275">
        <v>4</v>
      </c>
      <c r="K275">
        <v>2.57</v>
      </c>
      <c r="L275">
        <v>1</v>
      </c>
      <c r="M275" t="s">
        <v>4811</v>
      </c>
      <c r="N275" t="s">
        <v>4899</v>
      </c>
      <c r="O275" t="s">
        <v>4912</v>
      </c>
    </row>
    <row r="276" spans="1:15" x14ac:dyDescent="0.35">
      <c r="A276" t="s">
        <v>289</v>
      </c>
      <c r="B276">
        <v>38</v>
      </c>
      <c r="C276" t="s">
        <v>4803</v>
      </c>
      <c r="D276" t="s">
        <v>13</v>
      </c>
      <c r="E276">
        <v>65</v>
      </c>
      <c r="F276">
        <v>18</v>
      </c>
      <c r="G276" t="s">
        <v>4797</v>
      </c>
      <c r="H276" t="s">
        <v>4805</v>
      </c>
      <c r="I276">
        <v>13.99</v>
      </c>
      <c r="J276">
        <v>2</v>
      </c>
      <c r="K276">
        <v>2.17</v>
      </c>
      <c r="L276">
        <v>0</v>
      </c>
      <c r="M276" t="s">
        <v>4809</v>
      </c>
      <c r="N276" t="s">
        <v>4900</v>
      </c>
      <c r="O276" t="s">
        <v>4910</v>
      </c>
    </row>
    <row r="277" spans="1:15" x14ac:dyDescent="0.35">
      <c r="A277" t="s">
        <v>290</v>
      </c>
      <c r="B277">
        <v>19</v>
      </c>
      <c r="C277" t="s">
        <v>4803</v>
      </c>
      <c r="D277" t="s">
        <v>13</v>
      </c>
      <c r="E277">
        <v>73</v>
      </c>
      <c r="F277">
        <v>26</v>
      </c>
      <c r="G277" t="s">
        <v>4799</v>
      </c>
      <c r="H277" t="s">
        <v>4805</v>
      </c>
      <c r="I277">
        <v>13.99</v>
      </c>
      <c r="J277">
        <v>1</v>
      </c>
      <c r="K277">
        <v>2.4300000000000002</v>
      </c>
      <c r="L277">
        <v>1</v>
      </c>
      <c r="M277" t="s">
        <v>4812</v>
      </c>
      <c r="N277" t="s">
        <v>4899</v>
      </c>
      <c r="O277" t="s">
        <v>4912</v>
      </c>
    </row>
    <row r="278" spans="1:15" x14ac:dyDescent="0.35">
      <c r="A278" t="s">
        <v>291</v>
      </c>
      <c r="B278">
        <v>52</v>
      </c>
      <c r="C278" t="s">
        <v>4803</v>
      </c>
      <c r="D278" t="s">
        <v>15</v>
      </c>
      <c r="E278">
        <v>78</v>
      </c>
      <c r="F278">
        <v>21</v>
      </c>
      <c r="G278" t="s">
        <v>4797</v>
      </c>
      <c r="H278" t="s">
        <v>4804</v>
      </c>
      <c r="I278">
        <v>17.989999999999998</v>
      </c>
      <c r="J278">
        <v>3</v>
      </c>
      <c r="K278">
        <v>2.0299999999999998</v>
      </c>
      <c r="L278">
        <v>0</v>
      </c>
      <c r="M278" t="s">
        <v>4812</v>
      </c>
      <c r="N278" t="s">
        <v>4900</v>
      </c>
      <c r="O278" t="s">
        <v>4910</v>
      </c>
    </row>
    <row r="279" spans="1:15" x14ac:dyDescent="0.35">
      <c r="A279" t="s">
        <v>292</v>
      </c>
      <c r="B279">
        <v>56</v>
      </c>
      <c r="C279" t="s">
        <v>4802</v>
      </c>
      <c r="D279" t="s">
        <v>13</v>
      </c>
      <c r="E279">
        <v>70</v>
      </c>
      <c r="F279">
        <v>20</v>
      </c>
      <c r="G279" t="s">
        <v>4799</v>
      </c>
      <c r="H279" t="s">
        <v>4804</v>
      </c>
      <c r="I279">
        <v>13.99</v>
      </c>
      <c r="J279">
        <v>1</v>
      </c>
      <c r="K279">
        <v>2.33</v>
      </c>
      <c r="L279">
        <v>0</v>
      </c>
      <c r="M279" t="s">
        <v>4812</v>
      </c>
      <c r="N279" t="s">
        <v>4900</v>
      </c>
      <c r="O279" t="s">
        <v>4911</v>
      </c>
    </row>
    <row r="280" spans="1:15" x14ac:dyDescent="0.35">
      <c r="A280" t="s">
        <v>293</v>
      </c>
      <c r="B280">
        <v>34</v>
      </c>
      <c r="C280" t="s">
        <v>4802</v>
      </c>
      <c r="D280" t="s">
        <v>15</v>
      </c>
      <c r="E280">
        <v>70</v>
      </c>
      <c r="F280">
        <v>3</v>
      </c>
      <c r="G280" t="s">
        <v>4798</v>
      </c>
      <c r="H280" t="s">
        <v>4805</v>
      </c>
      <c r="I280">
        <v>17.989999999999998</v>
      </c>
      <c r="J280">
        <v>4</v>
      </c>
      <c r="K280">
        <v>2.33</v>
      </c>
      <c r="L280">
        <v>0</v>
      </c>
      <c r="M280" t="s">
        <v>4812</v>
      </c>
      <c r="N280" t="s">
        <v>4900</v>
      </c>
      <c r="O280" t="s">
        <v>4912</v>
      </c>
    </row>
    <row r="281" spans="1:15" x14ac:dyDescent="0.35">
      <c r="A281" t="s">
        <v>294</v>
      </c>
      <c r="B281">
        <v>22</v>
      </c>
      <c r="C281" t="s">
        <v>4803</v>
      </c>
      <c r="D281" t="s">
        <v>15</v>
      </c>
      <c r="E281">
        <v>85</v>
      </c>
      <c r="F281">
        <v>6</v>
      </c>
      <c r="G281" t="s">
        <v>4798</v>
      </c>
      <c r="H281" t="s">
        <v>4807</v>
      </c>
      <c r="I281">
        <v>17.989999999999998</v>
      </c>
      <c r="J281">
        <v>2</v>
      </c>
      <c r="K281">
        <v>2.83</v>
      </c>
      <c r="L281">
        <v>1</v>
      </c>
      <c r="M281" t="s">
        <v>4809</v>
      </c>
      <c r="N281" t="s">
        <v>4899</v>
      </c>
      <c r="O281" t="s">
        <v>4912</v>
      </c>
    </row>
    <row r="282" spans="1:15" x14ac:dyDescent="0.35">
      <c r="A282" t="s">
        <v>295</v>
      </c>
      <c r="B282">
        <v>53</v>
      </c>
      <c r="C282" t="s">
        <v>4803</v>
      </c>
      <c r="D282" t="s">
        <v>15</v>
      </c>
      <c r="E282">
        <v>58</v>
      </c>
      <c r="F282">
        <v>47</v>
      </c>
      <c r="G282" t="s">
        <v>4799</v>
      </c>
      <c r="H282" t="s">
        <v>4805</v>
      </c>
      <c r="I282">
        <v>17.989999999999998</v>
      </c>
      <c r="J282">
        <v>2</v>
      </c>
      <c r="K282">
        <v>1.93</v>
      </c>
      <c r="L282">
        <v>0</v>
      </c>
      <c r="M282" t="s">
        <v>4808</v>
      </c>
      <c r="N282" t="s">
        <v>4900</v>
      </c>
      <c r="O282" t="s">
        <v>4910</v>
      </c>
    </row>
    <row r="283" spans="1:15" x14ac:dyDescent="0.35">
      <c r="A283" t="s">
        <v>296</v>
      </c>
      <c r="B283">
        <v>41</v>
      </c>
      <c r="C283" t="s">
        <v>4802</v>
      </c>
      <c r="D283" t="s">
        <v>13</v>
      </c>
      <c r="E283">
        <v>41</v>
      </c>
      <c r="F283">
        <v>38</v>
      </c>
      <c r="G283" t="s">
        <v>4797</v>
      </c>
      <c r="H283" t="s">
        <v>4805</v>
      </c>
      <c r="I283">
        <v>13.99</v>
      </c>
      <c r="J283">
        <v>1</v>
      </c>
      <c r="K283">
        <v>1.37</v>
      </c>
      <c r="L283">
        <v>0</v>
      </c>
      <c r="M283" t="s">
        <v>4809</v>
      </c>
      <c r="N283" t="s">
        <v>4900</v>
      </c>
      <c r="O283" t="s">
        <v>4910</v>
      </c>
    </row>
    <row r="284" spans="1:15" x14ac:dyDescent="0.35">
      <c r="A284" t="s">
        <v>297</v>
      </c>
      <c r="B284">
        <v>48</v>
      </c>
      <c r="C284" t="s">
        <v>4803</v>
      </c>
      <c r="D284" t="s">
        <v>13</v>
      </c>
      <c r="E284">
        <v>78</v>
      </c>
      <c r="F284">
        <v>43</v>
      </c>
      <c r="G284" t="s">
        <v>4799</v>
      </c>
      <c r="H284" t="s">
        <v>4806</v>
      </c>
      <c r="I284">
        <v>13.99</v>
      </c>
      <c r="J284">
        <v>3</v>
      </c>
      <c r="K284">
        <v>2.6</v>
      </c>
      <c r="L284">
        <v>0</v>
      </c>
      <c r="M284" t="s">
        <v>4810</v>
      </c>
      <c r="N284" t="s">
        <v>4900</v>
      </c>
      <c r="O284" t="s">
        <v>4910</v>
      </c>
    </row>
    <row r="285" spans="1:15" x14ac:dyDescent="0.35">
      <c r="A285" t="s">
        <v>298</v>
      </c>
      <c r="B285">
        <v>36</v>
      </c>
      <c r="C285" t="s">
        <v>4803</v>
      </c>
      <c r="D285" t="s">
        <v>13</v>
      </c>
      <c r="E285">
        <v>57</v>
      </c>
      <c r="F285">
        <v>54</v>
      </c>
      <c r="G285" t="s">
        <v>4798</v>
      </c>
      <c r="H285" t="s">
        <v>4805</v>
      </c>
      <c r="I285">
        <v>13.99</v>
      </c>
      <c r="J285">
        <v>4</v>
      </c>
      <c r="K285">
        <v>1.9</v>
      </c>
      <c r="L285">
        <v>0</v>
      </c>
      <c r="M285" t="s">
        <v>4808</v>
      </c>
      <c r="N285" t="s">
        <v>4900</v>
      </c>
      <c r="O285" t="s">
        <v>4910</v>
      </c>
    </row>
    <row r="286" spans="1:15" x14ac:dyDescent="0.35">
      <c r="A286" t="s">
        <v>299</v>
      </c>
      <c r="B286">
        <v>21</v>
      </c>
      <c r="C286" t="s">
        <v>4803</v>
      </c>
      <c r="D286" t="s">
        <v>13</v>
      </c>
      <c r="E286">
        <v>49</v>
      </c>
      <c r="F286">
        <v>24</v>
      </c>
      <c r="G286" t="s">
        <v>4798</v>
      </c>
      <c r="H286" t="s">
        <v>4804</v>
      </c>
      <c r="I286">
        <v>13.99</v>
      </c>
      <c r="J286">
        <v>3</v>
      </c>
      <c r="K286">
        <v>1.63</v>
      </c>
      <c r="L286">
        <v>0</v>
      </c>
      <c r="M286" t="s">
        <v>4808</v>
      </c>
      <c r="N286" t="s">
        <v>4900</v>
      </c>
      <c r="O286" t="s">
        <v>4912</v>
      </c>
    </row>
    <row r="287" spans="1:15" x14ac:dyDescent="0.35">
      <c r="A287" t="s">
        <v>300</v>
      </c>
      <c r="B287">
        <v>39</v>
      </c>
      <c r="C287" t="s">
        <v>4803</v>
      </c>
      <c r="D287" t="s">
        <v>13</v>
      </c>
      <c r="E287">
        <v>55</v>
      </c>
      <c r="F287">
        <v>40</v>
      </c>
      <c r="G287" t="s">
        <v>4799</v>
      </c>
      <c r="H287" t="s">
        <v>4805</v>
      </c>
      <c r="I287">
        <v>13.99</v>
      </c>
      <c r="J287">
        <v>1</v>
      </c>
      <c r="K287">
        <v>1.83</v>
      </c>
      <c r="L287">
        <v>0</v>
      </c>
      <c r="M287" t="s">
        <v>4811</v>
      </c>
      <c r="N287" t="s">
        <v>4900</v>
      </c>
      <c r="O287" t="s">
        <v>4910</v>
      </c>
    </row>
    <row r="288" spans="1:15" x14ac:dyDescent="0.35">
      <c r="A288" t="s">
        <v>301</v>
      </c>
      <c r="B288">
        <v>18</v>
      </c>
      <c r="C288" t="s">
        <v>4803</v>
      </c>
      <c r="D288" t="s">
        <v>13</v>
      </c>
      <c r="E288">
        <v>80</v>
      </c>
      <c r="F288" t="s">
        <v>4814</v>
      </c>
      <c r="G288" t="s">
        <v>4798</v>
      </c>
      <c r="H288" t="s">
        <v>4805</v>
      </c>
      <c r="I288">
        <v>13.99</v>
      </c>
      <c r="J288">
        <v>1</v>
      </c>
      <c r="K288">
        <v>2.67</v>
      </c>
      <c r="L288">
        <v>0</v>
      </c>
      <c r="M288" t="s">
        <v>4810</v>
      </c>
      <c r="N288" t="s">
        <v>4900</v>
      </c>
      <c r="O288" t="s">
        <v>4912</v>
      </c>
    </row>
    <row r="289" spans="1:15" x14ac:dyDescent="0.35">
      <c r="A289" t="s">
        <v>302</v>
      </c>
      <c r="B289">
        <v>43</v>
      </c>
      <c r="C289" t="s">
        <v>4802</v>
      </c>
      <c r="D289" t="s">
        <v>13</v>
      </c>
      <c r="E289">
        <v>33</v>
      </c>
      <c r="F289">
        <v>12</v>
      </c>
      <c r="G289" t="s">
        <v>4798</v>
      </c>
      <c r="H289" t="s">
        <v>4805</v>
      </c>
      <c r="I289">
        <v>13.99</v>
      </c>
      <c r="J289">
        <v>2</v>
      </c>
      <c r="K289">
        <v>1.1000000000000001</v>
      </c>
      <c r="L289">
        <v>0</v>
      </c>
      <c r="M289" t="s">
        <v>4808</v>
      </c>
      <c r="N289" t="s">
        <v>4900</v>
      </c>
      <c r="O289" t="s">
        <v>4910</v>
      </c>
    </row>
    <row r="290" spans="1:15" x14ac:dyDescent="0.35">
      <c r="A290" t="s">
        <v>303</v>
      </c>
      <c r="B290">
        <v>29</v>
      </c>
      <c r="C290" t="s">
        <v>4803</v>
      </c>
      <c r="D290" t="s">
        <v>13</v>
      </c>
      <c r="E290">
        <v>60</v>
      </c>
      <c r="F290">
        <v>1</v>
      </c>
      <c r="G290" t="s">
        <v>4799</v>
      </c>
      <c r="H290" t="s">
        <v>4805</v>
      </c>
      <c r="I290">
        <v>13.99</v>
      </c>
      <c r="J290">
        <v>1</v>
      </c>
      <c r="K290">
        <v>5</v>
      </c>
      <c r="L290">
        <v>0</v>
      </c>
      <c r="M290" t="s">
        <v>4810</v>
      </c>
      <c r="N290" t="s">
        <v>4900</v>
      </c>
      <c r="O290" t="s">
        <v>4912</v>
      </c>
    </row>
    <row r="291" spans="1:15" x14ac:dyDescent="0.35">
      <c r="A291" t="s">
        <v>304</v>
      </c>
      <c r="B291">
        <v>19</v>
      </c>
      <c r="C291" t="s">
        <v>4802</v>
      </c>
      <c r="D291" t="s">
        <v>13</v>
      </c>
      <c r="E291">
        <v>75</v>
      </c>
      <c r="F291">
        <v>57</v>
      </c>
      <c r="G291" t="s">
        <v>4797</v>
      </c>
      <c r="H291" t="s">
        <v>4805</v>
      </c>
      <c r="I291">
        <v>13.99</v>
      </c>
      <c r="J291">
        <v>2</v>
      </c>
      <c r="K291">
        <v>2.5</v>
      </c>
      <c r="L291">
        <v>0</v>
      </c>
      <c r="M291" t="s">
        <v>4809</v>
      </c>
      <c r="N291" t="s">
        <v>4900</v>
      </c>
      <c r="O291" t="s">
        <v>4912</v>
      </c>
    </row>
    <row r="292" spans="1:15" x14ac:dyDescent="0.35">
      <c r="A292" t="s">
        <v>305</v>
      </c>
      <c r="B292">
        <v>28</v>
      </c>
      <c r="C292" t="s">
        <v>4802</v>
      </c>
      <c r="D292" t="s">
        <v>13</v>
      </c>
      <c r="E292">
        <v>36</v>
      </c>
      <c r="F292">
        <v>5</v>
      </c>
      <c r="G292" t="s">
        <v>4798</v>
      </c>
      <c r="H292" t="s">
        <v>4804</v>
      </c>
      <c r="I292">
        <v>13.99</v>
      </c>
      <c r="J292">
        <v>1</v>
      </c>
      <c r="K292">
        <v>5</v>
      </c>
      <c r="L292">
        <v>0</v>
      </c>
      <c r="M292" t="s">
        <v>4810</v>
      </c>
      <c r="N292" t="s">
        <v>4900</v>
      </c>
      <c r="O292" t="s">
        <v>4912</v>
      </c>
    </row>
    <row r="293" spans="1:15" x14ac:dyDescent="0.35">
      <c r="A293" t="s">
        <v>306</v>
      </c>
      <c r="B293">
        <v>31</v>
      </c>
      <c r="C293" t="s">
        <v>4803</v>
      </c>
      <c r="D293" t="s">
        <v>13</v>
      </c>
      <c r="E293">
        <v>70</v>
      </c>
      <c r="F293">
        <v>22</v>
      </c>
      <c r="G293" t="s">
        <v>4798</v>
      </c>
      <c r="H293" t="s">
        <v>4804</v>
      </c>
      <c r="I293">
        <v>13.99</v>
      </c>
      <c r="J293">
        <v>1</v>
      </c>
      <c r="K293">
        <v>2.33</v>
      </c>
      <c r="L293">
        <v>0</v>
      </c>
      <c r="M293" t="s">
        <v>4812</v>
      </c>
      <c r="N293" t="s">
        <v>4900</v>
      </c>
      <c r="O293" t="s">
        <v>4912</v>
      </c>
    </row>
    <row r="294" spans="1:15" x14ac:dyDescent="0.35">
      <c r="A294" t="s">
        <v>307</v>
      </c>
      <c r="B294">
        <v>18</v>
      </c>
      <c r="C294" t="s">
        <v>4803</v>
      </c>
      <c r="D294" t="s">
        <v>15</v>
      </c>
      <c r="E294">
        <v>70</v>
      </c>
      <c r="F294">
        <v>23</v>
      </c>
      <c r="G294" t="s">
        <v>4797</v>
      </c>
      <c r="H294" t="s">
        <v>4804</v>
      </c>
      <c r="I294">
        <v>17.989999999999998</v>
      </c>
      <c r="J294">
        <v>4</v>
      </c>
      <c r="K294">
        <v>2.33</v>
      </c>
      <c r="L294">
        <v>0</v>
      </c>
      <c r="M294" t="s">
        <v>4811</v>
      </c>
      <c r="N294" t="s">
        <v>4900</v>
      </c>
      <c r="O294" t="s">
        <v>4912</v>
      </c>
    </row>
    <row r="295" spans="1:15" x14ac:dyDescent="0.35">
      <c r="A295" t="s">
        <v>308</v>
      </c>
      <c r="B295">
        <v>61</v>
      </c>
      <c r="C295" t="s">
        <v>4803</v>
      </c>
      <c r="D295" t="s">
        <v>13</v>
      </c>
      <c r="E295">
        <v>53</v>
      </c>
      <c r="F295">
        <v>999</v>
      </c>
      <c r="G295" t="s">
        <v>4799</v>
      </c>
      <c r="H295" t="s">
        <v>4805</v>
      </c>
      <c r="I295">
        <v>13.99</v>
      </c>
      <c r="J295">
        <v>2</v>
      </c>
      <c r="K295">
        <v>1.77</v>
      </c>
      <c r="L295">
        <v>0</v>
      </c>
      <c r="M295" t="s">
        <v>4811</v>
      </c>
      <c r="N295" t="s">
        <v>4900</v>
      </c>
      <c r="O295" t="s">
        <v>4911</v>
      </c>
    </row>
    <row r="296" spans="1:15" x14ac:dyDescent="0.35">
      <c r="A296" t="s">
        <v>309</v>
      </c>
      <c r="B296">
        <v>36</v>
      </c>
      <c r="C296" t="s">
        <v>4802</v>
      </c>
      <c r="D296" t="s">
        <v>15</v>
      </c>
      <c r="E296">
        <v>68</v>
      </c>
      <c r="F296">
        <v>12</v>
      </c>
      <c r="G296" t="s">
        <v>4797</v>
      </c>
      <c r="H296" t="s">
        <v>4804</v>
      </c>
      <c r="I296">
        <v>17.989999999999998</v>
      </c>
      <c r="J296">
        <v>2</v>
      </c>
      <c r="K296">
        <v>2.27</v>
      </c>
      <c r="L296">
        <v>0</v>
      </c>
      <c r="M296" t="s">
        <v>4812</v>
      </c>
      <c r="N296" t="s">
        <v>4900</v>
      </c>
      <c r="O296" t="s">
        <v>4910</v>
      </c>
    </row>
    <row r="297" spans="1:15" x14ac:dyDescent="0.35">
      <c r="A297" t="s">
        <v>310</v>
      </c>
      <c r="B297">
        <v>36</v>
      </c>
      <c r="C297" t="s">
        <v>4803</v>
      </c>
      <c r="D297" t="s">
        <v>15</v>
      </c>
      <c r="E297">
        <v>90</v>
      </c>
      <c r="F297">
        <v>15</v>
      </c>
      <c r="G297" t="s">
        <v>4797</v>
      </c>
      <c r="H297" t="s">
        <v>4805</v>
      </c>
      <c r="I297">
        <v>17.989999999999998</v>
      </c>
      <c r="J297">
        <v>4</v>
      </c>
      <c r="K297">
        <v>3</v>
      </c>
      <c r="L297">
        <v>1</v>
      </c>
      <c r="M297" t="s">
        <v>4810</v>
      </c>
      <c r="N297" t="s">
        <v>4899</v>
      </c>
      <c r="O297" t="s">
        <v>4910</v>
      </c>
    </row>
    <row r="298" spans="1:15" x14ac:dyDescent="0.35">
      <c r="A298" t="s">
        <v>311</v>
      </c>
      <c r="B298">
        <v>41</v>
      </c>
      <c r="C298" t="s">
        <v>4802</v>
      </c>
      <c r="D298" t="s">
        <v>15</v>
      </c>
      <c r="E298">
        <v>108</v>
      </c>
      <c r="F298">
        <v>60</v>
      </c>
      <c r="G298" t="s">
        <v>4799</v>
      </c>
      <c r="H298" t="s">
        <v>4805</v>
      </c>
      <c r="I298">
        <v>17.989999999999998</v>
      </c>
      <c r="J298">
        <v>4</v>
      </c>
      <c r="K298">
        <v>3.6</v>
      </c>
      <c r="L298">
        <v>0</v>
      </c>
      <c r="M298" t="s">
        <v>4811</v>
      </c>
      <c r="N298" t="s">
        <v>4900</v>
      </c>
      <c r="O298" t="s">
        <v>4910</v>
      </c>
    </row>
    <row r="299" spans="1:15" x14ac:dyDescent="0.35">
      <c r="A299" t="s">
        <v>312</v>
      </c>
      <c r="B299">
        <v>54</v>
      </c>
      <c r="C299" t="s">
        <v>4802</v>
      </c>
      <c r="D299" t="s">
        <v>13</v>
      </c>
      <c r="E299">
        <v>51</v>
      </c>
      <c r="F299">
        <v>45</v>
      </c>
      <c r="G299" t="s">
        <v>4799</v>
      </c>
      <c r="H299" t="s">
        <v>4805</v>
      </c>
      <c r="I299">
        <v>13.99</v>
      </c>
      <c r="J299">
        <v>1</v>
      </c>
      <c r="K299">
        <v>2.0299999999999998</v>
      </c>
      <c r="L299">
        <v>1</v>
      </c>
      <c r="M299" t="s">
        <v>4810</v>
      </c>
      <c r="N299" t="s">
        <v>4899</v>
      </c>
      <c r="O299" t="s">
        <v>4910</v>
      </c>
    </row>
    <row r="300" spans="1:15" x14ac:dyDescent="0.35">
      <c r="A300" t="s">
        <v>313</v>
      </c>
      <c r="B300">
        <v>36</v>
      </c>
      <c r="C300" t="s">
        <v>4802</v>
      </c>
      <c r="D300" t="s">
        <v>15</v>
      </c>
      <c r="E300">
        <v>98</v>
      </c>
      <c r="F300">
        <v>35</v>
      </c>
      <c r="G300" t="s">
        <v>4800</v>
      </c>
      <c r="H300" t="s">
        <v>4805</v>
      </c>
      <c r="I300">
        <v>17.989999999999998</v>
      </c>
      <c r="J300">
        <v>4</v>
      </c>
      <c r="K300">
        <v>3.27</v>
      </c>
      <c r="L300">
        <v>0</v>
      </c>
      <c r="M300" t="s">
        <v>4808</v>
      </c>
      <c r="N300" t="s">
        <v>4900</v>
      </c>
      <c r="O300" t="s">
        <v>4910</v>
      </c>
    </row>
    <row r="301" spans="1:15" x14ac:dyDescent="0.35">
      <c r="A301" t="s">
        <v>314</v>
      </c>
      <c r="B301">
        <v>58</v>
      </c>
      <c r="C301" t="s">
        <v>4802</v>
      </c>
      <c r="D301" t="s">
        <v>13</v>
      </c>
      <c r="E301">
        <v>69</v>
      </c>
      <c r="F301">
        <v>999</v>
      </c>
      <c r="G301" t="s">
        <v>4799</v>
      </c>
      <c r="H301" t="s">
        <v>4804</v>
      </c>
      <c r="I301">
        <v>13.99</v>
      </c>
      <c r="J301">
        <v>1</v>
      </c>
      <c r="K301">
        <v>2.2999999999999998</v>
      </c>
      <c r="L301">
        <v>0</v>
      </c>
      <c r="M301" t="s">
        <v>4809</v>
      </c>
      <c r="N301" t="s">
        <v>4900</v>
      </c>
      <c r="O301" t="s">
        <v>4911</v>
      </c>
    </row>
    <row r="302" spans="1:15" x14ac:dyDescent="0.35">
      <c r="A302" t="s">
        <v>315</v>
      </c>
      <c r="B302">
        <v>58</v>
      </c>
      <c r="C302" t="s">
        <v>4802</v>
      </c>
      <c r="D302" t="s">
        <v>13</v>
      </c>
      <c r="E302">
        <v>57</v>
      </c>
      <c r="F302">
        <v>999</v>
      </c>
      <c r="G302" t="s">
        <v>4798</v>
      </c>
      <c r="H302" t="s">
        <v>4806</v>
      </c>
      <c r="I302">
        <v>13.99</v>
      </c>
      <c r="J302">
        <v>2</v>
      </c>
      <c r="K302">
        <v>5</v>
      </c>
      <c r="L302">
        <v>0</v>
      </c>
      <c r="M302" t="s">
        <v>4810</v>
      </c>
      <c r="N302" t="s">
        <v>4900</v>
      </c>
      <c r="O302" t="s">
        <v>4911</v>
      </c>
    </row>
    <row r="303" spans="1:15" x14ac:dyDescent="0.35">
      <c r="A303" t="s">
        <v>316</v>
      </c>
      <c r="B303">
        <v>39</v>
      </c>
      <c r="C303" t="s">
        <v>4802</v>
      </c>
      <c r="D303" t="s">
        <v>15</v>
      </c>
      <c r="E303">
        <v>35</v>
      </c>
      <c r="F303">
        <v>27</v>
      </c>
      <c r="G303" t="s">
        <v>4799</v>
      </c>
      <c r="H303" t="s">
        <v>4805</v>
      </c>
      <c r="I303">
        <v>17.989999999999998</v>
      </c>
      <c r="J303">
        <v>2</v>
      </c>
      <c r="K303">
        <v>1.17</v>
      </c>
      <c r="L303">
        <v>0</v>
      </c>
      <c r="M303" t="s">
        <v>4808</v>
      </c>
      <c r="N303" t="s">
        <v>4900</v>
      </c>
      <c r="O303" t="s">
        <v>4910</v>
      </c>
    </row>
    <row r="304" spans="1:15" x14ac:dyDescent="0.35">
      <c r="A304" t="s">
        <v>317</v>
      </c>
      <c r="B304">
        <v>61</v>
      </c>
      <c r="C304" t="s">
        <v>4802</v>
      </c>
      <c r="D304" t="s">
        <v>13</v>
      </c>
      <c r="E304">
        <v>44</v>
      </c>
      <c r="F304">
        <v>5</v>
      </c>
      <c r="G304" t="s">
        <v>4799</v>
      </c>
      <c r="H304" t="s">
        <v>4805</v>
      </c>
      <c r="I304">
        <v>13.99</v>
      </c>
      <c r="J304">
        <v>4</v>
      </c>
      <c r="K304">
        <v>1.47</v>
      </c>
      <c r="L304">
        <v>0</v>
      </c>
      <c r="M304" t="s">
        <v>4812</v>
      </c>
      <c r="N304" t="s">
        <v>4900</v>
      </c>
      <c r="O304" t="s">
        <v>4911</v>
      </c>
    </row>
    <row r="305" spans="1:15" x14ac:dyDescent="0.35">
      <c r="A305" t="s">
        <v>318</v>
      </c>
      <c r="B305">
        <v>43</v>
      </c>
      <c r="C305" t="s">
        <v>4803</v>
      </c>
      <c r="D305" t="s">
        <v>15</v>
      </c>
      <c r="E305">
        <v>48</v>
      </c>
      <c r="F305">
        <v>2</v>
      </c>
      <c r="G305" t="s">
        <v>4797</v>
      </c>
      <c r="H305" t="s">
        <v>4805</v>
      </c>
      <c r="I305">
        <v>17.989999999999998</v>
      </c>
      <c r="J305">
        <v>2</v>
      </c>
      <c r="K305">
        <v>1.6</v>
      </c>
      <c r="L305">
        <v>0</v>
      </c>
      <c r="M305" t="s">
        <v>4809</v>
      </c>
      <c r="N305" t="s">
        <v>4900</v>
      </c>
      <c r="O305" t="s">
        <v>4910</v>
      </c>
    </row>
    <row r="306" spans="1:15" x14ac:dyDescent="0.35">
      <c r="A306" t="s">
        <v>319</v>
      </c>
      <c r="B306">
        <v>19</v>
      </c>
      <c r="C306" t="s">
        <v>4803</v>
      </c>
      <c r="D306" t="s">
        <v>15</v>
      </c>
      <c r="E306">
        <v>116</v>
      </c>
      <c r="F306">
        <v>1</v>
      </c>
      <c r="G306" t="s">
        <v>4799</v>
      </c>
      <c r="H306" t="s">
        <v>4805</v>
      </c>
      <c r="I306">
        <v>17.989999999999998</v>
      </c>
      <c r="J306">
        <v>5</v>
      </c>
      <c r="K306">
        <v>3.87</v>
      </c>
      <c r="L306">
        <v>0</v>
      </c>
      <c r="M306" t="s">
        <v>4808</v>
      </c>
      <c r="N306" t="s">
        <v>4900</v>
      </c>
      <c r="O306" t="s">
        <v>4912</v>
      </c>
    </row>
    <row r="307" spans="1:15" x14ac:dyDescent="0.35">
      <c r="A307" t="s">
        <v>320</v>
      </c>
      <c r="B307">
        <v>44</v>
      </c>
      <c r="C307" t="s">
        <v>4802</v>
      </c>
      <c r="D307" t="s">
        <v>13</v>
      </c>
      <c r="E307">
        <v>47</v>
      </c>
      <c r="F307">
        <v>31</v>
      </c>
      <c r="G307" t="s">
        <v>4799</v>
      </c>
      <c r="H307" t="s">
        <v>4805</v>
      </c>
      <c r="I307">
        <v>13.99</v>
      </c>
      <c r="J307">
        <v>2</v>
      </c>
      <c r="K307">
        <v>1.57</v>
      </c>
      <c r="L307">
        <v>0</v>
      </c>
      <c r="M307" t="s">
        <v>4811</v>
      </c>
      <c r="N307" t="s">
        <v>4900</v>
      </c>
      <c r="O307" t="s">
        <v>4910</v>
      </c>
    </row>
    <row r="308" spans="1:15" x14ac:dyDescent="0.35">
      <c r="A308" t="s">
        <v>321</v>
      </c>
      <c r="B308">
        <v>50</v>
      </c>
      <c r="C308" t="s">
        <v>4803</v>
      </c>
      <c r="D308" t="s">
        <v>13</v>
      </c>
      <c r="E308">
        <v>67</v>
      </c>
      <c r="F308">
        <v>36</v>
      </c>
      <c r="G308" t="s">
        <v>4797</v>
      </c>
      <c r="H308" t="s">
        <v>4806</v>
      </c>
      <c r="I308">
        <v>13.99</v>
      </c>
      <c r="J308">
        <v>2</v>
      </c>
      <c r="K308">
        <v>2.23</v>
      </c>
      <c r="L308">
        <v>0</v>
      </c>
      <c r="M308" t="s">
        <v>4810</v>
      </c>
      <c r="N308" t="s">
        <v>4900</v>
      </c>
      <c r="O308" t="s">
        <v>4910</v>
      </c>
    </row>
    <row r="309" spans="1:15" x14ac:dyDescent="0.35">
      <c r="A309" t="s">
        <v>322</v>
      </c>
      <c r="B309">
        <v>31</v>
      </c>
      <c r="C309" t="s">
        <v>4803</v>
      </c>
      <c r="D309" t="s">
        <v>13</v>
      </c>
      <c r="E309">
        <v>52</v>
      </c>
      <c r="F309">
        <v>27</v>
      </c>
      <c r="G309" t="s">
        <v>4798</v>
      </c>
      <c r="H309" t="s">
        <v>4806</v>
      </c>
      <c r="I309">
        <v>13.99</v>
      </c>
      <c r="J309">
        <v>2</v>
      </c>
      <c r="K309">
        <v>1.73</v>
      </c>
      <c r="L309">
        <v>0</v>
      </c>
      <c r="M309" t="s">
        <v>4810</v>
      </c>
      <c r="N309" t="s">
        <v>4900</v>
      </c>
      <c r="O309" t="s">
        <v>4912</v>
      </c>
    </row>
    <row r="310" spans="1:15" x14ac:dyDescent="0.35">
      <c r="A310" t="s">
        <v>323</v>
      </c>
      <c r="B310">
        <v>28</v>
      </c>
      <c r="C310" t="s">
        <v>4803</v>
      </c>
      <c r="D310" t="s">
        <v>13</v>
      </c>
      <c r="E310">
        <v>36</v>
      </c>
      <c r="F310">
        <v>15</v>
      </c>
      <c r="G310" t="s">
        <v>4798</v>
      </c>
      <c r="H310" t="s">
        <v>4804</v>
      </c>
      <c r="I310">
        <v>13.99</v>
      </c>
      <c r="J310">
        <v>2</v>
      </c>
      <c r="K310">
        <v>1.2</v>
      </c>
      <c r="L310">
        <v>0</v>
      </c>
      <c r="M310" t="s">
        <v>4808</v>
      </c>
      <c r="N310" t="s">
        <v>4900</v>
      </c>
      <c r="O310" t="s">
        <v>4912</v>
      </c>
    </row>
    <row r="311" spans="1:15" x14ac:dyDescent="0.35">
      <c r="A311" t="s">
        <v>324</v>
      </c>
      <c r="B311">
        <v>47</v>
      </c>
      <c r="C311" t="s">
        <v>4803</v>
      </c>
      <c r="D311" t="s">
        <v>13</v>
      </c>
      <c r="E311">
        <v>79</v>
      </c>
      <c r="F311">
        <v>58</v>
      </c>
      <c r="G311" t="s">
        <v>4797</v>
      </c>
      <c r="H311" t="s">
        <v>4804</v>
      </c>
      <c r="I311">
        <v>13.99</v>
      </c>
      <c r="J311">
        <v>4</v>
      </c>
      <c r="K311">
        <v>2.63</v>
      </c>
      <c r="L311">
        <v>1</v>
      </c>
      <c r="M311" t="s">
        <v>4808</v>
      </c>
      <c r="N311" t="s">
        <v>4899</v>
      </c>
      <c r="O311" t="s">
        <v>4910</v>
      </c>
    </row>
    <row r="312" spans="1:15" x14ac:dyDescent="0.35">
      <c r="A312" t="s">
        <v>325</v>
      </c>
      <c r="B312">
        <v>27</v>
      </c>
      <c r="C312" t="s">
        <v>4803</v>
      </c>
      <c r="D312" t="s">
        <v>13</v>
      </c>
      <c r="E312">
        <v>36</v>
      </c>
      <c r="F312">
        <v>37</v>
      </c>
      <c r="G312" t="s">
        <v>4799</v>
      </c>
      <c r="H312" t="s">
        <v>4805</v>
      </c>
      <c r="I312">
        <v>13.99</v>
      </c>
      <c r="J312">
        <v>2</v>
      </c>
      <c r="K312">
        <v>1.2</v>
      </c>
      <c r="L312">
        <v>1</v>
      </c>
      <c r="M312" t="s">
        <v>4811</v>
      </c>
      <c r="N312" t="s">
        <v>4899</v>
      </c>
      <c r="O312" t="s">
        <v>4912</v>
      </c>
    </row>
    <row r="313" spans="1:15" x14ac:dyDescent="0.35">
      <c r="A313" t="s">
        <v>326</v>
      </c>
      <c r="B313">
        <v>58</v>
      </c>
      <c r="C313" t="s">
        <v>4802</v>
      </c>
      <c r="D313" t="s">
        <v>13</v>
      </c>
      <c r="E313">
        <v>51</v>
      </c>
      <c r="F313">
        <v>60</v>
      </c>
      <c r="G313" t="s">
        <v>4797</v>
      </c>
      <c r="H313" t="s">
        <v>4806</v>
      </c>
      <c r="I313">
        <v>13.99</v>
      </c>
      <c r="J313">
        <v>4</v>
      </c>
      <c r="K313">
        <v>1.7</v>
      </c>
      <c r="L313">
        <v>0</v>
      </c>
      <c r="M313" t="s">
        <v>4812</v>
      </c>
      <c r="N313" t="s">
        <v>4900</v>
      </c>
      <c r="O313" t="s">
        <v>4911</v>
      </c>
    </row>
    <row r="314" spans="1:15" x14ac:dyDescent="0.35">
      <c r="A314" t="s">
        <v>327</v>
      </c>
      <c r="B314">
        <v>39</v>
      </c>
      <c r="C314" t="s">
        <v>4802</v>
      </c>
      <c r="D314" t="s">
        <v>15</v>
      </c>
      <c r="E314">
        <v>68</v>
      </c>
      <c r="F314">
        <v>42</v>
      </c>
      <c r="G314" t="s">
        <v>4799</v>
      </c>
      <c r="H314" t="s">
        <v>4805</v>
      </c>
      <c r="I314">
        <v>17.989999999999998</v>
      </c>
      <c r="J314">
        <v>5</v>
      </c>
      <c r="K314">
        <v>2.27</v>
      </c>
      <c r="L314">
        <v>0</v>
      </c>
      <c r="M314" t="s">
        <v>4810</v>
      </c>
      <c r="N314" t="s">
        <v>4900</v>
      </c>
      <c r="O314" t="s">
        <v>4910</v>
      </c>
    </row>
    <row r="315" spans="1:15" x14ac:dyDescent="0.35">
      <c r="A315" t="s">
        <v>328</v>
      </c>
      <c r="B315">
        <v>57</v>
      </c>
      <c r="C315" t="s">
        <v>4802</v>
      </c>
      <c r="D315" t="s">
        <v>15</v>
      </c>
      <c r="E315">
        <v>114</v>
      </c>
      <c r="F315">
        <v>53</v>
      </c>
      <c r="G315" t="s">
        <v>4798</v>
      </c>
      <c r="H315" t="s">
        <v>4807</v>
      </c>
      <c r="I315">
        <v>17.989999999999998</v>
      </c>
      <c r="J315">
        <v>4</v>
      </c>
      <c r="K315">
        <v>3.8</v>
      </c>
      <c r="L315">
        <v>0</v>
      </c>
      <c r="M315" t="s">
        <v>4811</v>
      </c>
      <c r="N315" t="s">
        <v>4900</v>
      </c>
      <c r="O315" t="s">
        <v>4911</v>
      </c>
    </row>
    <row r="316" spans="1:15" x14ac:dyDescent="0.35">
      <c r="A316" t="s">
        <v>329</v>
      </c>
      <c r="B316">
        <v>40</v>
      </c>
      <c r="C316" t="s">
        <v>4803</v>
      </c>
      <c r="D316" t="s">
        <v>13</v>
      </c>
      <c r="E316">
        <v>35</v>
      </c>
      <c r="F316">
        <v>34</v>
      </c>
      <c r="G316" t="s">
        <v>4797</v>
      </c>
      <c r="H316" t="s">
        <v>4804</v>
      </c>
      <c r="I316">
        <v>13.99</v>
      </c>
      <c r="J316">
        <v>4</v>
      </c>
      <c r="K316">
        <v>1.17</v>
      </c>
      <c r="L316">
        <v>0</v>
      </c>
      <c r="M316" t="s">
        <v>4809</v>
      </c>
      <c r="N316" t="s">
        <v>4900</v>
      </c>
      <c r="O316" t="s">
        <v>4910</v>
      </c>
    </row>
    <row r="317" spans="1:15" x14ac:dyDescent="0.35">
      <c r="A317" t="s">
        <v>330</v>
      </c>
      <c r="B317">
        <v>51</v>
      </c>
      <c r="C317" t="s">
        <v>4803</v>
      </c>
      <c r="D317" t="s">
        <v>14</v>
      </c>
      <c r="E317">
        <v>25</v>
      </c>
      <c r="F317">
        <v>39</v>
      </c>
      <c r="G317" t="s">
        <v>4799</v>
      </c>
      <c r="H317" t="s">
        <v>4805</v>
      </c>
      <c r="I317">
        <v>8.99</v>
      </c>
      <c r="J317">
        <v>1</v>
      </c>
      <c r="K317">
        <v>0.83</v>
      </c>
      <c r="L317">
        <v>0</v>
      </c>
      <c r="M317" t="s">
        <v>4809</v>
      </c>
      <c r="N317" t="s">
        <v>4900</v>
      </c>
      <c r="O317" t="s">
        <v>4910</v>
      </c>
    </row>
    <row r="318" spans="1:15" x14ac:dyDescent="0.35">
      <c r="A318" t="s">
        <v>331</v>
      </c>
      <c r="B318">
        <v>19</v>
      </c>
      <c r="C318" t="s">
        <v>4802</v>
      </c>
      <c r="D318" t="s">
        <v>15</v>
      </c>
      <c r="E318">
        <v>80</v>
      </c>
      <c r="F318">
        <v>30</v>
      </c>
      <c r="G318" t="s">
        <v>4798</v>
      </c>
      <c r="H318" t="s">
        <v>4804</v>
      </c>
      <c r="I318">
        <v>17.989999999999998</v>
      </c>
      <c r="J318">
        <v>3</v>
      </c>
      <c r="K318">
        <v>2.67</v>
      </c>
      <c r="L318">
        <v>0</v>
      </c>
      <c r="M318" t="s">
        <v>4810</v>
      </c>
      <c r="N318" t="s">
        <v>4900</v>
      </c>
      <c r="O318" t="s">
        <v>4912</v>
      </c>
    </row>
    <row r="319" spans="1:15" x14ac:dyDescent="0.35">
      <c r="A319" t="s">
        <v>332</v>
      </c>
      <c r="B319">
        <v>50</v>
      </c>
      <c r="C319" t="s">
        <v>4802</v>
      </c>
      <c r="D319" t="s">
        <v>15</v>
      </c>
      <c r="E319">
        <v>82</v>
      </c>
      <c r="F319">
        <v>30</v>
      </c>
      <c r="G319" t="s">
        <v>4800</v>
      </c>
      <c r="H319" t="s">
        <v>4804</v>
      </c>
      <c r="I319">
        <v>17.989999999999998</v>
      </c>
      <c r="J319">
        <v>5</v>
      </c>
      <c r="K319">
        <v>2.73</v>
      </c>
      <c r="L319">
        <v>0</v>
      </c>
      <c r="M319" t="s">
        <v>4812</v>
      </c>
      <c r="N319" t="s">
        <v>4900</v>
      </c>
      <c r="O319" t="s">
        <v>4910</v>
      </c>
    </row>
    <row r="320" spans="1:15" x14ac:dyDescent="0.35">
      <c r="A320" t="s">
        <v>333</v>
      </c>
      <c r="B320">
        <v>22</v>
      </c>
      <c r="C320" t="s">
        <v>4802</v>
      </c>
      <c r="D320" t="s">
        <v>15</v>
      </c>
      <c r="E320">
        <v>78</v>
      </c>
      <c r="F320">
        <v>2</v>
      </c>
      <c r="G320" t="s">
        <v>4798</v>
      </c>
      <c r="H320" t="s">
        <v>4804</v>
      </c>
      <c r="I320">
        <v>17.989999999999998</v>
      </c>
      <c r="J320">
        <v>4</v>
      </c>
      <c r="K320">
        <v>2.6</v>
      </c>
      <c r="L320">
        <v>0</v>
      </c>
      <c r="M320" t="s">
        <v>4810</v>
      </c>
      <c r="N320" t="s">
        <v>4900</v>
      </c>
      <c r="O320" t="s">
        <v>4912</v>
      </c>
    </row>
    <row r="321" spans="1:15" x14ac:dyDescent="0.35">
      <c r="A321" t="s">
        <v>334</v>
      </c>
      <c r="B321">
        <v>32</v>
      </c>
      <c r="C321" t="s">
        <v>4802</v>
      </c>
      <c r="D321" t="s">
        <v>13</v>
      </c>
      <c r="E321">
        <v>58</v>
      </c>
      <c r="F321">
        <v>37</v>
      </c>
      <c r="G321" t="s">
        <v>4798</v>
      </c>
      <c r="H321" t="s">
        <v>4806</v>
      </c>
      <c r="I321">
        <v>13.99</v>
      </c>
      <c r="J321">
        <v>4</v>
      </c>
      <c r="K321">
        <v>2.0299999999999998</v>
      </c>
      <c r="L321">
        <v>0</v>
      </c>
      <c r="M321" t="s">
        <v>4811</v>
      </c>
      <c r="N321" t="s">
        <v>4900</v>
      </c>
      <c r="O321" t="s">
        <v>4912</v>
      </c>
    </row>
    <row r="322" spans="1:15" x14ac:dyDescent="0.35">
      <c r="A322" t="s">
        <v>335</v>
      </c>
      <c r="B322">
        <v>53</v>
      </c>
      <c r="C322" t="s">
        <v>4802</v>
      </c>
      <c r="D322" t="s">
        <v>13</v>
      </c>
      <c r="E322">
        <v>36</v>
      </c>
      <c r="F322">
        <v>6</v>
      </c>
      <c r="G322" t="s">
        <v>4798</v>
      </c>
      <c r="H322" t="s">
        <v>4805</v>
      </c>
      <c r="I322">
        <v>13.99</v>
      </c>
      <c r="J322">
        <v>4</v>
      </c>
      <c r="K322">
        <v>1.2</v>
      </c>
      <c r="L322">
        <v>0</v>
      </c>
      <c r="M322" t="s">
        <v>4808</v>
      </c>
      <c r="N322" t="s">
        <v>4900</v>
      </c>
      <c r="O322" t="s">
        <v>4910</v>
      </c>
    </row>
    <row r="323" spans="1:15" x14ac:dyDescent="0.35">
      <c r="A323" t="s">
        <v>336</v>
      </c>
      <c r="B323">
        <v>33</v>
      </c>
      <c r="C323" t="s">
        <v>4802</v>
      </c>
      <c r="D323" t="s">
        <v>14</v>
      </c>
      <c r="E323">
        <v>22</v>
      </c>
      <c r="F323">
        <v>37</v>
      </c>
      <c r="G323" t="s">
        <v>4797</v>
      </c>
      <c r="H323" t="s">
        <v>4804</v>
      </c>
      <c r="I323">
        <v>8.99</v>
      </c>
      <c r="J323">
        <v>2</v>
      </c>
      <c r="K323">
        <v>0.73</v>
      </c>
      <c r="L323">
        <v>1</v>
      </c>
      <c r="M323" t="s">
        <v>4809</v>
      </c>
      <c r="N323" t="s">
        <v>4899</v>
      </c>
      <c r="O323" t="s">
        <v>4912</v>
      </c>
    </row>
    <row r="324" spans="1:15" x14ac:dyDescent="0.35">
      <c r="A324" t="s">
        <v>337</v>
      </c>
      <c r="B324">
        <v>35</v>
      </c>
      <c r="C324" t="s">
        <v>4803</v>
      </c>
      <c r="D324" t="s">
        <v>13</v>
      </c>
      <c r="E324">
        <v>73</v>
      </c>
      <c r="F324">
        <v>2</v>
      </c>
      <c r="G324" t="s">
        <v>4797</v>
      </c>
      <c r="H324" t="s">
        <v>4805</v>
      </c>
      <c r="I324">
        <v>13.99</v>
      </c>
      <c r="J324">
        <v>2</v>
      </c>
      <c r="K324">
        <v>2.4300000000000002</v>
      </c>
      <c r="L324">
        <v>0</v>
      </c>
      <c r="M324" t="s">
        <v>4809</v>
      </c>
      <c r="N324" t="s">
        <v>4900</v>
      </c>
      <c r="O324" t="s">
        <v>4910</v>
      </c>
    </row>
    <row r="325" spans="1:15" x14ac:dyDescent="0.35">
      <c r="A325" t="s">
        <v>338</v>
      </c>
      <c r="B325">
        <v>27</v>
      </c>
      <c r="C325" t="s">
        <v>4803</v>
      </c>
      <c r="D325" t="s">
        <v>13</v>
      </c>
      <c r="E325">
        <v>72</v>
      </c>
      <c r="F325">
        <v>52</v>
      </c>
      <c r="G325" t="s">
        <v>4800</v>
      </c>
      <c r="H325" t="s">
        <v>4804</v>
      </c>
      <c r="I325">
        <v>13.99</v>
      </c>
      <c r="J325">
        <v>1</v>
      </c>
      <c r="K325">
        <v>2.4</v>
      </c>
      <c r="L325">
        <v>0</v>
      </c>
      <c r="M325" t="s">
        <v>4810</v>
      </c>
      <c r="N325" t="s">
        <v>4900</v>
      </c>
      <c r="O325" t="s">
        <v>4912</v>
      </c>
    </row>
    <row r="326" spans="1:15" x14ac:dyDescent="0.35">
      <c r="A326" t="s">
        <v>339</v>
      </c>
      <c r="B326">
        <v>28</v>
      </c>
      <c r="C326" t="s">
        <v>4803</v>
      </c>
      <c r="D326" t="s">
        <v>13</v>
      </c>
      <c r="E326">
        <v>61</v>
      </c>
      <c r="F326">
        <v>2</v>
      </c>
      <c r="G326" t="s">
        <v>4797</v>
      </c>
      <c r="H326" t="s">
        <v>4805</v>
      </c>
      <c r="I326">
        <v>13.99</v>
      </c>
      <c r="J326">
        <v>4</v>
      </c>
      <c r="K326">
        <v>2.0299999999999998</v>
      </c>
      <c r="L326">
        <v>0</v>
      </c>
      <c r="M326" t="s">
        <v>4811</v>
      </c>
      <c r="N326" t="s">
        <v>4900</v>
      </c>
      <c r="O326" t="s">
        <v>4912</v>
      </c>
    </row>
    <row r="327" spans="1:15" x14ac:dyDescent="0.35">
      <c r="A327" t="s">
        <v>340</v>
      </c>
      <c r="B327">
        <v>58</v>
      </c>
      <c r="C327" t="s">
        <v>4802</v>
      </c>
      <c r="D327" t="s">
        <v>13</v>
      </c>
      <c r="E327">
        <v>66</v>
      </c>
      <c r="F327">
        <v>42</v>
      </c>
      <c r="G327" t="s">
        <v>4797</v>
      </c>
      <c r="H327" t="s">
        <v>4804</v>
      </c>
      <c r="I327">
        <v>13.99</v>
      </c>
      <c r="J327">
        <v>2</v>
      </c>
      <c r="K327">
        <v>2.2000000000000002</v>
      </c>
      <c r="L327">
        <v>0</v>
      </c>
      <c r="M327" t="s">
        <v>4811</v>
      </c>
      <c r="N327" t="s">
        <v>4900</v>
      </c>
      <c r="O327" t="s">
        <v>4911</v>
      </c>
    </row>
    <row r="328" spans="1:15" x14ac:dyDescent="0.35">
      <c r="A328" t="s">
        <v>341</v>
      </c>
      <c r="B328">
        <v>64</v>
      </c>
      <c r="C328" t="s">
        <v>4803</v>
      </c>
      <c r="D328" t="s">
        <v>13</v>
      </c>
      <c r="E328">
        <v>32</v>
      </c>
      <c r="F328">
        <v>19</v>
      </c>
      <c r="G328" t="s">
        <v>4798</v>
      </c>
      <c r="H328" t="s">
        <v>4804</v>
      </c>
      <c r="I328">
        <v>13.99</v>
      </c>
      <c r="J328">
        <v>1</v>
      </c>
      <c r="K328">
        <v>2.0299999999999998</v>
      </c>
      <c r="L328">
        <v>0</v>
      </c>
      <c r="M328" t="s">
        <v>4809</v>
      </c>
      <c r="N328" t="s">
        <v>4900</v>
      </c>
      <c r="O328" t="s">
        <v>4911</v>
      </c>
    </row>
    <row r="329" spans="1:15" x14ac:dyDescent="0.35">
      <c r="A329" t="s">
        <v>342</v>
      </c>
      <c r="B329">
        <v>52</v>
      </c>
      <c r="C329" t="s">
        <v>4803</v>
      </c>
      <c r="D329" t="s">
        <v>13</v>
      </c>
      <c r="E329">
        <v>70</v>
      </c>
      <c r="F329">
        <v>12</v>
      </c>
      <c r="G329" t="s">
        <v>4798</v>
      </c>
      <c r="H329" t="s">
        <v>4805</v>
      </c>
      <c r="I329">
        <v>13.99</v>
      </c>
      <c r="J329">
        <v>4</v>
      </c>
      <c r="K329">
        <v>2.33</v>
      </c>
      <c r="L329">
        <v>0</v>
      </c>
      <c r="M329" t="s">
        <v>4808</v>
      </c>
      <c r="N329" t="s">
        <v>4900</v>
      </c>
      <c r="O329" t="s">
        <v>4910</v>
      </c>
    </row>
    <row r="330" spans="1:15" x14ac:dyDescent="0.35">
      <c r="A330" t="s">
        <v>343</v>
      </c>
      <c r="B330">
        <v>23</v>
      </c>
      <c r="C330" t="s">
        <v>4803</v>
      </c>
      <c r="D330" t="s">
        <v>13</v>
      </c>
      <c r="E330">
        <v>64</v>
      </c>
      <c r="F330">
        <v>28</v>
      </c>
      <c r="G330" t="s">
        <v>4797</v>
      </c>
      <c r="H330" t="s">
        <v>4805</v>
      </c>
      <c r="I330">
        <v>13.99</v>
      </c>
      <c r="J330">
        <v>4</v>
      </c>
      <c r="K330">
        <v>2.13</v>
      </c>
      <c r="L330">
        <v>0</v>
      </c>
      <c r="M330" t="s">
        <v>4809</v>
      </c>
      <c r="N330" t="s">
        <v>4900</v>
      </c>
      <c r="O330" t="s">
        <v>4912</v>
      </c>
    </row>
    <row r="331" spans="1:15" x14ac:dyDescent="0.35">
      <c r="A331" t="s">
        <v>344</v>
      </c>
      <c r="B331">
        <v>46</v>
      </c>
      <c r="C331" t="s">
        <v>4802</v>
      </c>
      <c r="D331" t="s">
        <v>13</v>
      </c>
      <c r="E331">
        <v>41</v>
      </c>
      <c r="F331">
        <v>45</v>
      </c>
      <c r="G331" t="s">
        <v>4799</v>
      </c>
      <c r="H331" t="s">
        <v>4807</v>
      </c>
      <c r="I331">
        <v>13.99</v>
      </c>
      <c r="J331">
        <v>2</v>
      </c>
      <c r="K331">
        <v>1.37</v>
      </c>
      <c r="L331">
        <v>0</v>
      </c>
      <c r="M331" t="s">
        <v>4808</v>
      </c>
      <c r="N331" t="s">
        <v>4900</v>
      </c>
      <c r="O331" t="s">
        <v>4910</v>
      </c>
    </row>
    <row r="332" spans="1:15" x14ac:dyDescent="0.35">
      <c r="A332" t="s">
        <v>345</v>
      </c>
      <c r="B332">
        <v>36</v>
      </c>
      <c r="C332" t="s">
        <v>4802</v>
      </c>
      <c r="D332" t="s">
        <v>13</v>
      </c>
      <c r="E332">
        <v>75</v>
      </c>
      <c r="F332">
        <v>49</v>
      </c>
      <c r="G332" t="s">
        <v>4799</v>
      </c>
      <c r="H332" t="s">
        <v>4805</v>
      </c>
      <c r="I332">
        <v>13.99</v>
      </c>
      <c r="J332">
        <v>4</v>
      </c>
      <c r="K332">
        <v>2.5</v>
      </c>
      <c r="L332">
        <v>0</v>
      </c>
      <c r="M332" t="s">
        <v>4811</v>
      </c>
      <c r="N332" t="s">
        <v>4900</v>
      </c>
      <c r="O332" t="s">
        <v>4910</v>
      </c>
    </row>
    <row r="333" spans="1:15" x14ac:dyDescent="0.35">
      <c r="A333" t="s">
        <v>346</v>
      </c>
      <c r="B333">
        <v>41</v>
      </c>
      <c r="C333" t="s">
        <v>4803</v>
      </c>
      <c r="D333" t="s">
        <v>13</v>
      </c>
      <c r="E333">
        <v>77</v>
      </c>
      <c r="F333">
        <v>11</v>
      </c>
      <c r="G333" t="s">
        <v>4799</v>
      </c>
      <c r="H333" t="s">
        <v>4805</v>
      </c>
      <c r="I333">
        <v>13.99</v>
      </c>
      <c r="J333">
        <v>4</v>
      </c>
      <c r="K333">
        <v>2.57</v>
      </c>
      <c r="L333">
        <v>0</v>
      </c>
      <c r="M333" t="s">
        <v>4812</v>
      </c>
      <c r="N333" t="s">
        <v>4900</v>
      </c>
      <c r="O333" t="s">
        <v>4910</v>
      </c>
    </row>
    <row r="334" spans="1:15" x14ac:dyDescent="0.35">
      <c r="A334" t="s">
        <v>347</v>
      </c>
      <c r="B334">
        <v>63</v>
      </c>
      <c r="C334" t="s">
        <v>4803</v>
      </c>
      <c r="D334" t="s">
        <v>13</v>
      </c>
      <c r="E334">
        <v>64</v>
      </c>
      <c r="F334">
        <v>48</v>
      </c>
      <c r="G334" t="s">
        <v>4799</v>
      </c>
      <c r="H334" t="s">
        <v>4804</v>
      </c>
      <c r="I334">
        <v>13.99</v>
      </c>
      <c r="J334">
        <v>4</v>
      </c>
      <c r="K334">
        <v>2.13</v>
      </c>
      <c r="L334">
        <v>0</v>
      </c>
      <c r="M334" t="s">
        <v>4808</v>
      </c>
      <c r="N334" t="s">
        <v>4900</v>
      </c>
      <c r="O334" t="s">
        <v>4911</v>
      </c>
    </row>
    <row r="335" spans="1:15" x14ac:dyDescent="0.35">
      <c r="A335" t="s">
        <v>348</v>
      </c>
      <c r="B335">
        <v>48</v>
      </c>
      <c r="C335" t="s">
        <v>4803</v>
      </c>
      <c r="D335" t="s">
        <v>15</v>
      </c>
      <c r="E335">
        <v>52</v>
      </c>
      <c r="F335">
        <v>37</v>
      </c>
      <c r="G335" t="s">
        <v>4797</v>
      </c>
      <c r="H335" t="s">
        <v>4805</v>
      </c>
      <c r="I335">
        <v>17.989999999999998</v>
      </c>
      <c r="J335">
        <v>5</v>
      </c>
      <c r="K335">
        <v>5</v>
      </c>
      <c r="L335">
        <v>0</v>
      </c>
      <c r="M335" t="s">
        <v>4808</v>
      </c>
      <c r="N335" t="s">
        <v>4900</v>
      </c>
      <c r="O335" t="s">
        <v>4910</v>
      </c>
    </row>
    <row r="336" spans="1:15" x14ac:dyDescent="0.35">
      <c r="A336" t="s">
        <v>349</v>
      </c>
      <c r="B336">
        <v>52</v>
      </c>
      <c r="C336" t="s">
        <v>4803</v>
      </c>
      <c r="D336" t="s">
        <v>13</v>
      </c>
      <c r="E336">
        <v>36</v>
      </c>
      <c r="F336">
        <v>51</v>
      </c>
      <c r="G336" t="s">
        <v>4798</v>
      </c>
      <c r="H336" t="s">
        <v>4805</v>
      </c>
      <c r="I336">
        <v>13.99</v>
      </c>
      <c r="J336">
        <v>1</v>
      </c>
      <c r="K336">
        <v>1.2</v>
      </c>
      <c r="L336">
        <v>0</v>
      </c>
      <c r="M336" t="s">
        <v>4810</v>
      </c>
      <c r="N336" t="s">
        <v>4900</v>
      </c>
      <c r="O336" t="s">
        <v>4910</v>
      </c>
    </row>
    <row r="337" spans="1:15" x14ac:dyDescent="0.35">
      <c r="A337" t="s">
        <v>350</v>
      </c>
      <c r="B337">
        <v>21</v>
      </c>
      <c r="C337" t="s">
        <v>4803</v>
      </c>
      <c r="D337" t="s">
        <v>13</v>
      </c>
      <c r="E337">
        <v>44</v>
      </c>
      <c r="F337">
        <v>11</v>
      </c>
      <c r="G337" t="s">
        <v>4798</v>
      </c>
      <c r="H337" t="s">
        <v>4806</v>
      </c>
      <c r="I337">
        <v>13.99</v>
      </c>
      <c r="J337">
        <v>3</v>
      </c>
      <c r="K337">
        <v>1.47</v>
      </c>
      <c r="L337">
        <v>0</v>
      </c>
      <c r="M337" t="s">
        <v>4810</v>
      </c>
      <c r="N337" t="s">
        <v>4900</v>
      </c>
      <c r="O337" t="s">
        <v>4912</v>
      </c>
    </row>
    <row r="338" spans="1:15" x14ac:dyDescent="0.35">
      <c r="A338" t="s">
        <v>351</v>
      </c>
      <c r="B338">
        <v>50</v>
      </c>
      <c r="C338" t="s">
        <v>4802</v>
      </c>
      <c r="D338" t="s">
        <v>13</v>
      </c>
      <c r="E338">
        <v>52</v>
      </c>
      <c r="F338">
        <v>0</v>
      </c>
      <c r="G338" t="s">
        <v>4799</v>
      </c>
      <c r="H338" t="s">
        <v>4805</v>
      </c>
      <c r="I338">
        <v>13.99</v>
      </c>
      <c r="J338">
        <v>2</v>
      </c>
      <c r="K338">
        <v>1.73</v>
      </c>
      <c r="L338">
        <v>0</v>
      </c>
      <c r="M338" t="s">
        <v>4808</v>
      </c>
      <c r="N338" t="s">
        <v>4900</v>
      </c>
      <c r="O338" t="s">
        <v>4910</v>
      </c>
    </row>
    <row r="339" spans="1:15" x14ac:dyDescent="0.35">
      <c r="A339" t="s">
        <v>352</v>
      </c>
      <c r="B339">
        <v>58</v>
      </c>
      <c r="C339" t="s">
        <v>4803</v>
      </c>
      <c r="D339" t="s">
        <v>13</v>
      </c>
      <c r="E339">
        <v>62</v>
      </c>
      <c r="F339">
        <v>40</v>
      </c>
      <c r="G339" t="s">
        <v>4799</v>
      </c>
      <c r="H339" t="s">
        <v>4806</v>
      </c>
      <c r="I339">
        <v>13.99</v>
      </c>
      <c r="J339">
        <v>4</v>
      </c>
      <c r="K339">
        <v>2.0699999999999998</v>
      </c>
      <c r="L339">
        <v>1</v>
      </c>
      <c r="M339" t="s">
        <v>4812</v>
      </c>
      <c r="N339" t="s">
        <v>4899</v>
      </c>
      <c r="O339" t="s">
        <v>4911</v>
      </c>
    </row>
    <row r="340" spans="1:15" x14ac:dyDescent="0.35">
      <c r="A340" t="s">
        <v>353</v>
      </c>
      <c r="B340">
        <v>61</v>
      </c>
      <c r="C340" t="s">
        <v>4803</v>
      </c>
      <c r="D340" t="s">
        <v>13</v>
      </c>
      <c r="E340">
        <v>57</v>
      </c>
      <c r="F340">
        <v>30</v>
      </c>
      <c r="G340" t="s">
        <v>4798</v>
      </c>
      <c r="H340" t="s">
        <v>4806</v>
      </c>
      <c r="I340">
        <v>13.99</v>
      </c>
      <c r="J340">
        <v>3</v>
      </c>
      <c r="K340">
        <v>1.9</v>
      </c>
      <c r="L340">
        <v>0</v>
      </c>
      <c r="M340" t="s">
        <v>4808</v>
      </c>
      <c r="N340" t="s">
        <v>4900</v>
      </c>
      <c r="O340" t="s">
        <v>4911</v>
      </c>
    </row>
    <row r="341" spans="1:15" x14ac:dyDescent="0.35">
      <c r="A341" t="s">
        <v>354</v>
      </c>
      <c r="B341">
        <v>45</v>
      </c>
      <c r="C341" t="s">
        <v>4802</v>
      </c>
      <c r="D341" t="s">
        <v>13</v>
      </c>
      <c r="E341">
        <v>53</v>
      </c>
      <c r="F341">
        <v>35</v>
      </c>
      <c r="G341" t="s">
        <v>4797</v>
      </c>
      <c r="H341" t="s">
        <v>4805</v>
      </c>
      <c r="I341">
        <v>13.99</v>
      </c>
      <c r="J341">
        <v>3</v>
      </c>
      <c r="K341">
        <v>1.77</v>
      </c>
      <c r="L341">
        <v>0</v>
      </c>
      <c r="M341" t="s">
        <v>4810</v>
      </c>
      <c r="N341" t="s">
        <v>4900</v>
      </c>
      <c r="O341" t="s">
        <v>4910</v>
      </c>
    </row>
    <row r="342" spans="1:15" x14ac:dyDescent="0.35">
      <c r="A342" t="s">
        <v>355</v>
      </c>
      <c r="B342">
        <v>24</v>
      </c>
      <c r="C342" t="s">
        <v>4803</v>
      </c>
      <c r="D342" t="s">
        <v>13</v>
      </c>
      <c r="E342">
        <v>35</v>
      </c>
      <c r="F342">
        <v>45</v>
      </c>
      <c r="G342" t="s">
        <v>4798</v>
      </c>
      <c r="H342" t="s">
        <v>4806</v>
      </c>
      <c r="I342">
        <v>13.99</v>
      </c>
      <c r="J342">
        <v>3</v>
      </c>
      <c r="K342">
        <v>1.17</v>
      </c>
      <c r="L342">
        <v>0</v>
      </c>
      <c r="M342" t="s">
        <v>4809</v>
      </c>
      <c r="N342" t="s">
        <v>4900</v>
      </c>
      <c r="O342" t="s">
        <v>4912</v>
      </c>
    </row>
    <row r="343" spans="1:15" x14ac:dyDescent="0.35">
      <c r="A343" t="s">
        <v>356</v>
      </c>
      <c r="B343">
        <v>40</v>
      </c>
      <c r="C343" t="s">
        <v>4803</v>
      </c>
      <c r="D343" t="s">
        <v>14</v>
      </c>
      <c r="E343">
        <v>29</v>
      </c>
      <c r="F343">
        <v>17</v>
      </c>
      <c r="G343" t="s">
        <v>4798</v>
      </c>
      <c r="H343" t="s">
        <v>4804</v>
      </c>
      <c r="I343">
        <v>8.99</v>
      </c>
      <c r="J343">
        <v>1</v>
      </c>
      <c r="K343">
        <v>0.97</v>
      </c>
      <c r="L343">
        <v>0</v>
      </c>
      <c r="M343" t="s">
        <v>4809</v>
      </c>
      <c r="N343" t="s">
        <v>4900</v>
      </c>
      <c r="O343" t="s">
        <v>4910</v>
      </c>
    </row>
    <row r="344" spans="1:15" x14ac:dyDescent="0.35">
      <c r="A344" t="s">
        <v>357</v>
      </c>
      <c r="B344">
        <v>41</v>
      </c>
      <c r="C344" t="s">
        <v>4803</v>
      </c>
      <c r="D344" t="s">
        <v>15</v>
      </c>
      <c r="E344">
        <v>72</v>
      </c>
      <c r="F344">
        <v>9</v>
      </c>
      <c r="G344" t="s">
        <v>4799</v>
      </c>
      <c r="H344" t="s">
        <v>4806</v>
      </c>
      <c r="I344">
        <v>17.989999999999998</v>
      </c>
      <c r="J344">
        <v>5</v>
      </c>
      <c r="K344">
        <v>2.4</v>
      </c>
      <c r="L344">
        <v>0</v>
      </c>
      <c r="M344" t="s">
        <v>4808</v>
      </c>
      <c r="N344" t="s">
        <v>4900</v>
      </c>
      <c r="O344" t="s">
        <v>4910</v>
      </c>
    </row>
    <row r="345" spans="1:15" x14ac:dyDescent="0.35">
      <c r="A345" t="s">
        <v>358</v>
      </c>
      <c r="B345">
        <v>20</v>
      </c>
      <c r="C345" t="s">
        <v>4802</v>
      </c>
      <c r="D345" t="s">
        <v>13</v>
      </c>
      <c r="E345">
        <v>54</v>
      </c>
      <c r="F345">
        <v>2</v>
      </c>
      <c r="G345" t="s">
        <v>4798</v>
      </c>
      <c r="H345" t="s">
        <v>4806</v>
      </c>
      <c r="I345">
        <v>13.99</v>
      </c>
      <c r="J345">
        <v>4</v>
      </c>
      <c r="K345">
        <v>1.8</v>
      </c>
      <c r="L345">
        <v>0</v>
      </c>
      <c r="M345" t="s">
        <v>4811</v>
      </c>
      <c r="N345" t="s">
        <v>4900</v>
      </c>
      <c r="O345" t="s">
        <v>4912</v>
      </c>
    </row>
    <row r="346" spans="1:15" x14ac:dyDescent="0.35">
      <c r="A346" t="s">
        <v>359</v>
      </c>
      <c r="B346">
        <v>56</v>
      </c>
      <c r="C346" t="s">
        <v>4803</v>
      </c>
      <c r="D346" t="s">
        <v>15</v>
      </c>
      <c r="E346">
        <v>92</v>
      </c>
      <c r="F346">
        <v>33</v>
      </c>
      <c r="G346" t="s">
        <v>4797</v>
      </c>
      <c r="H346" t="s">
        <v>4805</v>
      </c>
      <c r="I346">
        <v>17.989999999999998</v>
      </c>
      <c r="J346">
        <v>4</v>
      </c>
      <c r="K346">
        <v>3.07</v>
      </c>
      <c r="L346">
        <v>1</v>
      </c>
      <c r="M346" t="s">
        <v>4810</v>
      </c>
      <c r="N346" t="s">
        <v>4899</v>
      </c>
      <c r="O346" t="s">
        <v>4911</v>
      </c>
    </row>
    <row r="347" spans="1:15" x14ac:dyDescent="0.35">
      <c r="A347" t="s">
        <v>360</v>
      </c>
      <c r="B347">
        <v>60</v>
      </c>
      <c r="C347" t="s">
        <v>4802</v>
      </c>
      <c r="D347" t="s">
        <v>13</v>
      </c>
      <c r="E347">
        <v>51</v>
      </c>
      <c r="F347">
        <v>25</v>
      </c>
      <c r="G347" t="s">
        <v>4797</v>
      </c>
      <c r="H347" t="s">
        <v>4804</v>
      </c>
      <c r="I347">
        <v>13.99</v>
      </c>
      <c r="J347">
        <v>4</v>
      </c>
      <c r="K347">
        <v>1.7</v>
      </c>
      <c r="L347">
        <v>0</v>
      </c>
      <c r="M347" t="s">
        <v>4808</v>
      </c>
      <c r="N347" t="s">
        <v>4900</v>
      </c>
      <c r="O347" t="s">
        <v>4911</v>
      </c>
    </row>
    <row r="348" spans="1:15" x14ac:dyDescent="0.35">
      <c r="A348" t="s">
        <v>361</v>
      </c>
      <c r="B348">
        <v>32</v>
      </c>
      <c r="C348" t="s">
        <v>4802</v>
      </c>
      <c r="D348" t="s">
        <v>13</v>
      </c>
      <c r="E348">
        <v>33</v>
      </c>
      <c r="F348">
        <v>26</v>
      </c>
      <c r="G348" t="s">
        <v>4799</v>
      </c>
      <c r="H348" t="s">
        <v>4806</v>
      </c>
      <c r="I348">
        <v>13.99</v>
      </c>
      <c r="J348">
        <v>4</v>
      </c>
      <c r="K348">
        <v>1.1000000000000001</v>
      </c>
      <c r="L348">
        <v>0</v>
      </c>
      <c r="M348" t="s">
        <v>4812</v>
      </c>
      <c r="N348" t="s">
        <v>4900</v>
      </c>
      <c r="O348" t="s">
        <v>4912</v>
      </c>
    </row>
    <row r="349" spans="1:15" x14ac:dyDescent="0.35">
      <c r="A349" t="s">
        <v>362</v>
      </c>
      <c r="B349">
        <v>32</v>
      </c>
      <c r="C349" t="s">
        <v>4802</v>
      </c>
      <c r="D349" t="s">
        <v>13</v>
      </c>
      <c r="E349">
        <v>62</v>
      </c>
      <c r="F349">
        <v>30</v>
      </c>
      <c r="G349" t="s">
        <v>4797</v>
      </c>
      <c r="H349" t="s">
        <v>4805</v>
      </c>
      <c r="I349">
        <v>13.99</v>
      </c>
      <c r="J349">
        <v>2</v>
      </c>
      <c r="K349">
        <v>2.0699999999999998</v>
      </c>
      <c r="L349">
        <v>0</v>
      </c>
      <c r="M349" t="s">
        <v>4809</v>
      </c>
      <c r="N349" t="s">
        <v>4900</v>
      </c>
      <c r="O349" t="s">
        <v>4912</v>
      </c>
    </row>
    <row r="350" spans="1:15" x14ac:dyDescent="0.35">
      <c r="A350" t="s">
        <v>363</v>
      </c>
      <c r="B350">
        <v>39</v>
      </c>
      <c r="C350" t="s">
        <v>4802</v>
      </c>
      <c r="D350" t="s">
        <v>13</v>
      </c>
      <c r="E350">
        <v>52</v>
      </c>
      <c r="F350">
        <v>47</v>
      </c>
      <c r="G350" t="s">
        <v>4798</v>
      </c>
      <c r="H350" t="s">
        <v>4807</v>
      </c>
      <c r="I350">
        <v>13.99</v>
      </c>
      <c r="J350">
        <v>3</v>
      </c>
      <c r="K350">
        <v>1.73</v>
      </c>
      <c r="L350">
        <v>0</v>
      </c>
      <c r="M350" t="s">
        <v>4809</v>
      </c>
      <c r="N350" t="s">
        <v>4900</v>
      </c>
      <c r="O350" t="s">
        <v>4910</v>
      </c>
    </row>
    <row r="351" spans="1:15" x14ac:dyDescent="0.35">
      <c r="A351" t="s">
        <v>364</v>
      </c>
      <c r="B351">
        <v>43</v>
      </c>
      <c r="C351" t="s">
        <v>4802</v>
      </c>
      <c r="D351" t="s">
        <v>13</v>
      </c>
      <c r="E351">
        <v>78</v>
      </c>
      <c r="F351">
        <v>26</v>
      </c>
      <c r="G351" t="s">
        <v>4797</v>
      </c>
      <c r="H351" t="s">
        <v>4804</v>
      </c>
      <c r="I351">
        <v>13.99</v>
      </c>
      <c r="J351">
        <v>2</v>
      </c>
      <c r="K351">
        <v>2.6</v>
      </c>
      <c r="L351">
        <v>0</v>
      </c>
      <c r="M351" t="s">
        <v>4810</v>
      </c>
      <c r="N351" t="s">
        <v>4900</v>
      </c>
      <c r="O351" t="s">
        <v>4910</v>
      </c>
    </row>
    <row r="352" spans="1:15" x14ac:dyDescent="0.35">
      <c r="A352" t="s">
        <v>365</v>
      </c>
      <c r="B352">
        <v>63</v>
      </c>
      <c r="C352" t="s">
        <v>4802</v>
      </c>
      <c r="D352" t="s">
        <v>13</v>
      </c>
      <c r="E352">
        <v>41</v>
      </c>
      <c r="F352">
        <v>16</v>
      </c>
      <c r="G352" t="s">
        <v>4798</v>
      </c>
      <c r="H352" t="s">
        <v>4805</v>
      </c>
      <c r="I352">
        <v>13.99</v>
      </c>
      <c r="J352">
        <v>2</v>
      </c>
      <c r="K352">
        <v>1.37</v>
      </c>
      <c r="L352">
        <v>0</v>
      </c>
      <c r="M352" t="s">
        <v>4809</v>
      </c>
      <c r="N352" t="s">
        <v>4900</v>
      </c>
      <c r="O352" t="s">
        <v>4911</v>
      </c>
    </row>
    <row r="353" spans="1:15" x14ac:dyDescent="0.35">
      <c r="A353" t="s">
        <v>366</v>
      </c>
      <c r="B353">
        <v>64</v>
      </c>
      <c r="C353" t="s">
        <v>4803</v>
      </c>
      <c r="D353" t="s">
        <v>15</v>
      </c>
      <c r="E353">
        <v>106</v>
      </c>
      <c r="F353">
        <v>35</v>
      </c>
      <c r="G353" t="s">
        <v>4799</v>
      </c>
      <c r="H353" t="s">
        <v>4805</v>
      </c>
      <c r="I353">
        <v>17.989999999999998</v>
      </c>
      <c r="J353">
        <v>4</v>
      </c>
      <c r="K353">
        <v>3.53</v>
      </c>
      <c r="L353">
        <v>0</v>
      </c>
      <c r="M353" t="s">
        <v>4808</v>
      </c>
      <c r="N353" t="s">
        <v>4900</v>
      </c>
      <c r="O353" t="s">
        <v>4911</v>
      </c>
    </row>
    <row r="354" spans="1:15" x14ac:dyDescent="0.35">
      <c r="A354" t="s">
        <v>367</v>
      </c>
      <c r="B354">
        <v>53</v>
      </c>
      <c r="C354" t="s">
        <v>4802</v>
      </c>
      <c r="D354" t="s">
        <v>14</v>
      </c>
      <c r="E354">
        <v>42</v>
      </c>
      <c r="F354" t="s">
        <v>4814</v>
      </c>
      <c r="G354" t="s">
        <v>4798</v>
      </c>
      <c r="H354" t="s">
        <v>4805</v>
      </c>
      <c r="I354">
        <v>8.99</v>
      </c>
      <c r="J354">
        <v>1</v>
      </c>
      <c r="K354">
        <v>1.4</v>
      </c>
      <c r="L354">
        <v>0</v>
      </c>
      <c r="M354" t="s">
        <v>4812</v>
      </c>
      <c r="N354" t="s">
        <v>4900</v>
      </c>
      <c r="O354" t="s">
        <v>4910</v>
      </c>
    </row>
    <row r="355" spans="1:15" x14ac:dyDescent="0.35">
      <c r="A355" t="s">
        <v>368</v>
      </c>
      <c r="B355">
        <v>45</v>
      </c>
      <c r="C355" t="s">
        <v>4802</v>
      </c>
      <c r="D355" t="s">
        <v>13</v>
      </c>
      <c r="E355">
        <v>75</v>
      </c>
      <c r="F355">
        <v>16</v>
      </c>
      <c r="G355" t="s">
        <v>4799</v>
      </c>
      <c r="H355" t="s">
        <v>4806</v>
      </c>
      <c r="I355">
        <v>13.99</v>
      </c>
      <c r="J355">
        <v>4</v>
      </c>
      <c r="K355">
        <v>2.5</v>
      </c>
      <c r="L355">
        <v>0</v>
      </c>
      <c r="M355" t="s">
        <v>4808</v>
      </c>
      <c r="N355" t="s">
        <v>4900</v>
      </c>
      <c r="O355" t="s">
        <v>4910</v>
      </c>
    </row>
    <row r="356" spans="1:15" x14ac:dyDescent="0.35">
      <c r="A356" t="s">
        <v>369</v>
      </c>
      <c r="B356">
        <v>46</v>
      </c>
      <c r="C356" t="s">
        <v>4802</v>
      </c>
      <c r="D356" t="s">
        <v>15</v>
      </c>
      <c r="E356">
        <v>55</v>
      </c>
      <c r="F356">
        <v>58</v>
      </c>
      <c r="G356" t="s">
        <v>4798</v>
      </c>
      <c r="H356" t="s">
        <v>4804</v>
      </c>
      <c r="I356">
        <v>17.989999999999998</v>
      </c>
      <c r="J356">
        <v>3</v>
      </c>
      <c r="K356">
        <v>1.83</v>
      </c>
      <c r="L356">
        <v>0</v>
      </c>
      <c r="M356" t="s">
        <v>4809</v>
      </c>
      <c r="N356" t="s">
        <v>4900</v>
      </c>
      <c r="O356" t="s">
        <v>4910</v>
      </c>
    </row>
    <row r="357" spans="1:15" x14ac:dyDescent="0.35">
      <c r="A357" t="s">
        <v>370</v>
      </c>
      <c r="B357">
        <v>33</v>
      </c>
      <c r="C357" t="s">
        <v>4802</v>
      </c>
      <c r="D357" t="s">
        <v>13</v>
      </c>
      <c r="E357">
        <v>47</v>
      </c>
      <c r="F357">
        <v>3</v>
      </c>
      <c r="G357" t="s">
        <v>4798</v>
      </c>
      <c r="H357" t="s">
        <v>4804</v>
      </c>
      <c r="I357">
        <v>13.99</v>
      </c>
      <c r="J357">
        <v>1</v>
      </c>
      <c r="K357">
        <v>1.57</v>
      </c>
      <c r="L357">
        <v>0</v>
      </c>
      <c r="M357" t="s">
        <v>4810</v>
      </c>
      <c r="N357" t="s">
        <v>4900</v>
      </c>
      <c r="O357" t="s">
        <v>4912</v>
      </c>
    </row>
    <row r="358" spans="1:15" x14ac:dyDescent="0.35">
      <c r="A358" t="s">
        <v>371</v>
      </c>
      <c r="B358">
        <v>42</v>
      </c>
      <c r="C358" t="s">
        <v>4802</v>
      </c>
      <c r="D358" t="s">
        <v>13</v>
      </c>
      <c r="E358">
        <v>58</v>
      </c>
      <c r="F358">
        <v>29</v>
      </c>
      <c r="G358" t="s">
        <v>4799</v>
      </c>
      <c r="H358" t="s">
        <v>4806</v>
      </c>
      <c r="I358">
        <v>13.99</v>
      </c>
      <c r="J358">
        <v>2</v>
      </c>
      <c r="K358">
        <v>1.93</v>
      </c>
      <c r="L358">
        <v>0</v>
      </c>
      <c r="M358" t="s">
        <v>4812</v>
      </c>
      <c r="N358" t="s">
        <v>4900</v>
      </c>
      <c r="O358" t="s">
        <v>4910</v>
      </c>
    </row>
    <row r="359" spans="1:15" x14ac:dyDescent="0.35">
      <c r="A359" t="s">
        <v>372</v>
      </c>
      <c r="B359">
        <v>45</v>
      </c>
      <c r="C359" t="s">
        <v>4802</v>
      </c>
      <c r="D359" t="s">
        <v>13</v>
      </c>
      <c r="E359">
        <v>54</v>
      </c>
      <c r="F359">
        <v>48</v>
      </c>
      <c r="G359" t="s">
        <v>4799</v>
      </c>
      <c r="H359" t="s">
        <v>4805</v>
      </c>
      <c r="I359">
        <v>13.99</v>
      </c>
      <c r="J359">
        <v>2</v>
      </c>
      <c r="K359">
        <v>1.8</v>
      </c>
      <c r="L359">
        <v>0</v>
      </c>
      <c r="M359" t="s">
        <v>4811</v>
      </c>
      <c r="N359" t="s">
        <v>4900</v>
      </c>
      <c r="O359" t="s">
        <v>4910</v>
      </c>
    </row>
    <row r="360" spans="1:15" x14ac:dyDescent="0.35">
      <c r="A360" t="s">
        <v>373</v>
      </c>
      <c r="B360">
        <v>27</v>
      </c>
      <c r="C360" t="s">
        <v>4803</v>
      </c>
      <c r="D360" t="s">
        <v>13</v>
      </c>
      <c r="E360">
        <v>31</v>
      </c>
      <c r="F360">
        <v>59</v>
      </c>
      <c r="G360" t="s">
        <v>4798</v>
      </c>
      <c r="H360" t="s">
        <v>4806</v>
      </c>
      <c r="I360">
        <v>13.99</v>
      </c>
      <c r="J360">
        <v>4</v>
      </c>
      <c r="K360">
        <v>1.03</v>
      </c>
      <c r="L360">
        <v>1</v>
      </c>
      <c r="M360" t="s">
        <v>4808</v>
      </c>
      <c r="N360" t="s">
        <v>4899</v>
      </c>
      <c r="O360" t="s">
        <v>4912</v>
      </c>
    </row>
    <row r="361" spans="1:15" x14ac:dyDescent="0.35">
      <c r="A361" t="s">
        <v>374</v>
      </c>
      <c r="B361">
        <v>41</v>
      </c>
      <c r="C361" t="s">
        <v>4802</v>
      </c>
      <c r="D361" t="s">
        <v>13</v>
      </c>
      <c r="E361">
        <v>41</v>
      </c>
      <c r="F361">
        <v>59</v>
      </c>
      <c r="G361" t="s">
        <v>4800</v>
      </c>
      <c r="H361" t="s">
        <v>4804</v>
      </c>
      <c r="I361">
        <v>13.99</v>
      </c>
      <c r="J361">
        <v>1</v>
      </c>
      <c r="K361">
        <v>1.37</v>
      </c>
      <c r="L361">
        <v>0</v>
      </c>
      <c r="M361" t="s">
        <v>4812</v>
      </c>
      <c r="N361" t="s">
        <v>4900</v>
      </c>
      <c r="O361" t="s">
        <v>4910</v>
      </c>
    </row>
    <row r="362" spans="1:15" x14ac:dyDescent="0.35">
      <c r="A362" t="s">
        <v>375</v>
      </c>
      <c r="B362">
        <v>58</v>
      </c>
      <c r="C362" t="s">
        <v>4803</v>
      </c>
      <c r="D362" t="s">
        <v>13</v>
      </c>
      <c r="E362">
        <v>53</v>
      </c>
      <c r="F362">
        <v>5</v>
      </c>
      <c r="G362" t="s">
        <v>4799</v>
      </c>
      <c r="H362" t="s">
        <v>4805</v>
      </c>
      <c r="I362">
        <v>13.99</v>
      </c>
      <c r="J362">
        <v>2</v>
      </c>
      <c r="K362">
        <v>1.77</v>
      </c>
      <c r="L362">
        <v>0</v>
      </c>
      <c r="M362" t="s">
        <v>4809</v>
      </c>
      <c r="N362" t="s">
        <v>4900</v>
      </c>
      <c r="O362" t="s">
        <v>4911</v>
      </c>
    </row>
    <row r="363" spans="1:15" x14ac:dyDescent="0.35">
      <c r="A363" t="s">
        <v>376</v>
      </c>
      <c r="B363">
        <v>35</v>
      </c>
      <c r="C363" t="s">
        <v>4802</v>
      </c>
      <c r="D363" t="s">
        <v>13</v>
      </c>
      <c r="E363">
        <v>65</v>
      </c>
      <c r="F363">
        <v>26</v>
      </c>
      <c r="G363" t="s">
        <v>4798</v>
      </c>
      <c r="H363" t="s">
        <v>4804</v>
      </c>
      <c r="I363">
        <v>13.99</v>
      </c>
      <c r="J363">
        <v>2</v>
      </c>
      <c r="K363">
        <v>2.17</v>
      </c>
      <c r="L363">
        <v>0</v>
      </c>
      <c r="M363" t="s">
        <v>4809</v>
      </c>
      <c r="N363" t="s">
        <v>4900</v>
      </c>
      <c r="O363" t="s">
        <v>4910</v>
      </c>
    </row>
    <row r="364" spans="1:15" x14ac:dyDescent="0.35">
      <c r="A364" t="s">
        <v>377</v>
      </c>
      <c r="B364">
        <v>28</v>
      </c>
      <c r="C364" t="s">
        <v>4803</v>
      </c>
      <c r="D364" t="s">
        <v>13</v>
      </c>
      <c r="E364">
        <v>80</v>
      </c>
      <c r="F364">
        <v>15</v>
      </c>
      <c r="G364" t="s">
        <v>4800</v>
      </c>
      <c r="H364" t="s">
        <v>4805</v>
      </c>
      <c r="I364">
        <v>13.99</v>
      </c>
      <c r="J364">
        <v>1</v>
      </c>
      <c r="K364">
        <v>2.67</v>
      </c>
      <c r="L364">
        <v>0</v>
      </c>
      <c r="M364" t="s">
        <v>4811</v>
      </c>
      <c r="N364" t="s">
        <v>4900</v>
      </c>
      <c r="O364" t="s">
        <v>4912</v>
      </c>
    </row>
    <row r="365" spans="1:15" x14ac:dyDescent="0.35">
      <c r="A365" t="s">
        <v>378</v>
      </c>
      <c r="B365">
        <v>19</v>
      </c>
      <c r="C365" t="s">
        <v>4803</v>
      </c>
      <c r="D365" t="s">
        <v>14</v>
      </c>
      <c r="E365">
        <v>71</v>
      </c>
      <c r="F365">
        <v>28</v>
      </c>
      <c r="G365" t="s">
        <v>4799</v>
      </c>
      <c r="H365" t="s">
        <v>4805</v>
      </c>
      <c r="I365">
        <v>8.99</v>
      </c>
      <c r="J365">
        <v>2</v>
      </c>
      <c r="K365">
        <v>2.37</v>
      </c>
      <c r="L365">
        <v>1</v>
      </c>
      <c r="M365" t="s">
        <v>4810</v>
      </c>
      <c r="N365" t="s">
        <v>4899</v>
      </c>
      <c r="O365" t="s">
        <v>4912</v>
      </c>
    </row>
    <row r="366" spans="1:15" x14ac:dyDescent="0.35">
      <c r="A366" t="s">
        <v>379</v>
      </c>
      <c r="B366">
        <v>36</v>
      </c>
      <c r="C366" t="s">
        <v>4803</v>
      </c>
      <c r="D366" t="s">
        <v>13</v>
      </c>
      <c r="E366">
        <v>60</v>
      </c>
      <c r="F366">
        <v>32</v>
      </c>
      <c r="G366" t="s">
        <v>4799</v>
      </c>
      <c r="H366" t="s">
        <v>4804</v>
      </c>
      <c r="I366">
        <v>13.99</v>
      </c>
      <c r="J366">
        <v>3</v>
      </c>
      <c r="K366">
        <v>2</v>
      </c>
      <c r="L366">
        <v>0</v>
      </c>
      <c r="M366" t="s">
        <v>4811</v>
      </c>
      <c r="N366" t="s">
        <v>4900</v>
      </c>
      <c r="O366" t="s">
        <v>4910</v>
      </c>
    </row>
    <row r="367" spans="1:15" x14ac:dyDescent="0.35">
      <c r="A367" t="s">
        <v>380</v>
      </c>
      <c r="B367">
        <v>39</v>
      </c>
      <c r="C367" t="s">
        <v>4803</v>
      </c>
      <c r="D367" t="s">
        <v>13</v>
      </c>
      <c r="E367">
        <v>57</v>
      </c>
      <c r="F367">
        <v>3</v>
      </c>
      <c r="G367" t="s">
        <v>4800</v>
      </c>
      <c r="H367" t="s">
        <v>4804</v>
      </c>
      <c r="I367">
        <v>13.99</v>
      </c>
      <c r="J367">
        <v>2</v>
      </c>
      <c r="K367">
        <v>1.9</v>
      </c>
      <c r="L367">
        <v>0</v>
      </c>
      <c r="M367" t="s">
        <v>4812</v>
      </c>
      <c r="N367" t="s">
        <v>4900</v>
      </c>
      <c r="O367" t="s">
        <v>4910</v>
      </c>
    </row>
    <row r="368" spans="1:15" x14ac:dyDescent="0.35">
      <c r="A368" t="s">
        <v>381</v>
      </c>
      <c r="B368">
        <v>28</v>
      </c>
      <c r="C368" t="s">
        <v>4803</v>
      </c>
      <c r="D368" t="s">
        <v>13</v>
      </c>
      <c r="E368">
        <v>47</v>
      </c>
      <c r="F368">
        <v>22</v>
      </c>
      <c r="G368" t="s">
        <v>4798</v>
      </c>
      <c r="H368" t="s">
        <v>4805</v>
      </c>
      <c r="I368">
        <v>13.99</v>
      </c>
      <c r="J368">
        <v>3</v>
      </c>
      <c r="K368">
        <v>1.57</v>
      </c>
      <c r="L368">
        <v>0</v>
      </c>
      <c r="M368" t="s">
        <v>4812</v>
      </c>
      <c r="N368" t="s">
        <v>4900</v>
      </c>
      <c r="O368" t="s">
        <v>4912</v>
      </c>
    </row>
    <row r="369" spans="1:15" x14ac:dyDescent="0.35">
      <c r="A369" t="s">
        <v>382</v>
      </c>
      <c r="B369">
        <v>50</v>
      </c>
      <c r="C369" t="s">
        <v>4802</v>
      </c>
      <c r="D369" t="s">
        <v>13</v>
      </c>
      <c r="E369">
        <v>55</v>
      </c>
      <c r="F369">
        <v>56</v>
      </c>
      <c r="G369" t="s">
        <v>4797</v>
      </c>
      <c r="H369" t="s">
        <v>4805</v>
      </c>
      <c r="I369">
        <v>13.99</v>
      </c>
      <c r="J369">
        <v>4</v>
      </c>
      <c r="K369">
        <v>1.83</v>
      </c>
      <c r="L369">
        <v>0</v>
      </c>
      <c r="M369" t="s">
        <v>4810</v>
      </c>
      <c r="N369" t="s">
        <v>4900</v>
      </c>
      <c r="O369" t="s">
        <v>4910</v>
      </c>
    </row>
    <row r="370" spans="1:15" x14ac:dyDescent="0.35">
      <c r="A370" t="s">
        <v>383</v>
      </c>
      <c r="B370">
        <v>27</v>
      </c>
      <c r="C370" t="s">
        <v>4802</v>
      </c>
      <c r="D370" t="s">
        <v>15</v>
      </c>
      <c r="E370">
        <v>92</v>
      </c>
      <c r="F370">
        <v>29</v>
      </c>
      <c r="G370" t="s">
        <v>4798</v>
      </c>
      <c r="H370" t="s">
        <v>4807</v>
      </c>
      <c r="I370">
        <v>17.989999999999998</v>
      </c>
      <c r="J370">
        <v>4</v>
      </c>
      <c r="K370">
        <v>3.07</v>
      </c>
      <c r="L370">
        <v>0</v>
      </c>
      <c r="M370" t="s">
        <v>4809</v>
      </c>
      <c r="N370" t="s">
        <v>4900</v>
      </c>
      <c r="O370" t="s">
        <v>4912</v>
      </c>
    </row>
    <row r="371" spans="1:15" x14ac:dyDescent="0.35">
      <c r="A371" t="s">
        <v>384</v>
      </c>
      <c r="B371">
        <v>61</v>
      </c>
      <c r="C371" t="s">
        <v>4803</v>
      </c>
      <c r="D371" t="s">
        <v>13</v>
      </c>
      <c r="E371">
        <v>42</v>
      </c>
      <c r="F371">
        <v>20</v>
      </c>
      <c r="G371" t="s">
        <v>4797</v>
      </c>
      <c r="H371" t="s">
        <v>4806</v>
      </c>
      <c r="I371">
        <v>13.99</v>
      </c>
      <c r="J371">
        <v>1</v>
      </c>
      <c r="K371">
        <v>1.4</v>
      </c>
      <c r="L371">
        <v>0</v>
      </c>
      <c r="M371" t="s">
        <v>4809</v>
      </c>
      <c r="N371" t="s">
        <v>4900</v>
      </c>
      <c r="O371" t="s">
        <v>4911</v>
      </c>
    </row>
    <row r="372" spans="1:15" x14ac:dyDescent="0.35">
      <c r="A372" t="s">
        <v>385</v>
      </c>
      <c r="B372">
        <v>21</v>
      </c>
      <c r="C372" t="s">
        <v>4803</v>
      </c>
      <c r="D372" t="s">
        <v>13</v>
      </c>
      <c r="E372">
        <v>76</v>
      </c>
      <c r="F372">
        <v>3</v>
      </c>
      <c r="G372" t="s">
        <v>4797</v>
      </c>
      <c r="H372" t="s">
        <v>4805</v>
      </c>
      <c r="I372">
        <v>13.99</v>
      </c>
      <c r="J372">
        <v>1</v>
      </c>
      <c r="K372">
        <v>2.5299999999999998</v>
      </c>
      <c r="L372">
        <v>0</v>
      </c>
      <c r="M372" t="s">
        <v>4808</v>
      </c>
      <c r="N372" t="s">
        <v>4900</v>
      </c>
      <c r="O372" t="s">
        <v>4912</v>
      </c>
    </row>
    <row r="373" spans="1:15" x14ac:dyDescent="0.35">
      <c r="A373" t="s">
        <v>386</v>
      </c>
      <c r="B373">
        <v>48</v>
      </c>
      <c r="C373" t="s">
        <v>4802</v>
      </c>
      <c r="D373" t="s">
        <v>13</v>
      </c>
      <c r="E373">
        <v>58</v>
      </c>
      <c r="F373">
        <v>48</v>
      </c>
      <c r="G373" t="s">
        <v>4797</v>
      </c>
      <c r="H373" t="s">
        <v>4805</v>
      </c>
      <c r="I373">
        <v>13.99</v>
      </c>
      <c r="J373">
        <v>3</v>
      </c>
      <c r="K373">
        <v>1.93</v>
      </c>
      <c r="L373">
        <v>0</v>
      </c>
      <c r="M373" t="s">
        <v>4810</v>
      </c>
      <c r="N373" t="s">
        <v>4900</v>
      </c>
      <c r="O373" t="s">
        <v>4910</v>
      </c>
    </row>
    <row r="374" spans="1:15" x14ac:dyDescent="0.35">
      <c r="A374" t="s">
        <v>387</v>
      </c>
      <c r="B374">
        <v>34</v>
      </c>
      <c r="C374" t="s">
        <v>4803</v>
      </c>
      <c r="D374" t="s">
        <v>15</v>
      </c>
      <c r="E374">
        <v>71</v>
      </c>
      <c r="F374">
        <v>23</v>
      </c>
      <c r="G374" t="s">
        <v>4798</v>
      </c>
      <c r="H374" t="s">
        <v>4805</v>
      </c>
      <c r="I374">
        <v>17.989999999999998</v>
      </c>
      <c r="J374">
        <v>4</v>
      </c>
      <c r="K374">
        <v>2.37</v>
      </c>
      <c r="L374">
        <v>1</v>
      </c>
      <c r="M374" t="s">
        <v>4812</v>
      </c>
      <c r="N374" t="s">
        <v>4899</v>
      </c>
      <c r="O374" t="s">
        <v>4912</v>
      </c>
    </row>
    <row r="375" spans="1:15" x14ac:dyDescent="0.35">
      <c r="A375" t="s">
        <v>388</v>
      </c>
      <c r="B375">
        <v>45</v>
      </c>
      <c r="C375" t="s">
        <v>4803</v>
      </c>
      <c r="D375" t="s">
        <v>13</v>
      </c>
      <c r="E375">
        <v>34</v>
      </c>
      <c r="F375">
        <v>25</v>
      </c>
      <c r="G375" t="s">
        <v>4797</v>
      </c>
      <c r="H375" t="s">
        <v>4804</v>
      </c>
      <c r="I375">
        <v>13.99</v>
      </c>
      <c r="J375">
        <v>3</v>
      </c>
      <c r="K375">
        <v>1.1299999999999999</v>
      </c>
      <c r="L375">
        <v>0</v>
      </c>
      <c r="M375" t="s">
        <v>4811</v>
      </c>
      <c r="N375" t="s">
        <v>4900</v>
      </c>
      <c r="O375" t="s">
        <v>4910</v>
      </c>
    </row>
    <row r="376" spans="1:15" x14ac:dyDescent="0.35">
      <c r="A376" t="s">
        <v>389</v>
      </c>
      <c r="B376">
        <v>20</v>
      </c>
      <c r="C376" t="s">
        <v>4803</v>
      </c>
      <c r="D376" t="s">
        <v>15</v>
      </c>
      <c r="E376">
        <v>109</v>
      </c>
      <c r="F376">
        <v>33</v>
      </c>
      <c r="G376" t="s">
        <v>4799</v>
      </c>
      <c r="H376" t="s">
        <v>4805</v>
      </c>
      <c r="I376">
        <v>17.989999999999998</v>
      </c>
      <c r="J376">
        <v>5</v>
      </c>
      <c r="K376">
        <v>3.63</v>
      </c>
      <c r="L376">
        <v>0</v>
      </c>
      <c r="M376" t="s">
        <v>4809</v>
      </c>
      <c r="N376" t="s">
        <v>4900</v>
      </c>
      <c r="O376" t="s">
        <v>4912</v>
      </c>
    </row>
    <row r="377" spans="1:15" x14ac:dyDescent="0.35">
      <c r="A377" t="s">
        <v>4893</v>
      </c>
      <c r="B377">
        <v>52</v>
      </c>
      <c r="C377" t="s">
        <v>4803</v>
      </c>
      <c r="D377" t="s">
        <v>13</v>
      </c>
      <c r="E377">
        <v>52</v>
      </c>
      <c r="F377">
        <v>38</v>
      </c>
      <c r="G377" t="s">
        <v>4799</v>
      </c>
      <c r="H377" t="s">
        <v>4804</v>
      </c>
      <c r="I377">
        <v>13.99</v>
      </c>
      <c r="J377">
        <v>2</v>
      </c>
      <c r="K377">
        <v>1.73</v>
      </c>
      <c r="L377">
        <v>1</v>
      </c>
      <c r="M377" t="s">
        <v>4809</v>
      </c>
      <c r="N377" t="s">
        <v>4899</v>
      </c>
      <c r="O377" t="s">
        <v>4910</v>
      </c>
    </row>
    <row r="378" spans="1:15" x14ac:dyDescent="0.35">
      <c r="A378" t="s">
        <v>4894</v>
      </c>
      <c r="B378">
        <v>42</v>
      </c>
      <c r="C378" t="s">
        <v>4802</v>
      </c>
      <c r="D378" t="s">
        <v>15</v>
      </c>
      <c r="E378">
        <v>78</v>
      </c>
      <c r="F378">
        <v>24</v>
      </c>
      <c r="G378" t="s">
        <v>4799</v>
      </c>
      <c r="H378" t="s">
        <v>4805</v>
      </c>
      <c r="I378">
        <v>17.989999999999998</v>
      </c>
      <c r="J378">
        <v>5</v>
      </c>
      <c r="K378">
        <v>2.6</v>
      </c>
      <c r="L378">
        <v>1</v>
      </c>
      <c r="M378" t="s">
        <v>4812</v>
      </c>
      <c r="N378" t="s">
        <v>4899</v>
      </c>
      <c r="O378" t="s">
        <v>4910</v>
      </c>
    </row>
    <row r="379" spans="1:15" x14ac:dyDescent="0.35">
      <c r="A379" t="s">
        <v>390</v>
      </c>
      <c r="B379">
        <v>18</v>
      </c>
      <c r="C379" t="s">
        <v>4803</v>
      </c>
      <c r="D379" t="s">
        <v>13</v>
      </c>
      <c r="E379">
        <v>63</v>
      </c>
      <c r="F379">
        <v>6</v>
      </c>
      <c r="G379" t="s">
        <v>4798</v>
      </c>
      <c r="H379" t="s">
        <v>4805</v>
      </c>
      <c r="I379">
        <v>13.99</v>
      </c>
      <c r="J379">
        <v>3</v>
      </c>
      <c r="K379">
        <v>2.1</v>
      </c>
      <c r="L379">
        <v>0</v>
      </c>
      <c r="M379" t="s">
        <v>4809</v>
      </c>
      <c r="N379" t="s">
        <v>4900</v>
      </c>
      <c r="O379" t="s">
        <v>4912</v>
      </c>
    </row>
    <row r="380" spans="1:15" x14ac:dyDescent="0.35">
      <c r="A380" t="s">
        <v>391</v>
      </c>
      <c r="B380">
        <v>23</v>
      </c>
      <c r="C380" t="s">
        <v>4802</v>
      </c>
      <c r="D380" t="s">
        <v>13</v>
      </c>
      <c r="E380">
        <v>32</v>
      </c>
      <c r="F380">
        <v>18</v>
      </c>
      <c r="G380" t="s">
        <v>4799</v>
      </c>
      <c r="H380" t="s">
        <v>4804</v>
      </c>
      <c r="I380">
        <v>13.99</v>
      </c>
      <c r="J380">
        <v>3</v>
      </c>
      <c r="K380">
        <v>1.07</v>
      </c>
      <c r="L380">
        <v>0</v>
      </c>
      <c r="M380" t="s">
        <v>4811</v>
      </c>
      <c r="N380" t="s">
        <v>4900</v>
      </c>
      <c r="O380" t="s">
        <v>4912</v>
      </c>
    </row>
    <row r="381" spans="1:15" x14ac:dyDescent="0.35">
      <c r="A381" t="s">
        <v>392</v>
      </c>
      <c r="B381">
        <v>30</v>
      </c>
      <c r="C381" t="s">
        <v>4802</v>
      </c>
      <c r="D381" t="s">
        <v>15</v>
      </c>
      <c r="E381">
        <v>82</v>
      </c>
      <c r="F381">
        <v>44</v>
      </c>
      <c r="G381" t="s">
        <v>4798</v>
      </c>
      <c r="H381" t="s">
        <v>4805</v>
      </c>
      <c r="I381">
        <v>17.989999999999998</v>
      </c>
      <c r="J381">
        <v>4</v>
      </c>
      <c r="K381">
        <v>2.73</v>
      </c>
      <c r="L381">
        <v>0</v>
      </c>
      <c r="M381" t="s">
        <v>4812</v>
      </c>
      <c r="N381" t="s">
        <v>4900</v>
      </c>
      <c r="O381" t="s">
        <v>4912</v>
      </c>
    </row>
    <row r="382" spans="1:15" x14ac:dyDescent="0.35">
      <c r="A382" t="s">
        <v>393</v>
      </c>
      <c r="B382">
        <v>23</v>
      </c>
      <c r="C382" t="s">
        <v>4802</v>
      </c>
      <c r="D382" t="s">
        <v>15</v>
      </c>
      <c r="E382">
        <v>57</v>
      </c>
      <c r="F382">
        <v>31</v>
      </c>
      <c r="G382" t="s">
        <v>4797</v>
      </c>
      <c r="H382" t="s">
        <v>4804</v>
      </c>
      <c r="I382">
        <v>17.989999999999998</v>
      </c>
      <c r="J382">
        <v>2</v>
      </c>
      <c r="K382">
        <v>5</v>
      </c>
      <c r="L382">
        <v>0</v>
      </c>
      <c r="M382" t="s">
        <v>4810</v>
      </c>
      <c r="N382" t="s">
        <v>4900</v>
      </c>
      <c r="O382" t="s">
        <v>4912</v>
      </c>
    </row>
    <row r="383" spans="1:15" x14ac:dyDescent="0.35">
      <c r="A383" t="s">
        <v>394</v>
      </c>
      <c r="B383">
        <v>64</v>
      </c>
      <c r="C383" t="s">
        <v>4803</v>
      </c>
      <c r="D383" t="s">
        <v>13</v>
      </c>
      <c r="E383">
        <v>58</v>
      </c>
      <c r="F383">
        <v>51</v>
      </c>
      <c r="G383" t="s">
        <v>4798</v>
      </c>
      <c r="H383" t="s">
        <v>4805</v>
      </c>
      <c r="I383">
        <v>13.99</v>
      </c>
      <c r="J383">
        <v>1</v>
      </c>
      <c r="K383">
        <v>1.93</v>
      </c>
      <c r="L383">
        <v>0</v>
      </c>
      <c r="M383" t="s">
        <v>4809</v>
      </c>
      <c r="N383" t="s">
        <v>4900</v>
      </c>
      <c r="O383" t="s">
        <v>4911</v>
      </c>
    </row>
    <row r="384" spans="1:15" x14ac:dyDescent="0.35">
      <c r="A384" t="s">
        <v>395</v>
      </c>
      <c r="B384">
        <v>26</v>
      </c>
      <c r="C384" t="s">
        <v>4802</v>
      </c>
      <c r="D384" t="s">
        <v>13</v>
      </c>
      <c r="E384">
        <v>64</v>
      </c>
      <c r="F384">
        <v>53</v>
      </c>
      <c r="G384" t="s">
        <v>4798</v>
      </c>
      <c r="H384" t="s">
        <v>4807</v>
      </c>
      <c r="I384">
        <v>13.99</v>
      </c>
      <c r="J384">
        <v>1</v>
      </c>
      <c r="K384">
        <v>5</v>
      </c>
      <c r="L384">
        <v>0</v>
      </c>
      <c r="M384" t="s">
        <v>4809</v>
      </c>
      <c r="N384" t="s">
        <v>4900</v>
      </c>
      <c r="O384" t="s">
        <v>4912</v>
      </c>
    </row>
    <row r="385" spans="1:15" x14ac:dyDescent="0.35">
      <c r="A385" t="s">
        <v>396</v>
      </c>
      <c r="B385">
        <v>30</v>
      </c>
      <c r="C385" t="s">
        <v>4803</v>
      </c>
      <c r="D385" t="s">
        <v>15</v>
      </c>
      <c r="E385">
        <v>109</v>
      </c>
      <c r="F385">
        <v>6</v>
      </c>
      <c r="G385" t="s">
        <v>4799</v>
      </c>
      <c r="H385" t="s">
        <v>4805</v>
      </c>
      <c r="I385">
        <v>17.989999999999998</v>
      </c>
      <c r="J385">
        <v>2</v>
      </c>
      <c r="K385">
        <v>3.63</v>
      </c>
      <c r="L385">
        <v>0</v>
      </c>
      <c r="M385" t="s">
        <v>4809</v>
      </c>
      <c r="N385" t="s">
        <v>4900</v>
      </c>
      <c r="O385" t="s">
        <v>4912</v>
      </c>
    </row>
    <row r="386" spans="1:15" x14ac:dyDescent="0.35">
      <c r="A386" t="s">
        <v>397</v>
      </c>
      <c r="B386">
        <v>37</v>
      </c>
      <c r="C386" t="s">
        <v>4803</v>
      </c>
      <c r="D386" t="s">
        <v>13</v>
      </c>
      <c r="E386">
        <v>30</v>
      </c>
      <c r="F386">
        <v>19</v>
      </c>
      <c r="G386" t="s">
        <v>4799</v>
      </c>
      <c r="H386" t="s">
        <v>4805</v>
      </c>
      <c r="I386">
        <v>13.99</v>
      </c>
      <c r="J386">
        <v>1</v>
      </c>
      <c r="K386">
        <v>1</v>
      </c>
      <c r="L386">
        <v>0</v>
      </c>
      <c r="M386" t="s">
        <v>4811</v>
      </c>
      <c r="N386" t="s">
        <v>4900</v>
      </c>
      <c r="O386" t="s">
        <v>4910</v>
      </c>
    </row>
    <row r="387" spans="1:15" x14ac:dyDescent="0.35">
      <c r="A387" t="s">
        <v>398</v>
      </c>
      <c r="B387">
        <v>61</v>
      </c>
      <c r="C387" t="s">
        <v>4802</v>
      </c>
      <c r="D387" t="s">
        <v>13</v>
      </c>
      <c r="E387">
        <v>54</v>
      </c>
      <c r="F387">
        <v>48</v>
      </c>
      <c r="G387" t="s">
        <v>4798</v>
      </c>
      <c r="H387" t="s">
        <v>4805</v>
      </c>
      <c r="I387">
        <v>13.99</v>
      </c>
      <c r="J387">
        <v>4</v>
      </c>
      <c r="K387">
        <v>1.8</v>
      </c>
      <c r="L387">
        <v>0</v>
      </c>
      <c r="M387" t="s">
        <v>4809</v>
      </c>
      <c r="N387" t="s">
        <v>4900</v>
      </c>
      <c r="O387" t="s">
        <v>4911</v>
      </c>
    </row>
    <row r="388" spans="1:15" x14ac:dyDescent="0.35">
      <c r="A388" t="s">
        <v>399</v>
      </c>
      <c r="B388">
        <v>62</v>
      </c>
      <c r="C388" t="s">
        <v>4802</v>
      </c>
      <c r="D388" t="s">
        <v>13</v>
      </c>
      <c r="E388">
        <v>61</v>
      </c>
      <c r="F388">
        <v>36</v>
      </c>
      <c r="G388" t="s">
        <v>4798</v>
      </c>
      <c r="H388" t="s">
        <v>4805</v>
      </c>
      <c r="I388">
        <v>13.99</v>
      </c>
      <c r="J388">
        <v>1</v>
      </c>
      <c r="K388">
        <v>2.0299999999999998</v>
      </c>
      <c r="L388">
        <v>0</v>
      </c>
      <c r="M388" t="s">
        <v>4808</v>
      </c>
      <c r="N388" t="s">
        <v>4900</v>
      </c>
      <c r="O388" t="s">
        <v>4911</v>
      </c>
    </row>
    <row r="389" spans="1:15" x14ac:dyDescent="0.35">
      <c r="A389" t="s">
        <v>400</v>
      </c>
      <c r="B389">
        <v>21</v>
      </c>
      <c r="C389" t="s">
        <v>4803</v>
      </c>
      <c r="D389" t="s">
        <v>13</v>
      </c>
      <c r="E389">
        <v>72</v>
      </c>
      <c r="F389">
        <v>57</v>
      </c>
      <c r="G389" t="s">
        <v>4797</v>
      </c>
      <c r="H389" t="s">
        <v>4804</v>
      </c>
      <c r="I389">
        <v>13.99</v>
      </c>
      <c r="J389">
        <v>1</v>
      </c>
      <c r="K389">
        <v>2.4</v>
      </c>
      <c r="L389">
        <v>0</v>
      </c>
      <c r="M389" t="s">
        <v>4808</v>
      </c>
      <c r="N389" t="s">
        <v>4900</v>
      </c>
      <c r="O389" t="s">
        <v>4912</v>
      </c>
    </row>
    <row r="390" spans="1:15" x14ac:dyDescent="0.35">
      <c r="A390" t="s">
        <v>401</v>
      </c>
      <c r="B390">
        <v>62</v>
      </c>
      <c r="C390" t="s">
        <v>4803</v>
      </c>
      <c r="D390" t="s">
        <v>15</v>
      </c>
      <c r="E390">
        <v>104</v>
      </c>
      <c r="F390">
        <v>24</v>
      </c>
      <c r="G390" t="s">
        <v>4798</v>
      </c>
      <c r="H390" t="s">
        <v>4805</v>
      </c>
      <c r="I390">
        <v>17.989999999999998</v>
      </c>
      <c r="J390">
        <v>5</v>
      </c>
      <c r="K390">
        <v>3.47</v>
      </c>
      <c r="L390">
        <v>0</v>
      </c>
      <c r="M390" t="s">
        <v>4808</v>
      </c>
      <c r="N390" t="s">
        <v>4900</v>
      </c>
      <c r="O390" t="s">
        <v>4911</v>
      </c>
    </row>
    <row r="391" spans="1:15" x14ac:dyDescent="0.35">
      <c r="A391" t="s">
        <v>402</v>
      </c>
      <c r="B391">
        <v>37</v>
      </c>
      <c r="C391" t="s">
        <v>4802</v>
      </c>
      <c r="D391" t="s">
        <v>13</v>
      </c>
      <c r="E391">
        <v>72</v>
      </c>
      <c r="F391">
        <v>42</v>
      </c>
      <c r="G391" t="s">
        <v>4799</v>
      </c>
      <c r="H391" t="s">
        <v>4805</v>
      </c>
      <c r="I391">
        <v>13.99</v>
      </c>
      <c r="J391">
        <v>2</v>
      </c>
      <c r="K391">
        <v>5</v>
      </c>
      <c r="L391">
        <v>0</v>
      </c>
      <c r="M391" t="s">
        <v>4809</v>
      </c>
      <c r="N391" t="s">
        <v>4900</v>
      </c>
      <c r="O391" t="s">
        <v>4910</v>
      </c>
    </row>
    <row r="392" spans="1:15" x14ac:dyDescent="0.35">
      <c r="A392" t="s">
        <v>403</v>
      </c>
      <c r="B392">
        <v>31</v>
      </c>
      <c r="C392" t="s">
        <v>4802</v>
      </c>
      <c r="D392" t="s">
        <v>13</v>
      </c>
      <c r="E392">
        <v>44</v>
      </c>
      <c r="F392">
        <v>23</v>
      </c>
      <c r="G392" t="s">
        <v>4798</v>
      </c>
      <c r="H392" t="s">
        <v>4805</v>
      </c>
      <c r="I392">
        <v>13.99</v>
      </c>
      <c r="J392">
        <v>1</v>
      </c>
      <c r="K392">
        <v>1.47</v>
      </c>
      <c r="L392">
        <v>1</v>
      </c>
      <c r="M392" t="s">
        <v>4811</v>
      </c>
      <c r="N392" t="s">
        <v>4899</v>
      </c>
      <c r="O392" t="s">
        <v>4912</v>
      </c>
    </row>
    <row r="393" spans="1:15" x14ac:dyDescent="0.35">
      <c r="A393" t="s">
        <v>404</v>
      </c>
      <c r="B393">
        <v>48</v>
      </c>
      <c r="C393" t="s">
        <v>4803</v>
      </c>
      <c r="D393" t="s">
        <v>13</v>
      </c>
      <c r="E393">
        <v>37</v>
      </c>
      <c r="F393">
        <v>39</v>
      </c>
      <c r="G393" t="s">
        <v>4799</v>
      </c>
      <c r="H393" t="s">
        <v>4805</v>
      </c>
      <c r="I393">
        <v>13.99</v>
      </c>
      <c r="J393">
        <v>4</v>
      </c>
      <c r="K393">
        <v>1.23</v>
      </c>
      <c r="L393">
        <v>0</v>
      </c>
      <c r="M393" t="s">
        <v>4811</v>
      </c>
      <c r="N393" t="s">
        <v>4900</v>
      </c>
      <c r="O393" t="s">
        <v>4910</v>
      </c>
    </row>
    <row r="394" spans="1:15" x14ac:dyDescent="0.35">
      <c r="A394" t="s">
        <v>405</v>
      </c>
      <c r="B394">
        <v>53</v>
      </c>
      <c r="C394" t="s">
        <v>4803</v>
      </c>
      <c r="D394" t="s">
        <v>13</v>
      </c>
      <c r="E394">
        <v>64</v>
      </c>
      <c r="F394">
        <v>52</v>
      </c>
      <c r="G394" t="s">
        <v>4798</v>
      </c>
      <c r="H394" t="s">
        <v>4805</v>
      </c>
      <c r="I394">
        <v>13.99</v>
      </c>
      <c r="J394">
        <v>4</v>
      </c>
      <c r="K394">
        <v>2.13</v>
      </c>
      <c r="L394">
        <v>0</v>
      </c>
      <c r="M394" t="s">
        <v>4809</v>
      </c>
      <c r="N394" t="s">
        <v>4900</v>
      </c>
      <c r="O394" t="s">
        <v>4910</v>
      </c>
    </row>
    <row r="395" spans="1:15" x14ac:dyDescent="0.35">
      <c r="A395" t="s">
        <v>406</v>
      </c>
      <c r="B395">
        <v>30</v>
      </c>
      <c r="C395" t="s">
        <v>4803</v>
      </c>
      <c r="D395" t="s">
        <v>13</v>
      </c>
      <c r="E395">
        <v>74</v>
      </c>
      <c r="F395">
        <v>13</v>
      </c>
      <c r="G395" t="s">
        <v>4798</v>
      </c>
      <c r="H395" t="s">
        <v>4805</v>
      </c>
      <c r="I395">
        <v>13.99</v>
      </c>
      <c r="J395">
        <v>3</v>
      </c>
      <c r="K395">
        <v>2.4700000000000002</v>
      </c>
      <c r="L395">
        <v>0</v>
      </c>
      <c r="M395" t="s">
        <v>4810</v>
      </c>
      <c r="N395" t="s">
        <v>4900</v>
      </c>
      <c r="O395" t="s">
        <v>4912</v>
      </c>
    </row>
    <row r="396" spans="1:15" x14ac:dyDescent="0.35">
      <c r="A396" t="s">
        <v>407</v>
      </c>
      <c r="B396">
        <v>56</v>
      </c>
      <c r="C396" t="s">
        <v>4803</v>
      </c>
      <c r="D396" t="s">
        <v>15</v>
      </c>
      <c r="E396">
        <v>93</v>
      </c>
      <c r="F396">
        <v>0</v>
      </c>
      <c r="G396" t="s">
        <v>4800</v>
      </c>
      <c r="H396" t="s">
        <v>4805</v>
      </c>
      <c r="I396">
        <v>17.989999999999998</v>
      </c>
      <c r="J396">
        <v>4</v>
      </c>
      <c r="K396">
        <v>3.1</v>
      </c>
      <c r="L396">
        <v>0</v>
      </c>
      <c r="M396" t="s">
        <v>4811</v>
      </c>
      <c r="N396" t="s">
        <v>4900</v>
      </c>
      <c r="O396" t="s">
        <v>4911</v>
      </c>
    </row>
    <row r="397" spans="1:15" x14ac:dyDescent="0.35">
      <c r="A397" t="s">
        <v>408</v>
      </c>
      <c r="B397">
        <v>29</v>
      </c>
      <c r="C397" t="s">
        <v>4803</v>
      </c>
      <c r="D397" t="s">
        <v>13</v>
      </c>
      <c r="E397">
        <v>72</v>
      </c>
      <c r="F397">
        <v>24</v>
      </c>
      <c r="G397" t="s">
        <v>4799</v>
      </c>
      <c r="H397" t="s">
        <v>4804</v>
      </c>
      <c r="I397">
        <v>13.99</v>
      </c>
      <c r="J397">
        <v>1</v>
      </c>
      <c r="K397">
        <v>2.0299999999999998</v>
      </c>
      <c r="L397">
        <v>0</v>
      </c>
      <c r="M397" t="s">
        <v>4808</v>
      </c>
      <c r="N397" t="s">
        <v>4900</v>
      </c>
      <c r="O397" t="s">
        <v>4912</v>
      </c>
    </row>
    <row r="398" spans="1:15" x14ac:dyDescent="0.35">
      <c r="A398" t="s">
        <v>409</v>
      </c>
      <c r="B398">
        <v>63</v>
      </c>
      <c r="C398" t="s">
        <v>4803</v>
      </c>
      <c r="D398" t="s">
        <v>13</v>
      </c>
      <c r="E398">
        <v>77</v>
      </c>
      <c r="F398">
        <v>9</v>
      </c>
      <c r="G398" t="s">
        <v>4797</v>
      </c>
      <c r="H398" t="s">
        <v>4806</v>
      </c>
      <c r="I398">
        <v>13.99</v>
      </c>
      <c r="J398">
        <v>3</v>
      </c>
      <c r="K398">
        <v>2.57</v>
      </c>
      <c r="L398">
        <v>0</v>
      </c>
      <c r="M398" t="s">
        <v>4812</v>
      </c>
      <c r="N398" t="s">
        <v>4900</v>
      </c>
      <c r="O398" t="s">
        <v>4911</v>
      </c>
    </row>
    <row r="399" spans="1:15" x14ac:dyDescent="0.35">
      <c r="A399" t="s">
        <v>410</v>
      </c>
      <c r="B399">
        <v>23</v>
      </c>
      <c r="C399" t="s">
        <v>4803</v>
      </c>
      <c r="D399" t="s">
        <v>13</v>
      </c>
      <c r="E399">
        <v>63</v>
      </c>
      <c r="F399">
        <v>29</v>
      </c>
      <c r="G399" t="s">
        <v>4799</v>
      </c>
      <c r="H399" t="s">
        <v>4807</v>
      </c>
      <c r="I399">
        <v>13.99</v>
      </c>
      <c r="J399">
        <v>1</v>
      </c>
      <c r="K399">
        <v>2.1</v>
      </c>
      <c r="L399">
        <v>0</v>
      </c>
      <c r="M399" t="s">
        <v>4808</v>
      </c>
      <c r="N399" t="s">
        <v>4900</v>
      </c>
      <c r="O399" t="s">
        <v>4912</v>
      </c>
    </row>
    <row r="400" spans="1:15" x14ac:dyDescent="0.35">
      <c r="A400" t="s">
        <v>411</v>
      </c>
      <c r="B400">
        <v>60</v>
      </c>
      <c r="C400" t="s">
        <v>4802</v>
      </c>
      <c r="D400" t="s">
        <v>13</v>
      </c>
      <c r="E400">
        <v>58</v>
      </c>
      <c r="F400">
        <v>8</v>
      </c>
      <c r="G400" t="s">
        <v>4797</v>
      </c>
      <c r="H400" t="s">
        <v>4804</v>
      </c>
      <c r="I400">
        <v>13.99</v>
      </c>
      <c r="J400">
        <v>2</v>
      </c>
      <c r="K400">
        <v>1.93</v>
      </c>
      <c r="L400">
        <v>0</v>
      </c>
      <c r="M400" t="s">
        <v>4811</v>
      </c>
      <c r="N400" t="s">
        <v>4900</v>
      </c>
      <c r="O400" t="s">
        <v>4911</v>
      </c>
    </row>
    <row r="401" spans="1:15" x14ac:dyDescent="0.35">
      <c r="A401" t="s">
        <v>412</v>
      </c>
      <c r="B401">
        <v>56</v>
      </c>
      <c r="C401" t="s">
        <v>4803</v>
      </c>
      <c r="D401" t="s">
        <v>13</v>
      </c>
      <c r="E401">
        <v>74</v>
      </c>
      <c r="F401">
        <v>60</v>
      </c>
      <c r="G401" t="s">
        <v>4797</v>
      </c>
      <c r="H401" t="s">
        <v>4804</v>
      </c>
      <c r="I401">
        <v>13.99</v>
      </c>
      <c r="J401">
        <v>4</v>
      </c>
      <c r="K401">
        <v>2.4700000000000002</v>
      </c>
      <c r="L401">
        <v>0</v>
      </c>
      <c r="M401" t="s">
        <v>4809</v>
      </c>
      <c r="N401" t="s">
        <v>4900</v>
      </c>
      <c r="O401" t="s">
        <v>4911</v>
      </c>
    </row>
    <row r="402" spans="1:15" x14ac:dyDescent="0.35">
      <c r="A402" t="s">
        <v>413</v>
      </c>
      <c r="B402">
        <v>18</v>
      </c>
      <c r="C402" t="s">
        <v>4802</v>
      </c>
      <c r="D402" t="s">
        <v>13</v>
      </c>
      <c r="E402">
        <v>64</v>
      </c>
      <c r="F402">
        <v>15</v>
      </c>
      <c r="G402" t="s">
        <v>4798</v>
      </c>
      <c r="H402" t="s">
        <v>4807</v>
      </c>
      <c r="I402">
        <v>13.99</v>
      </c>
      <c r="J402">
        <v>4</v>
      </c>
      <c r="K402">
        <v>2.13</v>
      </c>
      <c r="L402">
        <v>0</v>
      </c>
      <c r="M402" t="s">
        <v>4809</v>
      </c>
      <c r="N402" t="s">
        <v>4900</v>
      </c>
      <c r="O402" t="s">
        <v>4912</v>
      </c>
    </row>
    <row r="403" spans="1:15" x14ac:dyDescent="0.35">
      <c r="A403" t="s">
        <v>414</v>
      </c>
      <c r="B403">
        <v>64</v>
      </c>
      <c r="C403" t="s">
        <v>4803</v>
      </c>
      <c r="D403" t="s">
        <v>15</v>
      </c>
      <c r="E403">
        <v>109</v>
      </c>
      <c r="F403">
        <v>26</v>
      </c>
      <c r="G403" t="s">
        <v>4799</v>
      </c>
      <c r="H403" t="s">
        <v>4805</v>
      </c>
      <c r="I403">
        <v>17.989999999999998</v>
      </c>
      <c r="J403">
        <v>5</v>
      </c>
      <c r="K403">
        <v>3.63</v>
      </c>
      <c r="L403">
        <v>1</v>
      </c>
      <c r="M403" t="s">
        <v>4812</v>
      </c>
      <c r="N403" t="s">
        <v>4899</v>
      </c>
      <c r="O403" t="s">
        <v>4911</v>
      </c>
    </row>
    <row r="404" spans="1:15" x14ac:dyDescent="0.35">
      <c r="A404" t="s">
        <v>415</v>
      </c>
      <c r="B404">
        <v>62</v>
      </c>
      <c r="C404" t="s">
        <v>4802</v>
      </c>
      <c r="D404" t="s">
        <v>13</v>
      </c>
      <c r="E404">
        <v>78</v>
      </c>
      <c r="F404">
        <v>34</v>
      </c>
      <c r="G404" t="s">
        <v>4798</v>
      </c>
      <c r="H404" t="s">
        <v>4805</v>
      </c>
      <c r="I404">
        <v>13.99</v>
      </c>
      <c r="J404">
        <v>2</v>
      </c>
      <c r="K404">
        <v>2.6</v>
      </c>
      <c r="L404">
        <v>0</v>
      </c>
      <c r="M404" t="s">
        <v>4809</v>
      </c>
      <c r="N404" t="s">
        <v>4900</v>
      </c>
      <c r="O404" t="s">
        <v>4911</v>
      </c>
    </row>
    <row r="405" spans="1:15" x14ac:dyDescent="0.35">
      <c r="A405" t="s">
        <v>416</v>
      </c>
      <c r="B405">
        <v>41</v>
      </c>
      <c r="C405" t="s">
        <v>4803</v>
      </c>
      <c r="D405" t="s">
        <v>15</v>
      </c>
      <c r="E405">
        <v>114</v>
      </c>
      <c r="F405">
        <v>1</v>
      </c>
      <c r="G405" t="s">
        <v>4798</v>
      </c>
      <c r="H405" t="s">
        <v>4805</v>
      </c>
      <c r="I405">
        <v>17.989999999999998</v>
      </c>
      <c r="J405">
        <v>5</v>
      </c>
      <c r="K405">
        <v>2.0299999999999998</v>
      </c>
      <c r="L405">
        <v>0</v>
      </c>
      <c r="M405" t="s">
        <v>4808</v>
      </c>
      <c r="N405" t="s">
        <v>4900</v>
      </c>
      <c r="O405" t="s">
        <v>4910</v>
      </c>
    </row>
    <row r="406" spans="1:15" x14ac:dyDescent="0.35">
      <c r="A406" t="s">
        <v>417</v>
      </c>
      <c r="B406">
        <v>21</v>
      </c>
      <c r="C406" t="s">
        <v>4802</v>
      </c>
      <c r="D406" t="s">
        <v>13</v>
      </c>
      <c r="E406">
        <v>74</v>
      </c>
      <c r="F406">
        <v>39</v>
      </c>
      <c r="G406" t="s">
        <v>4799</v>
      </c>
      <c r="H406" t="s">
        <v>4804</v>
      </c>
      <c r="I406">
        <v>13.99</v>
      </c>
      <c r="J406">
        <v>1</v>
      </c>
      <c r="K406">
        <v>2.4700000000000002</v>
      </c>
      <c r="L406">
        <v>0</v>
      </c>
      <c r="M406" t="s">
        <v>4810</v>
      </c>
      <c r="N406" t="s">
        <v>4900</v>
      </c>
      <c r="O406" t="s">
        <v>4912</v>
      </c>
    </row>
    <row r="407" spans="1:15" x14ac:dyDescent="0.35">
      <c r="A407" t="s">
        <v>418</v>
      </c>
      <c r="B407">
        <v>21</v>
      </c>
      <c r="C407" t="s">
        <v>4803</v>
      </c>
      <c r="D407" t="s">
        <v>13</v>
      </c>
      <c r="E407">
        <v>47</v>
      </c>
      <c r="F407">
        <v>0</v>
      </c>
      <c r="G407" t="s">
        <v>4799</v>
      </c>
      <c r="H407" t="s">
        <v>4805</v>
      </c>
      <c r="I407">
        <v>13.99</v>
      </c>
      <c r="J407">
        <v>4</v>
      </c>
      <c r="K407">
        <v>1.57</v>
      </c>
      <c r="L407">
        <v>0</v>
      </c>
      <c r="M407" t="s">
        <v>4811</v>
      </c>
      <c r="N407" t="s">
        <v>4900</v>
      </c>
      <c r="O407" t="s">
        <v>4912</v>
      </c>
    </row>
    <row r="408" spans="1:15" x14ac:dyDescent="0.35">
      <c r="A408" t="s">
        <v>419</v>
      </c>
      <c r="B408">
        <v>27</v>
      </c>
      <c r="C408" t="s">
        <v>4803</v>
      </c>
      <c r="D408" t="s">
        <v>13</v>
      </c>
      <c r="E408">
        <v>60</v>
      </c>
      <c r="F408">
        <v>17</v>
      </c>
      <c r="G408" t="s">
        <v>4799</v>
      </c>
      <c r="H408" t="s">
        <v>4804</v>
      </c>
      <c r="I408">
        <v>13.99</v>
      </c>
      <c r="J408">
        <v>2</v>
      </c>
      <c r="K408">
        <v>2</v>
      </c>
      <c r="L408">
        <v>1</v>
      </c>
      <c r="M408" t="s">
        <v>4810</v>
      </c>
      <c r="N408" t="s">
        <v>4899</v>
      </c>
      <c r="O408" t="s">
        <v>4912</v>
      </c>
    </row>
    <row r="409" spans="1:15" x14ac:dyDescent="0.35">
      <c r="A409" t="s">
        <v>420</v>
      </c>
      <c r="B409">
        <v>41</v>
      </c>
      <c r="C409" t="s">
        <v>4803</v>
      </c>
      <c r="D409" t="s">
        <v>13</v>
      </c>
      <c r="E409">
        <v>45</v>
      </c>
      <c r="F409">
        <v>999</v>
      </c>
      <c r="G409" t="s">
        <v>4797</v>
      </c>
      <c r="H409" t="s">
        <v>4804</v>
      </c>
      <c r="I409">
        <v>13.99</v>
      </c>
      <c r="J409">
        <v>4</v>
      </c>
      <c r="K409">
        <v>1.5</v>
      </c>
      <c r="L409">
        <v>0</v>
      </c>
      <c r="M409" t="s">
        <v>4811</v>
      </c>
      <c r="N409" t="s">
        <v>4900</v>
      </c>
      <c r="O409" t="s">
        <v>4910</v>
      </c>
    </row>
    <row r="410" spans="1:15" x14ac:dyDescent="0.35">
      <c r="A410" t="s">
        <v>421</v>
      </c>
      <c r="B410">
        <v>53</v>
      </c>
      <c r="C410" t="s">
        <v>4803</v>
      </c>
      <c r="D410" t="s">
        <v>15</v>
      </c>
      <c r="E410">
        <v>76</v>
      </c>
      <c r="F410">
        <v>18</v>
      </c>
      <c r="G410" t="s">
        <v>4797</v>
      </c>
      <c r="H410" t="s">
        <v>4804</v>
      </c>
      <c r="I410">
        <v>17.989999999999998</v>
      </c>
      <c r="J410">
        <v>4</v>
      </c>
      <c r="K410">
        <v>2.5299999999999998</v>
      </c>
      <c r="L410">
        <v>1</v>
      </c>
      <c r="M410" t="s">
        <v>4811</v>
      </c>
      <c r="N410" t="s">
        <v>4899</v>
      </c>
      <c r="O410" t="s">
        <v>4910</v>
      </c>
    </row>
    <row r="411" spans="1:15" x14ac:dyDescent="0.35">
      <c r="A411" t="s">
        <v>422</v>
      </c>
      <c r="B411">
        <v>19</v>
      </c>
      <c r="C411" t="s">
        <v>4802</v>
      </c>
      <c r="D411" t="s">
        <v>13</v>
      </c>
      <c r="E411">
        <v>80</v>
      </c>
      <c r="F411">
        <v>46</v>
      </c>
      <c r="G411" t="s">
        <v>4799</v>
      </c>
      <c r="H411" t="s">
        <v>4805</v>
      </c>
      <c r="I411">
        <v>13.99</v>
      </c>
      <c r="J411">
        <v>4</v>
      </c>
      <c r="K411">
        <v>2.67</v>
      </c>
      <c r="L411">
        <v>0</v>
      </c>
      <c r="M411" t="s">
        <v>4809</v>
      </c>
      <c r="N411" t="s">
        <v>4900</v>
      </c>
      <c r="O411" t="s">
        <v>4912</v>
      </c>
    </row>
    <row r="412" spans="1:15" x14ac:dyDescent="0.35">
      <c r="A412" t="s">
        <v>423</v>
      </c>
      <c r="B412">
        <v>45</v>
      </c>
      <c r="C412" t="s">
        <v>4802</v>
      </c>
      <c r="D412" t="s">
        <v>13</v>
      </c>
      <c r="E412">
        <v>70</v>
      </c>
      <c r="F412">
        <v>11</v>
      </c>
      <c r="G412" t="s">
        <v>4799</v>
      </c>
      <c r="H412" t="s">
        <v>4804</v>
      </c>
      <c r="I412">
        <v>13.99</v>
      </c>
      <c r="J412">
        <v>1</v>
      </c>
      <c r="K412">
        <v>2.33</v>
      </c>
      <c r="L412">
        <v>0</v>
      </c>
      <c r="M412" t="s">
        <v>4810</v>
      </c>
      <c r="N412" t="s">
        <v>4900</v>
      </c>
      <c r="O412" t="s">
        <v>4910</v>
      </c>
    </row>
    <row r="413" spans="1:15" x14ac:dyDescent="0.35">
      <c r="A413" t="s">
        <v>424</v>
      </c>
      <c r="B413">
        <v>48</v>
      </c>
      <c r="C413" t="s">
        <v>4802</v>
      </c>
      <c r="D413" t="s">
        <v>13</v>
      </c>
      <c r="E413">
        <v>69</v>
      </c>
      <c r="F413">
        <v>5</v>
      </c>
      <c r="G413" t="s">
        <v>4797</v>
      </c>
      <c r="H413" t="s">
        <v>4806</v>
      </c>
      <c r="I413">
        <v>13.99</v>
      </c>
      <c r="J413">
        <v>3</v>
      </c>
      <c r="K413">
        <v>2.2999999999999998</v>
      </c>
      <c r="L413">
        <v>0</v>
      </c>
      <c r="M413" t="s">
        <v>4812</v>
      </c>
      <c r="N413" t="s">
        <v>4900</v>
      </c>
      <c r="O413" t="s">
        <v>4910</v>
      </c>
    </row>
    <row r="414" spans="1:15" x14ac:dyDescent="0.35">
      <c r="A414" t="s">
        <v>425</v>
      </c>
      <c r="B414">
        <v>39</v>
      </c>
      <c r="C414" t="s">
        <v>4802</v>
      </c>
      <c r="D414" t="s">
        <v>13</v>
      </c>
      <c r="E414">
        <v>58</v>
      </c>
      <c r="F414">
        <v>55</v>
      </c>
      <c r="G414" t="s">
        <v>4798</v>
      </c>
      <c r="H414" t="s">
        <v>4805</v>
      </c>
      <c r="I414">
        <v>13.99</v>
      </c>
      <c r="J414">
        <v>2</v>
      </c>
      <c r="K414">
        <v>1.93</v>
      </c>
      <c r="L414">
        <v>0</v>
      </c>
      <c r="M414" t="s">
        <v>4808</v>
      </c>
      <c r="N414" t="s">
        <v>4900</v>
      </c>
      <c r="O414" t="s">
        <v>4910</v>
      </c>
    </row>
    <row r="415" spans="1:15" x14ac:dyDescent="0.35">
      <c r="A415" t="s">
        <v>426</v>
      </c>
      <c r="B415">
        <v>28</v>
      </c>
      <c r="C415" t="s">
        <v>4802</v>
      </c>
      <c r="D415" t="s">
        <v>13</v>
      </c>
      <c r="E415">
        <v>57</v>
      </c>
      <c r="F415">
        <v>54</v>
      </c>
      <c r="G415" t="s">
        <v>4798</v>
      </c>
      <c r="H415" t="s">
        <v>4804</v>
      </c>
      <c r="I415">
        <v>13.99</v>
      </c>
      <c r="J415">
        <v>4</v>
      </c>
      <c r="K415">
        <v>1.9</v>
      </c>
      <c r="L415">
        <v>0</v>
      </c>
      <c r="M415" t="s">
        <v>4808</v>
      </c>
      <c r="N415" t="s">
        <v>4900</v>
      </c>
      <c r="O415" t="s">
        <v>4912</v>
      </c>
    </row>
    <row r="416" spans="1:15" x14ac:dyDescent="0.35">
      <c r="A416" t="s">
        <v>427</v>
      </c>
      <c r="B416">
        <v>59</v>
      </c>
      <c r="C416" t="s">
        <v>4803</v>
      </c>
      <c r="D416" t="s">
        <v>15</v>
      </c>
      <c r="E416">
        <v>108</v>
      </c>
      <c r="F416">
        <v>17</v>
      </c>
      <c r="G416" t="s">
        <v>4797</v>
      </c>
      <c r="H416" t="s">
        <v>4806</v>
      </c>
      <c r="I416">
        <v>17.989999999999998</v>
      </c>
      <c r="J416">
        <v>2</v>
      </c>
      <c r="K416">
        <v>3.6</v>
      </c>
      <c r="L416">
        <v>0</v>
      </c>
      <c r="M416" t="s">
        <v>4812</v>
      </c>
      <c r="N416" t="s">
        <v>4900</v>
      </c>
      <c r="O416" t="s">
        <v>4911</v>
      </c>
    </row>
    <row r="417" spans="1:15" x14ac:dyDescent="0.35">
      <c r="A417" t="s">
        <v>428</v>
      </c>
      <c r="B417">
        <v>61</v>
      </c>
      <c r="C417" t="s">
        <v>4802</v>
      </c>
      <c r="D417" t="s">
        <v>15</v>
      </c>
      <c r="E417">
        <v>73</v>
      </c>
      <c r="F417">
        <v>999</v>
      </c>
      <c r="G417" t="s">
        <v>4800</v>
      </c>
      <c r="H417" t="s">
        <v>4805</v>
      </c>
      <c r="I417">
        <v>17.989999999999998</v>
      </c>
      <c r="J417">
        <v>4</v>
      </c>
      <c r="K417">
        <v>2.4300000000000002</v>
      </c>
      <c r="L417">
        <v>1</v>
      </c>
      <c r="M417" t="s">
        <v>4808</v>
      </c>
      <c r="N417" t="s">
        <v>4899</v>
      </c>
      <c r="O417" t="s">
        <v>4911</v>
      </c>
    </row>
    <row r="418" spans="1:15" x14ac:dyDescent="0.35">
      <c r="A418" t="s">
        <v>429</v>
      </c>
      <c r="B418">
        <v>51</v>
      </c>
      <c r="C418" t="s">
        <v>4802</v>
      </c>
      <c r="D418" t="s">
        <v>15</v>
      </c>
      <c r="E418">
        <v>100</v>
      </c>
      <c r="F418" t="s">
        <v>4814</v>
      </c>
      <c r="G418" t="s">
        <v>4798</v>
      </c>
      <c r="H418" t="s">
        <v>4804</v>
      </c>
      <c r="I418">
        <v>17.989999999999998</v>
      </c>
      <c r="J418">
        <v>4</v>
      </c>
      <c r="K418">
        <v>3.33</v>
      </c>
      <c r="L418">
        <v>0</v>
      </c>
      <c r="M418" t="s">
        <v>4810</v>
      </c>
      <c r="N418" t="s">
        <v>4900</v>
      </c>
      <c r="O418" t="s">
        <v>4910</v>
      </c>
    </row>
    <row r="419" spans="1:15" x14ac:dyDescent="0.35">
      <c r="A419" t="s">
        <v>430</v>
      </c>
      <c r="B419">
        <v>23</v>
      </c>
      <c r="C419" t="s">
        <v>4803</v>
      </c>
      <c r="D419" t="s">
        <v>13</v>
      </c>
      <c r="E419">
        <v>52</v>
      </c>
      <c r="F419">
        <v>57</v>
      </c>
      <c r="G419" t="s">
        <v>4799</v>
      </c>
      <c r="H419" t="s">
        <v>4806</v>
      </c>
      <c r="I419">
        <v>13.99</v>
      </c>
      <c r="J419">
        <v>4</v>
      </c>
      <c r="K419">
        <v>1.73</v>
      </c>
      <c r="L419">
        <v>0</v>
      </c>
      <c r="M419" t="s">
        <v>4809</v>
      </c>
      <c r="N419" t="s">
        <v>4900</v>
      </c>
      <c r="O419" t="s">
        <v>4912</v>
      </c>
    </row>
    <row r="420" spans="1:15" x14ac:dyDescent="0.35">
      <c r="A420" t="s">
        <v>431</v>
      </c>
      <c r="B420">
        <v>29</v>
      </c>
      <c r="C420" t="s">
        <v>4802</v>
      </c>
      <c r="D420" t="s">
        <v>13</v>
      </c>
      <c r="E420">
        <v>39</v>
      </c>
      <c r="F420">
        <v>36</v>
      </c>
      <c r="G420" t="s">
        <v>4797</v>
      </c>
      <c r="H420" t="s">
        <v>4805</v>
      </c>
      <c r="I420">
        <v>13.99</v>
      </c>
      <c r="J420">
        <v>1</v>
      </c>
      <c r="K420">
        <v>1.3</v>
      </c>
      <c r="L420">
        <v>0</v>
      </c>
      <c r="M420" t="s">
        <v>4808</v>
      </c>
      <c r="N420" t="s">
        <v>4900</v>
      </c>
      <c r="O420" t="s">
        <v>4912</v>
      </c>
    </row>
    <row r="421" spans="1:15" x14ac:dyDescent="0.35">
      <c r="A421" t="s">
        <v>432</v>
      </c>
      <c r="B421">
        <v>18</v>
      </c>
      <c r="C421" t="s">
        <v>4803</v>
      </c>
      <c r="D421" t="s">
        <v>15</v>
      </c>
      <c r="E421">
        <v>51</v>
      </c>
      <c r="F421">
        <v>18</v>
      </c>
      <c r="G421" t="s">
        <v>4798</v>
      </c>
      <c r="H421" t="s">
        <v>4806</v>
      </c>
      <c r="I421">
        <v>17.989999999999998</v>
      </c>
      <c r="J421">
        <v>2</v>
      </c>
      <c r="K421">
        <v>1.7</v>
      </c>
      <c r="L421">
        <v>0</v>
      </c>
      <c r="M421" t="s">
        <v>4810</v>
      </c>
      <c r="N421" t="s">
        <v>4900</v>
      </c>
      <c r="O421" t="s">
        <v>4912</v>
      </c>
    </row>
    <row r="422" spans="1:15" x14ac:dyDescent="0.35">
      <c r="A422" t="s">
        <v>433</v>
      </c>
      <c r="B422">
        <v>47</v>
      </c>
      <c r="C422" t="s">
        <v>4803</v>
      </c>
      <c r="D422" t="s">
        <v>15</v>
      </c>
      <c r="E422">
        <v>61</v>
      </c>
      <c r="F422">
        <v>34</v>
      </c>
      <c r="G422" t="s">
        <v>4797</v>
      </c>
      <c r="H422" t="s">
        <v>4807</v>
      </c>
      <c r="I422">
        <v>17.989999999999998</v>
      </c>
      <c r="J422">
        <v>5</v>
      </c>
      <c r="K422">
        <v>2.0299999999999998</v>
      </c>
      <c r="L422">
        <v>0</v>
      </c>
      <c r="M422" t="s">
        <v>4811</v>
      </c>
      <c r="N422" t="s">
        <v>4900</v>
      </c>
      <c r="O422" t="s">
        <v>4910</v>
      </c>
    </row>
    <row r="423" spans="1:15" x14ac:dyDescent="0.35">
      <c r="A423" t="s">
        <v>434</v>
      </c>
      <c r="B423">
        <v>64</v>
      </c>
      <c r="C423" t="s">
        <v>4802</v>
      </c>
      <c r="D423" t="s">
        <v>13</v>
      </c>
      <c r="E423">
        <v>38</v>
      </c>
      <c r="F423">
        <v>22</v>
      </c>
      <c r="G423" t="s">
        <v>4798</v>
      </c>
      <c r="H423" t="s">
        <v>4806</v>
      </c>
      <c r="I423">
        <v>13.99</v>
      </c>
      <c r="J423">
        <v>1</v>
      </c>
      <c r="K423">
        <v>1.27</v>
      </c>
      <c r="L423">
        <v>0</v>
      </c>
      <c r="M423" t="s">
        <v>4809</v>
      </c>
      <c r="N423" t="s">
        <v>4900</v>
      </c>
      <c r="O423" t="s">
        <v>4911</v>
      </c>
    </row>
    <row r="424" spans="1:15" x14ac:dyDescent="0.35">
      <c r="A424" t="s">
        <v>435</v>
      </c>
      <c r="B424">
        <v>20</v>
      </c>
      <c r="C424" t="s">
        <v>4802</v>
      </c>
      <c r="D424" t="s">
        <v>13</v>
      </c>
      <c r="E424">
        <v>48</v>
      </c>
      <c r="F424">
        <v>38</v>
      </c>
      <c r="G424" t="s">
        <v>4797</v>
      </c>
      <c r="H424" t="s">
        <v>4805</v>
      </c>
      <c r="I424">
        <v>13.99</v>
      </c>
      <c r="J424">
        <v>1</v>
      </c>
      <c r="K424">
        <v>1.6</v>
      </c>
      <c r="L424">
        <v>1</v>
      </c>
      <c r="M424" t="s">
        <v>4811</v>
      </c>
      <c r="N424" t="s">
        <v>4899</v>
      </c>
      <c r="O424" t="s">
        <v>4912</v>
      </c>
    </row>
    <row r="425" spans="1:15" x14ac:dyDescent="0.35">
      <c r="A425" t="s">
        <v>436</v>
      </c>
      <c r="B425">
        <v>45</v>
      </c>
      <c r="C425" t="s">
        <v>4803</v>
      </c>
      <c r="D425" t="s">
        <v>15</v>
      </c>
      <c r="E425">
        <v>51</v>
      </c>
      <c r="F425">
        <v>30</v>
      </c>
      <c r="G425" t="s">
        <v>4799</v>
      </c>
      <c r="H425" t="s">
        <v>4804</v>
      </c>
      <c r="I425">
        <v>17.989999999999998</v>
      </c>
      <c r="J425">
        <v>3</v>
      </c>
      <c r="K425">
        <v>1.7</v>
      </c>
      <c r="L425">
        <v>0</v>
      </c>
      <c r="M425" t="s">
        <v>4808</v>
      </c>
      <c r="N425" t="s">
        <v>4900</v>
      </c>
      <c r="O425" t="s">
        <v>4910</v>
      </c>
    </row>
    <row r="426" spans="1:15" x14ac:dyDescent="0.35">
      <c r="A426" t="s">
        <v>437</v>
      </c>
      <c r="B426">
        <v>39</v>
      </c>
      <c r="C426" t="s">
        <v>4802</v>
      </c>
      <c r="D426" t="s">
        <v>15</v>
      </c>
      <c r="E426">
        <v>79</v>
      </c>
      <c r="F426">
        <v>27</v>
      </c>
      <c r="G426" t="s">
        <v>4798</v>
      </c>
      <c r="H426" t="s">
        <v>4806</v>
      </c>
      <c r="I426">
        <v>17.989999999999998</v>
      </c>
      <c r="J426">
        <v>2</v>
      </c>
      <c r="K426">
        <v>2.63</v>
      </c>
      <c r="L426">
        <v>0</v>
      </c>
      <c r="M426" t="s">
        <v>4810</v>
      </c>
      <c r="N426" t="s">
        <v>4900</v>
      </c>
      <c r="O426" t="s">
        <v>4910</v>
      </c>
    </row>
    <row r="427" spans="1:15" x14ac:dyDescent="0.35">
      <c r="A427" t="s">
        <v>438</v>
      </c>
      <c r="B427">
        <v>33</v>
      </c>
      <c r="C427" t="s">
        <v>4803</v>
      </c>
      <c r="D427" t="s">
        <v>13</v>
      </c>
      <c r="E427">
        <v>37</v>
      </c>
      <c r="F427">
        <v>57</v>
      </c>
      <c r="G427" t="s">
        <v>4799</v>
      </c>
      <c r="H427" t="s">
        <v>4805</v>
      </c>
      <c r="I427">
        <v>13.99</v>
      </c>
      <c r="J427">
        <v>4</v>
      </c>
      <c r="K427">
        <v>1.23</v>
      </c>
      <c r="L427">
        <v>0</v>
      </c>
      <c r="M427" t="s">
        <v>4811</v>
      </c>
      <c r="N427" t="s">
        <v>4900</v>
      </c>
      <c r="O427" t="s">
        <v>4912</v>
      </c>
    </row>
    <row r="428" spans="1:15" x14ac:dyDescent="0.35">
      <c r="A428" t="s">
        <v>439</v>
      </c>
      <c r="B428">
        <v>59</v>
      </c>
      <c r="C428" t="s">
        <v>4803</v>
      </c>
      <c r="D428" t="s">
        <v>13</v>
      </c>
      <c r="E428">
        <v>31</v>
      </c>
      <c r="F428">
        <v>53</v>
      </c>
      <c r="G428" t="s">
        <v>4799</v>
      </c>
      <c r="H428" t="s">
        <v>4806</v>
      </c>
      <c r="I428">
        <v>13.99</v>
      </c>
      <c r="J428">
        <v>3</v>
      </c>
      <c r="K428">
        <v>1.03</v>
      </c>
      <c r="L428">
        <v>0</v>
      </c>
      <c r="M428" t="s">
        <v>4812</v>
      </c>
      <c r="N428" t="s">
        <v>4900</v>
      </c>
      <c r="O428" t="s">
        <v>4911</v>
      </c>
    </row>
    <row r="429" spans="1:15" x14ac:dyDescent="0.35">
      <c r="A429" t="s">
        <v>440</v>
      </c>
      <c r="B429">
        <v>31</v>
      </c>
      <c r="C429" t="s">
        <v>4803</v>
      </c>
      <c r="D429" t="s">
        <v>13</v>
      </c>
      <c r="E429">
        <v>45</v>
      </c>
      <c r="F429">
        <v>31</v>
      </c>
      <c r="G429" t="s">
        <v>4798</v>
      </c>
      <c r="H429" t="s">
        <v>4805</v>
      </c>
      <c r="I429">
        <v>13.99</v>
      </c>
      <c r="J429">
        <v>2</v>
      </c>
      <c r="K429">
        <v>1.5</v>
      </c>
      <c r="L429">
        <v>0</v>
      </c>
      <c r="M429" t="s">
        <v>4811</v>
      </c>
      <c r="N429" t="s">
        <v>4900</v>
      </c>
      <c r="O429" t="s">
        <v>4912</v>
      </c>
    </row>
    <row r="430" spans="1:15" x14ac:dyDescent="0.35">
      <c r="A430" t="s">
        <v>441</v>
      </c>
      <c r="B430">
        <v>56</v>
      </c>
      <c r="C430" t="s">
        <v>4802</v>
      </c>
      <c r="D430" t="s">
        <v>15</v>
      </c>
      <c r="E430">
        <v>120</v>
      </c>
      <c r="F430">
        <v>56</v>
      </c>
      <c r="G430" t="s">
        <v>4798</v>
      </c>
      <c r="H430" t="s">
        <v>4805</v>
      </c>
      <c r="I430">
        <v>17.989999999999998</v>
      </c>
      <c r="J430">
        <v>4</v>
      </c>
      <c r="K430">
        <v>4</v>
      </c>
      <c r="L430">
        <v>1</v>
      </c>
      <c r="M430" t="s">
        <v>4810</v>
      </c>
      <c r="N430" t="s">
        <v>4899</v>
      </c>
      <c r="O430" t="s">
        <v>4911</v>
      </c>
    </row>
    <row r="431" spans="1:15" x14ac:dyDescent="0.35">
      <c r="A431" t="s">
        <v>442</v>
      </c>
      <c r="B431">
        <v>31</v>
      </c>
      <c r="C431" t="s">
        <v>4803</v>
      </c>
      <c r="D431" t="s">
        <v>13</v>
      </c>
      <c r="E431">
        <v>31</v>
      </c>
      <c r="F431">
        <v>0</v>
      </c>
      <c r="G431" t="s">
        <v>4798</v>
      </c>
      <c r="H431" t="s">
        <v>4805</v>
      </c>
      <c r="I431">
        <v>13.99</v>
      </c>
      <c r="J431">
        <v>1</v>
      </c>
      <c r="K431">
        <v>1.03</v>
      </c>
      <c r="L431">
        <v>0</v>
      </c>
      <c r="M431" t="s">
        <v>4812</v>
      </c>
      <c r="N431" t="s">
        <v>4900</v>
      </c>
      <c r="O431" t="s">
        <v>4912</v>
      </c>
    </row>
    <row r="432" spans="1:15" x14ac:dyDescent="0.35">
      <c r="A432" t="s">
        <v>443</v>
      </c>
      <c r="B432">
        <v>27</v>
      </c>
      <c r="C432" t="s">
        <v>4802</v>
      </c>
      <c r="D432" t="s">
        <v>13</v>
      </c>
      <c r="E432">
        <v>76</v>
      </c>
      <c r="F432">
        <v>38</v>
      </c>
      <c r="G432" t="s">
        <v>4799</v>
      </c>
      <c r="H432" t="s">
        <v>4805</v>
      </c>
      <c r="I432">
        <v>13.99</v>
      </c>
      <c r="J432">
        <v>4</v>
      </c>
      <c r="K432">
        <v>2.5299999999999998</v>
      </c>
      <c r="L432">
        <v>0</v>
      </c>
      <c r="M432" t="s">
        <v>4812</v>
      </c>
      <c r="N432" t="s">
        <v>4900</v>
      </c>
      <c r="O432" t="s">
        <v>4912</v>
      </c>
    </row>
    <row r="433" spans="1:15" x14ac:dyDescent="0.35">
      <c r="A433" t="s">
        <v>444</v>
      </c>
      <c r="B433">
        <v>57</v>
      </c>
      <c r="C433" t="s">
        <v>4802</v>
      </c>
      <c r="D433" t="s">
        <v>15</v>
      </c>
      <c r="E433">
        <v>116</v>
      </c>
      <c r="F433">
        <v>45</v>
      </c>
      <c r="G433" t="s">
        <v>4799</v>
      </c>
      <c r="H433" t="s">
        <v>4806</v>
      </c>
      <c r="I433">
        <v>17.989999999999998</v>
      </c>
      <c r="J433">
        <v>4</v>
      </c>
      <c r="K433">
        <v>3.87</v>
      </c>
      <c r="L433">
        <v>0</v>
      </c>
      <c r="M433" t="s">
        <v>4812</v>
      </c>
      <c r="N433" t="s">
        <v>4900</v>
      </c>
      <c r="O433" t="s">
        <v>4911</v>
      </c>
    </row>
    <row r="434" spans="1:15" x14ac:dyDescent="0.35">
      <c r="A434" t="s">
        <v>445</v>
      </c>
      <c r="B434">
        <v>21</v>
      </c>
      <c r="C434" t="s">
        <v>4803</v>
      </c>
      <c r="D434" t="s">
        <v>13</v>
      </c>
      <c r="E434">
        <v>70</v>
      </c>
      <c r="F434">
        <v>13</v>
      </c>
      <c r="G434" t="s">
        <v>4798</v>
      </c>
      <c r="H434" t="s">
        <v>4805</v>
      </c>
      <c r="I434">
        <v>13.99</v>
      </c>
      <c r="J434">
        <v>2</v>
      </c>
      <c r="K434">
        <v>2.33</v>
      </c>
      <c r="L434">
        <v>1</v>
      </c>
      <c r="M434" t="s">
        <v>4811</v>
      </c>
      <c r="N434" t="s">
        <v>4899</v>
      </c>
      <c r="O434" t="s">
        <v>4912</v>
      </c>
    </row>
    <row r="435" spans="1:15" x14ac:dyDescent="0.35">
      <c r="A435" t="s">
        <v>446</v>
      </c>
      <c r="B435">
        <v>62</v>
      </c>
      <c r="C435" t="s">
        <v>4802</v>
      </c>
      <c r="D435" t="s">
        <v>13</v>
      </c>
      <c r="E435">
        <v>78</v>
      </c>
      <c r="F435">
        <v>37</v>
      </c>
      <c r="G435" t="s">
        <v>4798</v>
      </c>
      <c r="H435" t="s">
        <v>4806</v>
      </c>
      <c r="I435">
        <v>13.99</v>
      </c>
      <c r="J435">
        <v>2</v>
      </c>
      <c r="K435">
        <v>2.6</v>
      </c>
      <c r="L435">
        <v>0</v>
      </c>
      <c r="M435" t="s">
        <v>4809</v>
      </c>
      <c r="N435" t="s">
        <v>4900</v>
      </c>
      <c r="O435" t="s">
        <v>4911</v>
      </c>
    </row>
    <row r="436" spans="1:15" x14ac:dyDescent="0.35">
      <c r="A436" t="s">
        <v>447</v>
      </c>
      <c r="B436">
        <v>27</v>
      </c>
      <c r="C436" t="s">
        <v>4802</v>
      </c>
      <c r="D436" t="s">
        <v>13</v>
      </c>
      <c r="E436">
        <v>77</v>
      </c>
      <c r="F436">
        <v>26</v>
      </c>
      <c r="G436" t="s">
        <v>4798</v>
      </c>
      <c r="H436" t="s">
        <v>4805</v>
      </c>
      <c r="I436">
        <v>13.99</v>
      </c>
      <c r="J436">
        <v>3</v>
      </c>
      <c r="K436">
        <v>2.57</v>
      </c>
      <c r="L436">
        <v>0</v>
      </c>
      <c r="M436" t="s">
        <v>4811</v>
      </c>
      <c r="N436" t="s">
        <v>4900</v>
      </c>
      <c r="O436" t="s">
        <v>4912</v>
      </c>
    </row>
    <row r="437" spans="1:15" x14ac:dyDescent="0.35">
      <c r="A437" t="s">
        <v>448</v>
      </c>
      <c r="B437">
        <v>20</v>
      </c>
      <c r="C437" t="s">
        <v>4803</v>
      </c>
      <c r="D437" t="s">
        <v>15</v>
      </c>
      <c r="E437">
        <v>77</v>
      </c>
      <c r="F437">
        <v>6</v>
      </c>
      <c r="G437" t="s">
        <v>4798</v>
      </c>
      <c r="H437" t="s">
        <v>4805</v>
      </c>
      <c r="I437">
        <v>17.989999999999998</v>
      </c>
      <c r="J437">
        <v>5</v>
      </c>
      <c r="K437">
        <v>2.57</v>
      </c>
      <c r="L437">
        <v>0</v>
      </c>
      <c r="M437" t="s">
        <v>4808</v>
      </c>
      <c r="N437" t="s">
        <v>4900</v>
      </c>
      <c r="O437" t="s">
        <v>4912</v>
      </c>
    </row>
    <row r="438" spans="1:15" x14ac:dyDescent="0.35">
      <c r="A438" t="s">
        <v>449</v>
      </c>
      <c r="B438">
        <v>40</v>
      </c>
      <c r="C438" t="s">
        <v>4803</v>
      </c>
      <c r="D438" t="s">
        <v>13</v>
      </c>
      <c r="E438">
        <v>73</v>
      </c>
      <c r="F438">
        <v>44</v>
      </c>
      <c r="G438" t="s">
        <v>4799</v>
      </c>
      <c r="H438" t="s">
        <v>4807</v>
      </c>
      <c r="I438">
        <v>13.99</v>
      </c>
      <c r="J438">
        <v>2</v>
      </c>
      <c r="K438">
        <v>5</v>
      </c>
      <c r="L438">
        <v>0</v>
      </c>
      <c r="M438" t="s">
        <v>4812</v>
      </c>
      <c r="N438" t="s">
        <v>4900</v>
      </c>
      <c r="O438" t="s">
        <v>4910</v>
      </c>
    </row>
    <row r="439" spans="1:15" x14ac:dyDescent="0.35">
      <c r="A439" t="s">
        <v>450</v>
      </c>
      <c r="B439">
        <v>65</v>
      </c>
      <c r="C439" t="s">
        <v>4802</v>
      </c>
      <c r="D439" t="s">
        <v>13</v>
      </c>
      <c r="E439">
        <v>75</v>
      </c>
      <c r="F439">
        <v>42</v>
      </c>
      <c r="G439" t="s">
        <v>4798</v>
      </c>
      <c r="H439" t="s">
        <v>4806</v>
      </c>
      <c r="I439">
        <v>13.99</v>
      </c>
      <c r="J439">
        <v>3</v>
      </c>
      <c r="K439">
        <v>2.0299999999999998</v>
      </c>
      <c r="L439">
        <v>1</v>
      </c>
      <c r="M439" t="s">
        <v>4811</v>
      </c>
      <c r="N439" t="s">
        <v>4899</v>
      </c>
      <c r="O439" t="s">
        <v>4911</v>
      </c>
    </row>
    <row r="440" spans="1:15" x14ac:dyDescent="0.35">
      <c r="A440" t="s">
        <v>451</v>
      </c>
      <c r="B440">
        <v>18</v>
      </c>
      <c r="C440" t="s">
        <v>4802</v>
      </c>
      <c r="D440" t="s">
        <v>13</v>
      </c>
      <c r="E440">
        <v>48</v>
      </c>
      <c r="F440">
        <v>43</v>
      </c>
      <c r="G440" t="s">
        <v>4797</v>
      </c>
      <c r="H440" t="s">
        <v>4805</v>
      </c>
      <c r="I440">
        <v>13.99</v>
      </c>
      <c r="J440">
        <v>2</v>
      </c>
      <c r="K440">
        <v>1.6</v>
      </c>
      <c r="L440">
        <v>0</v>
      </c>
      <c r="M440" t="s">
        <v>4810</v>
      </c>
      <c r="N440" t="s">
        <v>4900</v>
      </c>
      <c r="O440" t="s">
        <v>4912</v>
      </c>
    </row>
    <row r="441" spans="1:15" x14ac:dyDescent="0.35">
      <c r="A441" t="s">
        <v>452</v>
      </c>
      <c r="B441">
        <v>36</v>
      </c>
      <c r="C441" t="s">
        <v>4803</v>
      </c>
      <c r="D441" t="s">
        <v>13</v>
      </c>
      <c r="E441">
        <v>42</v>
      </c>
      <c r="F441">
        <v>29</v>
      </c>
      <c r="G441" t="s">
        <v>4799</v>
      </c>
      <c r="H441" t="s">
        <v>4804</v>
      </c>
      <c r="I441">
        <v>13.99</v>
      </c>
      <c r="J441">
        <v>1</v>
      </c>
      <c r="K441">
        <v>1.4</v>
      </c>
      <c r="L441">
        <v>0</v>
      </c>
      <c r="M441" t="s">
        <v>4808</v>
      </c>
      <c r="N441" t="s">
        <v>4900</v>
      </c>
      <c r="O441" t="s">
        <v>4910</v>
      </c>
    </row>
    <row r="442" spans="1:15" x14ac:dyDescent="0.35">
      <c r="A442" t="s">
        <v>453</v>
      </c>
      <c r="B442">
        <v>26</v>
      </c>
      <c r="C442" t="s">
        <v>4803</v>
      </c>
      <c r="D442" t="s">
        <v>13</v>
      </c>
      <c r="E442">
        <v>32</v>
      </c>
      <c r="F442">
        <v>46</v>
      </c>
      <c r="G442" t="s">
        <v>4799</v>
      </c>
      <c r="H442" t="s">
        <v>4804</v>
      </c>
      <c r="I442">
        <v>13.99</v>
      </c>
      <c r="J442">
        <v>4</v>
      </c>
      <c r="K442">
        <v>1.07</v>
      </c>
      <c r="L442">
        <v>0</v>
      </c>
      <c r="M442" t="s">
        <v>4811</v>
      </c>
      <c r="N442" t="s">
        <v>4900</v>
      </c>
      <c r="O442" t="s">
        <v>4912</v>
      </c>
    </row>
    <row r="443" spans="1:15" x14ac:dyDescent="0.35">
      <c r="A443" t="s">
        <v>454</v>
      </c>
      <c r="B443">
        <v>23</v>
      </c>
      <c r="C443" t="s">
        <v>4803</v>
      </c>
      <c r="D443" t="s">
        <v>13</v>
      </c>
      <c r="E443">
        <v>60</v>
      </c>
      <c r="F443">
        <v>55</v>
      </c>
      <c r="G443" t="s">
        <v>4798</v>
      </c>
      <c r="H443" t="s">
        <v>4806</v>
      </c>
      <c r="I443">
        <v>13.99</v>
      </c>
      <c r="J443">
        <v>1</v>
      </c>
      <c r="K443">
        <v>5</v>
      </c>
      <c r="L443">
        <v>0</v>
      </c>
      <c r="M443" t="s">
        <v>4809</v>
      </c>
      <c r="N443" t="s">
        <v>4900</v>
      </c>
      <c r="O443" t="s">
        <v>4912</v>
      </c>
    </row>
    <row r="444" spans="1:15" x14ac:dyDescent="0.35">
      <c r="A444" t="s">
        <v>455</v>
      </c>
      <c r="B444">
        <v>23</v>
      </c>
      <c r="C444" t="s">
        <v>4802</v>
      </c>
      <c r="D444" t="s">
        <v>15</v>
      </c>
      <c r="E444">
        <v>96</v>
      </c>
      <c r="F444">
        <v>49</v>
      </c>
      <c r="G444" t="s">
        <v>4798</v>
      </c>
      <c r="H444" t="s">
        <v>4804</v>
      </c>
      <c r="I444">
        <v>17.989999999999998</v>
      </c>
      <c r="J444">
        <v>4</v>
      </c>
      <c r="K444">
        <v>3.2</v>
      </c>
      <c r="L444">
        <v>0</v>
      </c>
      <c r="M444" t="s">
        <v>4808</v>
      </c>
      <c r="N444" t="s">
        <v>4900</v>
      </c>
      <c r="O444" t="s">
        <v>4912</v>
      </c>
    </row>
    <row r="445" spans="1:15" x14ac:dyDescent="0.35">
      <c r="A445" t="s">
        <v>456</v>
      </c>
      <c r="B445">
        <v>33</v>
      </c>
      <c r="C445" t="s">
        <v>4803</v>
      </c>
      <c r="D445" t="s">
        <v>13</v>
      </c>
      <c r="E445">
        <v>45</v>
      </c>
      <c r="F445">
        <v>49</v>
      </c>
      <c r="G445" t="s">
        <v>4797</v>
      </c>
      <c r="H445" t="s">
        <v>4804</v>
      </c>
      <c r="I445">
        <v>13.99</v>
      </c>
      <c r="J445">
        <v>4</v>
      </c>
      <c r="K445">
        <v>1.5</v>
      </c>
      <c r="L445">
        <v>0</v>
      </c>
      <c r="M445" t="s">
        <v>4809</v>
      </c>
      <c r="N445" t="s">
        <v>4900</v>
      </c>
      <c r="O445" t="s">
        <v>4912</v>
      </c>
    </row>
    <row r="446" spans="1:15" x14ac:dyDescent="0.35">
      <c r="A446" t="s">
        <v>457</v>
      </c>
      <c r="B446">
        <v>34</v>
      </c>
      <c r="C446" t="s">
        <v>4803</v>
      </c>
      <c r="D446" t="s">
        <v>13</v>
      </c>
      <c r="E446">
        <v>42</v>
      </c>
      <c r="F446">
        <v>45</v>
      </c>
      <c r="G446" t="s">
        <v>4798</v>
      </c>
      <c r="H446" t="s">
        <v>4807</v>
      </c>
      <c r="I446">
        <v>13.99</v>
      </c>
      <c r="J446">
        <v>3</v>
      </c>
      <c r="K446">
        <v>1.4</v>
      </c>
      <c r="L446">
        <v>1</v>
      </c>
      <c r="M446" t="s">
        <v>4812</v>
      </c>
      <c r="N446" t="s">
        <v>4899</v>
      </c>
      <c r="O446" t="s">
        <v>4912</v>
      </c>
    </row>
    <row r="447" spans="1:15" x14ac:dyDescent="0.35">
      <c r="A447" t="s">
        <v>458</v>
      </c>
      <c r="B447">
        <v>30</v>
      </c>
      <c r="C447" t="s">
        <v>4803</v>
      </c>
      <c r="D447" t="s">
        <v>13</v>
      </c>
      <c r="E447">
        <v>80</v>
      </c>
      <c r="F447">
        <v>58</v>
      </c>
      <c r="G447" t="s">
        <v>4798</v>
      </c>
      <c r="H447" t="s">
        <v>4805</v>
      </c>
      <c r="I447">
        <v>13.99</v>
      </c>
      <c r="J447">
        <v>1</v>
      </c>
      <c r="K447">
        <v>2.67</v>
      </c>
      <c r="L447">
        <v>0</v>
      </c>
      <c r="M447" t="s">
        <v>4812</v>
      </c>
      <c r="N447" t="s">
        <v>4900</v>
      </c>
      <c r="O447" t="s">
        <v>4912</v>
      </c>
    </row>
    <row r="448" spans="1:15" x14ac:dyDescent="0.35">
      <c r="A448" t="s">
        <v>459</v>
      </c>
      <c r="B448">
        <v>29</v>
      </c>
      <c r="C448" t="s">
        <v>4803</v>
      </c>
      <c r="D448" t="s">
        <v>13</v>
      </c>
      <c r="E448">
        <v>53</v>
      </c>
      <c r="F448">
        <v>38</v>
      </c>
      <c r="G448" t="s">
        <v>4797</v>
      </c>
      <c r="H448" t="s">
        <v>4806</v>
      </c>
      <c r="I448">
        <v>13.99</v>
      </c>
      <c r="J448">
        <v>3</v>
      </c>
      <c r="K448">
        <v>1.77</v>
      </c>
      <c r="L448">
        <v>0</v>
      </c>
      <c r="M448" t="s">
        <v>4809</v>
      </c>
      <c r="N448" t="s">
        <v>4900</v>
      </c>
      <c r="O448" t="s">
        <v>4912</v>
      </c>
    </row>
    <row r="449" spans="1:15" x14ac:dyDescent="0.35">
      <c r="A449" t="s">
        <v>460</v>
      </c>
      <c r="B449">
        <v>60</v>
      </c>
      <c r="C449" t="s">
        <v>4803</v>
      </c>
      <c r="D449" t="s">
        <v>13</v>
      </c>
      <c r="E449">
        <v>33</v>
      </c>
      <c r="F449">
        <v>43</v>
      </c>
      <c r="G449" t="s">
        <v>4798</v>
      </c>
      <c r="H449" t="s">
        <v>4805</v>
      </c>
      <c r="I449">
        <v>13.99</v>
      </c>
      <c r="J449">
        <v>1</v>
      </c>
      <c r="K449">
        <v>1.1000000000000001</v>
      </c>
      <c r="L449">
        <v>0</v>
      </c>
      <c r="M449" t="s">
        <v>4812</v>
      </c>
      <c r="N449" t="s">
        <v>4900</v>
      </c>
      <c r="O449" t="s">
        <v>4911</v>
      </c>
    </row>
    <row r="450" spans="1:15" x14ac:dyDescent="0.35">
      <c r="A450" t="s">
        <v>461</v>
      </c>
      <c r="B450">
        <v>45</v>
      </c>
      <c r="C450" t="s">
        <v>4803</v>
      </c>
      <c r="D450" t="s">
        <v>13</v>
      </c>
      <c r="E450">
        <v>77</v>
      </c>
      <c r="F450">
        <v>35</v>
      </c>
      <c r="G450" t="s">
        <v>4797</v>
      </c>
      <c r="H450" t="s">
        <v>4806</v>
      </c>
      <c r="I450">
        <v>13.99</v>
      </c>
      <c r="J450">
        <v>1</v>
      </c>
      <c r="K450">
        <v>2.57</v>
      </c>
      <c r="L450">
        <v>0</v>
      </c>
      <c r="M450" t="s">
        <v>4808</v>
      </c>
      <c r="N450" t="s">
        <v>4900</v>
      </c>
      <c r="O450" t="s">
        <v>4910</v>
      </c>
    </row>
    <row r="451" spans="1:15" x14ac:dyDescent="0.35">
      <c r="A451" t="s">
        <v>462</v>
      </c>
      <c r="B451">
        <v>23</v>
      </c>
      <c r="C451" t="s">
        <v>4803</v>
      </c>
      <c r="D451" t="s">
        <v>13</v>
      </c>
      <c r="E451">
        <v>57</v>
      </c>
      <c r="F451">
        <v>4</v>
      </c>
      <c r="G451" t="s">
        <v>4799</v>
      </c>
      <c r="H451" t="s">
        <v>4806</v>
      </c>
      <c r="I451">
        <v>13.99</v>
      </c>
      <c r="J451">
        <v>2</v>
      </c>
      <c r="K451">
        <v>1.9</v>
      </c>
      <c r="L451">
        <v>0</v>
      </c>
      <c r="M451" t="s">
        <v>4812</v>
      </c>
      <c r="N451" t="s">
        <v>4900</v>
      </c>
      <c r="O451" t="s">
        <v>4912</v>
      </c>
    </row>
    <row r="452" spans="1:15" x14ac:dyDescent="0.35">
      <c r="A452" t="s">
        <v>463</v>
      </c>
      <c r="B452">
        <v>47</v>
      </c>
      <c r="C452" t="s">
        <v>4802</v>
      </c>
      <c r="D452" t="s">
        <v>15</v>
      </c>
      <c r="E452">
        <v>56</v>
      </c>
      <c r="F452">
        <v>11</v>
      </c>
      <c r="G452" t="s">
        <v>4799</v>
      </c>
      <c r="H452" t="s">
        <v>4805</v>
      </c>
      <c r="I452">
        <v>17.989999999999998</v>
      </c>
      <c r="J452">
        <v>5</v>
      </c>
      <c r="K452">
        <v>1.87</v>
      </c>
      <c r="L452">
        <v>0</v>
      </c>
      <c r="M452" t="s">
        <v>4810</v>
      </c>
      <c r="N452" t="s">
        <v>4900</v>
      </c>
      <c r="O452" t="s">
        <v>4910</v>
      </c>
    </row>
    <row r="453" spans="1:15" x14ac:dyDescent="0.35">
      <c r="A453" t="s">
        <v>464</v>
      </c>
      <c r="B453">
        <v>56</v>
      </c>
      <c r="C453" t="s">
        <v>4802</v>
      </c>
      <c r="D453" t="s">
        <v>13</v>
      </c>
      <c r="E453">
        <v>54</v>
      </c>
      <c r="F453">
        <v>8</v>
      </c>
      <c r="G453" t="s">
        <v>4798</v>
      </c>
      <c r="H453" t="s">
        <v>4804</v>
      </c>
      <c r="I453">
        <v>13.99</v>
      </c>
      <c r="J453">
        <v>3</v>
      </c>
      <c r="K453">
        <v>1.8</v>
      </c>
      <c r="L453">
        <v>0</v>
      </c>
      <c r="M453" t="s">
        <v>4808</v>
      </c>
      <c r="N453" t="s">
        <v>4900</v>
      </c>
      <c r="O453" t="s">
        <v>4911</v>
      </c>
    </row>
    <row r="454" spans="1:15" x14ac:dyDescent="0.35">
      <c r="A454" t="s">
        <v>465</v>
      </c>
      <c r="B454">
        <v>26</v>
      </c>
      <c r="C454" t="s">
        <v>4802</v>
      </c>
      <c r="D454" t="s">
        <v>13</v>
      </c>
      <c r="E454">
        <v>34</v>
      </c>
      <c r="F454">
        <v>49</v>
      </c>
      <c r="G454" t="s">
        <v>4799</v>
      </c>
      <c r="H454" t="s">
        <v>4805</v>
      </c>
      <c r="I454">
        <v>13.99</v>
      </c>
      <c r="J454">
        <v>4</v>
      </c>
      <c r="K454">
        <v>2.0299999999999998</v>
      </c>
      <c r="L454">
        <v>0</v>
      </c>
      <c r="M454" t="s">
        <v>4811</v>
      </c>
      <c r="N454" t="s">
        <v>4900</v>
      </c>
      <c r="O454" t="s">
        <v>4912</v>
      </c>
    </row>
    <row r="455" spans="1:15" x14ac:dyDescent="0.35">
      <c r="A455" t="s">
        <v>466</v>
      </c>
      <c r="B455">
        <v>51</v>
      </c>
      <c r="C455" t="s">
        <v>4803</v>
      </c>
      <c r="D455" t="s">
        <v>13</v>
      </c>
      <c r="E455">
        <v>52</v>
      </c>
      <c r="F455" t="s">
        <v>4814</v>
      </c>
      <c r="G455" t="s">
        <v>4798</v>
      </c>
      <c r="H455" t="s">
        <v>4806</v>
      </c>
      <c r="I455">
        <v>13.99</v>
      </c>
      <c r="J455">
        <v>1</v>
      </c>
      <c r="K455">
        <v>1.73</v>
      </c>
      <c r="L455">
        <v>0</v>
      </c>
      <c r="M455" t="s">
        <v>4810</v>
      </c>
      <c r="N455" t="s">
        <v>4900</v>
      </c>
      <c r="O455" t="s">
        <v>4910</v>
      </c>
    </row>
    <row r="456" spans="1:15" x14ac:dyDescent="0.35">
      <c r="A456" t="s">
        <v>467</v>
      </c>
      <c r="B456">
        <v>46</v>
      </c>
      <c r="C456" t="s">
        <v>4803</v>
      </c>
      <c r="D456" t="s">
        <v>13</v>
      </c>
      <c r="E456">
        <v>72</v>
      </c>
      <c r="F456">
        <v>49</v>
      </c>
      <c r="G456" t="s">
        <v>4798</v>
      </c>
      <c r="H456" t="s">
        <v>4805</v>
      </c>
      <c r="I456">
        <v>13.99</v>
      </c>
      <c r="J456">
        <v>4</v>
      </c>
      <c r="K456">
        <v>2.0299999999999998</v>
      </c>
      <c r="L456">
        <v>0</v>
      </c>
      <c r="M456" t="s">
        <v>4809</v>
      </c>
      <c r="N456" t="s">
        <v>4900</v>
      </c>
      <c r="O456" t="s">
        <v>4910</v>
      </c>
    </row>
    <row r="457" spans="1:15" x14ac:dyDescent="0.35">
      <c r="A457" t="s">
        <v>468</v>
      </c>
      <c r="B457">
        <v>39</v>
      </c>
      <c r="C457" t="s">
        <v>4803</v>
      </c>
      <c r="D457" t="s">
        <v>15</v>
      </c>
      <c r="E457">
        <v>53</v>
      </c>
      <c r="F457">
        <v>2</v>
      </c>
      <c r="G457" t="s">
        <v>4799</v>
      </c>
      <c r="H457" t="s">
        <v>4804</v>
      </c>
      <c r="I457">
        <v>17.989999999999998</v>
      </c>
      <c r="J457">
        <v>4</v>
      </c>
      <c r="K457">
        <v>2.0299999999999998</v>
      </c>
      <c r="L457">
        <v>0</v>
      </c>
      <c r="M457" t="s">
        <v>4810</v>
      </c>
      <c r="N457" t="s">
        <v>4900</v>
      </c>
      <c r="O457" t="s">
        <v>4910</v>
      </c>
    </row>
    <row r="458" spans="1:15" x14ac:dyDescent="0.35">
      <c r="A458" t="s">
        <v>469</v>
      </c>
      <c r="B458">
        <v>31</v>
      </c>
      <c r="C458" t="s">
        <v>4803</v>
      </c>
      <c r="D458" t="s">
        <v>15</v>
      </c>
      <c r="E458">
        <v>119</v>
      </c>
      <c r="F458">
        <v>58</v>
      </c>
      <c r="G458" t="s">
        <v>4797</v>
      </c>
      <c r="H458" t="s">
        <v>4806</v>
      </c>
      <c r="I458">
        <v>17.989999999999998</v>
      </c>
      <c r="J458">
        <v>3</v>
      </c>
      <c r="K458">
        <v>3.97</v>
      </c>
      <c r="L458">
        <v>1</v>
      </c>
      <c r="M458" t="s">
        <v>4810</v>
      </c>
      <c r="N458" t="s">
        <v>4899</v>
      </c>
      <c r="O458" t="s">
        <v>4912</v>
      </c>
    </row>
    <row r="459" spans="1:15" x14ac:dyDescent="0.35">
      <c r="A459" t="s">
        <v>470</v>
      </c>
      <c r="B459">
        <v>36</v>
      </c>
      <c r="C459" t="s">
        <v>4803</v>
      </c>
      <c r="D459" t="s">
        <v>13</v>
      </c>
      <c r="E459">
        <v>61</v>
      </c>
      <c r="F459">
        <v>44</v>
      </c>
      <c r="G459" t="s">
        <v>4797</v>
      </c>
      <c r="H459" t="s">
        <v>4804</v>
      </c>
      <c r="I459">
        <v>13.99</v>
      </c>
      <c r="J459">
        <v>3</v>
      </c>
      <c r="K459">
        <v>2.0299999999999998</v>
      </c>
      <c r="L459">
        <v>0</v>
      </c>
      <c r="M459" t="s">
        <v>4808</v>
      </c>
      <c r="N459" t="s">
        <v>4900</v>
      </c>
      <c r="O459" t="s">
        <v>4910</v>
      </c>
    </row>
    <row r="460" spans="1:15" x14ac:dyDescent="0.35">
      <c r="A460" t="s">
        <v>471</v>
      </c>
      <c r="B460">
        <v>56</v>
      </c>
      <c r="C460" t="s">
        <v>4802</v>
      </c>
      <c r="D460" t="s">
        <v>13</v>
      </c>
      <c r="E460">
        <v>59</v>
      </c>
      <c r="F460">
        <v>59</v>
      </c>
      <c r="G460" t="s">
        <v>4798</v>
      </c>
      <c r="H460" t="s">
        <v>4805</v>
      </c>
      <c r="I460">
        <v>13.99</v>
      </c>
      <c r="J460">
        <v>3</v>
      </c>
      <c r="K460">
        <v>1.97</v>
      </c>
      <c r="L460">
        <v>0</v>
      </c>
      <c r="M460" t="s">
        <v>4811</v>
      </c>
      <c r="N460" t="s">
        <v>4900</v>
      </c>
      <c r="O460" t="s">
        <v>4911</v>
      </c>
    </row>
    <row r="461" spans="1:15" x14ac:dyDescent="0.35">
      <c r="A461" t="s">
        <v>4895</v>
      </c>
      <c r="B461">
        <v>22</v>
      </c>
      <c r="C461" t="s">
        <v>4803</v>
      </c>
      <c r="D461" t="s">
        <v>15</v>
      </c>
      <c r="E461">
        <v>101</v>
      </c>
      <c r="F461">
        <v>46</v>
      </c>
      <c r="G461" t="s">
        <v>4799</v>
      </c>
      <c r="H461" t="s">
        <v>4805</v>
      </c>
      <c r="I461">
        <v>17.989999999999998</v>
      </c>
      <c r="J461">
        <v>3</v>
      </c>
      <c r="K461">
        <v>2.0299999999999998</v>
      </c>
      <c r="L461">
        <v>0</v>
      </c>
      <c r="M461" t="s">
        <v>4811</v>
      </c>
      <c r="N461" t="s">
        <v>4900</v>
      </c>
      <c r="O461" t="s">
        <v>4912</v>
      </c>
    </row>
    <row r="462" spans="1:15" x14ac:dyDescent="0.35">
      <c r="A462" t="s">
        <v>472</v>
      </c>
      <c r="B462">
        <v>47</v>
      </c>
      <c r="C462" t="s">
        <v>4803</v>
      </c>
      <c r="D462" t="s">
        <v>13</v>
      </c>
      <c r="E462">
        <v>41</v>
      </c>
      <c r="F462">
        <v>19</v>
      </c>
      <c r="G462" t="s">
        <v>4798</v>
      </c>
      <c r="H462" t="s">
        <v>4804</v>
      </c>
      <c r="I462">
        <v>13.99</v>
      </c>
      <c r="J462">
        <v>3</v>
      </c>
      <c r="K462">
        <v>2.0299999999999998</v>
      </c>
      <c r="L462">
        <v>0</v>
      </c>
      <c r="M462" t="s">
        <v>4810</v>
      </c>
      <c r="N462" t="s">
        <v>4900</v>
      </c>
      <c r="O462" t="s">
        <v>4910</v>
      </c>
    </row>
    <row r="463" spans="1:15" x14ac:dyDescent="0.35">
      <c r="A463" t="s">
        <v>473</v>
      </c>
      <c r="B463">
        <v>48</v>
      </c>
      <c r="C463" t="s">
        <v>4803</v>
      </c>
      <c r="D463" t="s">
        <v>13</v>
      </c>
      <c r="E463">
        <v>78</v>
      </c>
      <c r="F463">
        <v>48</v>
      </c>
      <c r="G463" t="s">
        <v>4798</v>
      </c>
      <c r="H463" t="s">
        <v>4805</v>
      </c>
      <c r="I463">
        <v>13.99</v>
      </c>
      <c r="J463">
        <v>4</v>
      </c>
      <c r="K463">
        <v>5</v>
      </c>
      <c r="L463">
        <v>0</v>
      </c>
      <c r="M463" t="s">
        <v>4809</v>
      </c>
      <c r="N463" t="s">
        <v>4900</v>
      </c>
      <c r="O463" t="s">
        <v>4910</v>
      </c>
    </row>
    <row r="464" spans="1:15" x14ac:dyDescent="0.35">
      <c r="A464" t="s">
        <v>474</v>
      </c>
      <c r="B464">
        <v>45</v>
      </c>
      <c r="C464" t="s">
        <v>4803</v>
      </c>
      <c r="D464" t="s">
        <v>13</v>
      </c>
      <c r="E464">
        <v>32</v>
      </c>
      <c r="F464">
        <v>11</v>
      </c>
      <c r="G464" t="s">
        <v>4800</v>
      </c>
      <c r="H464" t="s">
        <v>4806</v>
      </c>
      <c r="I464">
        <v>13.99</v>
      </c>
      <c r="J464">
        <v>1</v>
      </c>
      <c r="K464">
        <v>1.07</v>
      </c>
      <c r="L464">
        <v>0</v>
      </c>
      <c r="M464" t="s">
        <v>4808</v>
      </c>
      <c r="N464" t="s">
        <v>4900</v>
      </c>
      <c r="O464" t="s">
        <v>4910</v>
      </c>
    </row>
    <row r="465" spans="1:15" x14ac:dyDescent="0.35">
      <c r="A465" t="s">
        <v>475</v>
      </c>
      <c r="B465">
        <v>42</v>
      </c>
      <c r="C465" t="s">
        <v>4802</v>
      </c>
      <c r="D465" t="s">
        <v>14</v>
      </c>
      <c r="E465">
        <v>76</v>
      </c>
      <c r="F465">
        <v>8</v>
      </c>
      <c r="G465" t="s">
        <v>4799</v>
      </c>
      <c r="H465" t="s">
        <v>4805</v>
      </c>
      <c r="I465">
        <v>8.99</v>
      </c>
      <c r="J465">
        <v>3</v>
      </c>
      <c r="K465">
        <v>2.0299999999999998</v>
      </c>
      <c r="L465">
        <v>0</v>
      </c>
      <c r="M465" t="s">
        <v>4808</v>
      </c>
      <c r="N465" t="s">
        <v>4900</v>
      </c>
      <c r="O465" t="s">
        <v>4910</v>
      </c>
    </row>
    <row r="466" spans="1:15" x14ac:dyDescent="0.35">
      <c r="A466" t="s">
        <v>476</v>
      </c>
      <c r="B466">
        <v>49</v>
      </c>
      <c r="C466" t="s">
        <v>4803</v>
      </c>
      <c r="D466" t="s">
        <v>13</v>
      </c>
      <c r="E466">
        <v>58</v>
      </c>
      <c r="F466">
        <v>5</v>
      </c>
      <c r="G466" t="s">
        <v>4799</v>
      </c>
      <c r="H466" t="s">
        <v>4805</v>
      </c>
      <c r="I466">
        <v>13.99</v>
      </c>
      <c r="J466">
        <v>4</v>
      </c>
      <c r="K466">
        <v>1.93</v>
      </c>
      <c r="L466">
        <v>0</v>
      </c>
      <c r="M466" t="s">
        <v>4811</v>
      </c>
      <c r="N466" t="s">
        <v>4900</v>
      </c>
      <c r="O466" t="s">
        <v>4910</v>
      </c>
    </row>
    <row r="467" spans="1:15" x14ac:dyDescent="0.35">
      <c r="A467" t="s">
        <v>477</v>
      </c>
      <c r="B467">
        <v>55</v>
      </c>
      <c r="C467" t="s">
        <v>4802</v>
      </c>
      <c r="D467" t="s">
        <v>13</v>
      </c>
      <c r="E467">
        <v>42</v>
      </c>
      <c r="F467">
        <v>46</v>
      </c>
      <c r="G467" t="s">
        <v>4800</v>
      </c>
      <c r="H467" t="s">
        <v>4806</v>
      </c>
      <c r="I467">
        <v>13.99</v>
      </c>
      <c r="J467">
        <v>3</v>
      </c>
      <c r="K467">
        <v>1.4</v>
      </c>
      <c r="L467">
        <v>0</v>
      </c>
      <c r="M467" t="s">
        <v>4810</v>
      </c>
      <c r="N467" t="s">
        <v>4900</v>
      </c>
      <c r="O467" t="s">
        <v>4911</v>
      </c>
    </row>
    <row r="468" spans="1:15" x14ac:dyDescent="0.35">
      <c r="A468" t="s">
        <v>478</v>
      </c>
      <c r="B468">
        <v>44</v>
      </c>
      <c r="C468" t="s">
        <v>4803</v>
      </c>
      <c r="D468" t="s">
        <v>15</v>
      </c>
      <c r="E468">
        <v>51</v>
      </c>
      <c r="F468">
        <v>31</v>
      </c>
      <c r="G468" t="s">
        <v>4797</v>
      </c>
      <c r="H468" t="s">
        <v>4807</v>
      </c>
      <c r="I468">
        <v>17.989999999999998</v>
      </c>
      <c r="J468">
        <v>2</v>
      </c>
      <c r="K468">
        <v>1.7</v>
      </c>
      <c r="L468">
        <v>0</v>
      </c>
      <c r="M468" t="s">
        <v>4808</v>
      </c>
      <c r="N468" t="s">
        <v>4900</v>
      </c>
      <c r="O468" t="s">
        <v>4910</v>
      </c>
    </row>
    <row r="469" spans="1:15" x14ac:dyDescent="0.35">
      <c r="A469" t="s">
        <v>479</v>
      </c>
      <c r="B469">
        <v>49</v>
      </c>
      <c r="C469" t="s">
        <v>4803</v>
      </c>
      <c r="D469" t="s">
        <v>13</v>
      </c>
      <c r="E469">
        <v>36</v>
      </c>
      <c r="F469" t="s">
        <v>4814</v>
      </c>
      <c r="G469" t="s">
        <v>4797</v>
      </c>
      <c r="H469" t="s">
        <v>4804</v>
      </c>
      <c r="I469">
        <v>13.99</v>
      </c>
      <c r="J469">
        <v>4</v>
      </c>
      <c r="K469">
        <v>5</v>
      </c>
      <c r="L469">
        <v>1</v>
      </c>
      <c r="M469" t="s">
        <v>4811</v>
      </c>
      <c r="N469" t="s">
        <v>4899</v>
      </c>
      <c r="O469" t="s">
        <v>4910</v>
      </c>
    </row>
    <row r="470" spans="1:15" x14ac:dyDescent="0.35">
      <c r="A470" t="s">
        <v>480</v>
      </c>
      <c r="B470">
        <v>27</v>
      </c>
      <c r="C470" t="s">
        <v>4803</v>
      </c>
      <c r="D470" t="s">
        <v>15</v>
      </c>
      <c r="E470">
        <v>117</v>
      </c>
      <c r="F470">
        <v>2</v>
      </c>
      <c r="G470" t="s">
        <v>4797</v>
      </c>
      <c r="H470" t="s">
        <v>4806</v>
      </c>
      <c r="I470">
        <v>17.989999999999998</v>
      </c>
      <c r="J470">
        <v>3</v>
      </c>
      <c r="K470">
        <v>2.0299999999999998</v>
      </c>
      <c r="L470">
        <v>0</v>
      </c>
      <c r="M470" t="s">
        <v>4812</v>
      </c>
      <c r="N470" t="s">
        <v>4900</v>
      </c>
      <c r="O470" t="s">
        <v>4912</v>
      </c>
    </row>
    <row r="471" spans="1:15" x14ac:dyDescent="0.35">
      <c r="A471" t="s">
        <v>481</v>
      </c>
      <c r="B471">
        <v>48</v>
      </c>
      <c r="C471" t="s">
        <v>4802</v>
      </c>
      <c r="D471" t="s">
        <v>13</v>
      </c>
      <c r="E471">
        <v>38</v>
      </c>
      <c r="F471">
        <v>0</v>
      </c>
      <c r="G471" t="s">
        <v>4800</v>
      </c>
      <c r="H471" t="s">
        <v>4807</v>
      </c>
      <c r="I471">
        <v>13.99</v>
      </c>
      <c r="J471">
        <v>1</v>
      </c>
      <c r="K471">
        <v>1.27</v>
      </c>
      <c r="L471">
        <v>0</v>
      </c>
      <c r="M471" t="s">
        <v>4812</v>
      </c>
      <c r="N471" t="s">
        <v>4900</v>
      </c>
      <c r="O471" t="s">
        <v>4910</v>
      </c>
    </row>
    <row r="472" spans="1:15" x14ac:dyDescent="0.35">
      <c r="A472" t="s">
        <v>482</v>
      </c>
      <c r="B472">
        <v>61</v>
      </c>
      <c r="C472" t="s">
        <v>4803</v>
      </c>
      <c r="D472" t="s">
        <v>13</v>
      </c>
      <c r="E472">
        <v>53</v>
      </c>
      <c r="F472">
        <v>60</v>
      </c>
      <c r="G472" t="s">
        <v>4798</v>
      </c>
      <c r="H472" t="s">
        <v>4806</v>
      </c>
      <c r="I472">
        <v>13.99</v>
      </c>
      <c r="J472">
        <v>1</v>
      </c>
      <c r="K472">
        <v>1.77</v>
      </c>
      <c r="L472">
        <v>0</v>
      </c>
      <c r="M472" t="s">
        <v>4811</v>
      </c>
      <c r="N472" t="s">
        <v>4900</v>
      </c>
      <c r="O472" t="s">
        <v>4911</v>
      </c>
    </row>
    <row r="473" spans="1:15" x14ac:dyDescent="0.35">
      <c r="A473" t="s">
        <v>483</v>
      </c>
      <c r="B473">
        <v>22</v>
      </c>
      <c r="C473" t="s">
        <v>4803</v>
      </c>
      <c r="D473" t="s">
        <v>13</v>
      </c>
      <c r="E473">
        <v>52</v>
      </c>
      <c r="F473">
        <v>49</v>
      </c>
      <c r="G473" t="s">
        <v>4798</v>
      </c>
      <c r="H473" t="s">
        <v>4805</v>
      </c>
      <c r="I473">
        <v>13.99</v>
      </c>
      <c r="J473">
        <v>3</v>
      </c>
      <c r="K473">
        <v>1.73</v>
      </c>
      <c r="L473">
        <v>0</v>
      </c>
      <c r="M473" t="s">
        <v>4811</v>
      </c>
      <c r="N473" t="s">
        <v>4900</v>
      </c>
      <c r="O473" t="s">
        <v>4912</v>
      </c>
    </row>
    <row r="474" spans="1:15" x14ac:dyDescent="0.35">
      <c r="A474" t="s">
        <v>484</v>
      </c>
      <c r="B474">
        <v>54</v>
      </c>
      <c r="C474" t="s">
        <v>4802</v>
      </c>
      <c r="D474" t="s">
        <v>13</v>
      </c>
      <c r="E474">
        <v>60</v>
      </c>
      <c r="F474">
        <v>22</v>
      </c>
      <c r="G474" t="s">
        <v>4799</v>
      </c>
      <c r="H474" t="s">
        <v>4804</v>
      </c>
      <c r="I474">
        <v>13.99</v>
      </c>
      <c r="J474">
        <v>4</v>
      </c>
      <c r="K474">
        <v>2</v>
      </c>
      <c r="L474">
        <v>0</v>
      </c>
      <c r="M474" t="s">
        <v>4810</v>
      </c>
      <c r="N474" t="s">
        <v>4900</v>
      </c>
      <c r="O474" t="s">
        <v>4910</v>
      </c>
    </row>
    <row r="475" spans="1:15" x14ac:dyDescent="0.35">
      <c r="A475" t="s">
        <v>485</v>
      </c>
      <c r="B475">
        <v>47</v>
      </c>
      <c r="C475" t="s">
        <v>4803</v>
      </c>
      <c r="D475" t="s">
        <v>15</v>
      </c>
      <c r="E475">
        <v>114</v>
      </c>
      <c r="F475">
        <v>999</v>
      </c>
      <c r="G475" t="s">
        <v>4799</v>
      </c>
      <c r="H475" t="s">
        <v>4805</v>
      </c>
      <c r="I475">
        <v>17.989999999999998</v>
      </c>
      <c r="J475">
        <v>3</v>
      </c>
      <c r="K475">
        <v>3.8</v>
      </c>
      <c r="L475">
        <v>1</v>
      </c>
      <c r="M475" t="s">
        <v>4810</v>
      </c>
      <c r="N475" t="s">
        <v>4899</v>
      </c>
      <c r="O475" t="s">
        <v>4910</v>
      </c>
    </row>
    <row r="476" spans="1:15" x14ac:dyDescent="0.35">
      <c r="A476" t="s">
        <v>486</v>
      </c>
      <c r="B476">
        <v>31</v>
      </c>
      <c r="C476" t="s">
        <v>4802</v>
      </c>
      <c r="D476" t="s">
        <v>13</v>
      </c>
      <c r="E476">
        <v>74</v>
      </c>
      <c r="F476">
        <v>55</v>
      </c>
      <c r="G476" t="s">
        <v>4798</v>
      </c>
      <c r="H476" t="s">
        <v>4805</v>
      </c>
      <c r="I476">
        <v>13.99</v>
      </c>
      <c r="J476">
        <v>3</v>
      </c>
      <c r="K476">
        <v>2.4700000000000002</v>
      </c>
      <c r="L476">
        <v>1</v>
      </c>
      <c r="M476" t="s">
        <v>4811</v>
      </c>
      <c r="N476" t="s">
        <v>4899</v>
      </c>
      <c r="O476" t="s">
        <v>4912</v>
      </c>
    </row>
    <row r="477" spans="1:15" x14ac:dyDescent="0.35">
      <c r="A477" t="s">
        <v>487</v>
      </c>
      <c r="B477">
        <v>18</v>
      </c>
      <c r="C477" t="s">
        <v>4802</v>
      </c>
      <c r="D477" t="s">
        <v>15</v>
      </c>
      <c r="E477">
        <v>115</v>
      </c>
      <c r="F477">
        <v>59</v>
      </c>
      <c r="G477" t="s">
        <v>4798</v>
      </c>
      <c r="H477" t="s">
        <v>4804</v>
      </c>
      <c r="I477">
        <v>17.989999999999998</v>
      </c>
      <c r="J477">
        <v>2</v>
      </c>
      <c r="K477">
        <v>3.83</v>
      </c>
      <c r="L477">
        <v>0</v>
      </c>
      <c r="M477" t="s">
        <v>4809</v>
      </c>
      <c r="N477" t="s">
        <v>4900</v>
      </c>
      <c r="O477" t="s">
        <v>4912</v>
      </c>
    </row>
    <row r="478" spans="1:15" x14ac:dyDescent="0.35">
      <c r="A478" t="s">
        <v>488</v>
      </c>
      <c r="B478">
        <v>42</v>
      </c>
      <c r="C478" t="s">
        <v>4802</v>
      </c>
      <c r="D478" t="s">
        <v>15</v>
      </c>
      <c r="E478">
        <v>100</v>
      </c>
      <c r="F478">
        <v>26</v>
      </c>
      <c r="G478" t="s">
        <v>4798</v>
      </c>
      <c r="H478" t="s">
        <v>4804</v>
      </c>
      <c r="I478">
        <v>17.989999999999998</v>
      </c>
      <c r="J478">
        <v>2</v>
      </c>
      <c r="K478">
        <v>3.33</v>
      </c>
      <c r="L478">
        <v>0</v>
      </c>
      <c r="M478" t="s">
        <v>4808</v>
      </c>
      <c r="N478" t="s">
        <v>4900</v>
      </c>
      <c r="O478" t="s">
        <v>4910</v>
      </c>
    </row>
    <row r="479" spans="1:15" x14ac:dyDescent="0.35">
      <c r="A479" t="s">
        <v>489</v>
      </c>
      <c r="B479">
        <v>40</v>
      </c>
      <c r="C479" t="s">
        <v>4802</v>
      </c>
      <c r="D479" t="s">
        <v>13</v>
      </c>
      <c r="E479">
        <v>34</v>
      </c>
      <c r="F479">
        <v>44</v>
      </c>
      <c r="G479" t="s">
        <v>4798</v>
      </c>
      <c r="H479" t="s">
        <v>4805</v>
      </c>
      <c r="I479">
        <v>13.99</v>
      </c>
      <c r="J479">
        <v>4</v>
      </c>
      <c r="K479">
        <v>1.1299999999999999</v>
      </c>
      <c r="L479">
        <v>0</v>
      </c>
      <c r="M479" t="s">
        <v>4809</v>
      </c>
      <c r="N479" t="s">
        <v>4900</v>
      </c>
      <c r="O479" t="s">
        <v>4910</v>
      </c>
    </row>
    <row r="480" spans="1:15" x14ac:dyDescent="0.35">
      <c r="A480" t="s">
        <v>490</v>
      </c>
      <c r="B480">
        <v>61</v>
      </c>
      <c r="C480" t="s">
        <v>4803</v>
      </c>
      <c r="D480" t="s">
        <v>13</v>
      </c>
      <c r="E480">
        <v>58</v>
      </c>
      <c r="F480">
        <v>24</v>
      </c>
      <c r="G480" t="s">
        <v>4797</v>
      </c>
      <c r="H480" t="s">
        <v>4806</v>
      </c>
      <c r="I480">
        <v>13.99</v>
      </c>
      <c r="J480">
        <v>2</v>
      </c>
      <c r="K480">
        <v>1.93</v>
      </c>
      <c r="L480">
        <v>0</v>
      </c>
      <c r="M480" t="s">
        <v>4810</v>
      </c>
      <c r="N480" t="s">
        <v>4900</v>
      </c>
      <c r="O480" t="s">
        <v>4911</v>
      </c>
    </row>
    <row r="481" spans="1:15" x14ac:dyDescent="0.35">
      <c r="A481" t="s">
        <v>491</v>
      </c>
      <c r="B481">
        <v>45</v>
      </c>
      <c r="C481" t="s">
        <v>4802</v>
      </c>
      <c r="D481" t="s">
        <v>13</v>
      </c>
      <c r="E481">
        <v>38</v>
      </c>
      <c r="F481">
        <v>50</v>
      </c>
      <c r="G481" t="s">
        <v>4798</v>
      </c>
      <c r="H481" t="s">
        <v>4806</v>
      </c>
      <c r="I481">
        <v>13.99</v>
      </c>
      <c r="J481">
        <v>2</v>
      </c>
      <c r="K481">
        <v>1.27</v>
      </c>
      <c r="L481">
        <v>0</v>
      </c>
      <c r="M481" t="s">
        <v>4810</v>
      </c>
      <c r="N481" t="s">
        <v>4900</v>
      </c>
      <c r="O481" t="s">
        <v>4910</v>
      </c>
    </row>
    <row r="482" spans="1:15" x14ac:dyDescent="0.35">
      <c r="A482" t="s">
        <v>492</v>
      </c>
      <c r="B482">
        <v>32</v>
      </c>
      <c r="C482" t="s">
        <v>4802</v>
      </c>
      <c r="D482" t="s">
        <v>13</v>
      </c>
      <c r="E482">
        <v>71</v>
      </c>
      <c r="F482">
        <v>10</v>
      </c>
      <c r="G482" t="s">
        <v>4798</v>
      </c>
      <c r="H482" t="s">
        <v>4806</v>
      </c>
      <c r="I482">
        <v>13.99</v>
      </c>
      <c r="J482">
        <v>2</v>
      </c>
      <c r="K482">
        <v>2.37</v>
      </c>
      <c r="L482">
        <v>0</v>
      </c>
      <c r="M482" t="s">
        <v>4811</v>
      </c>
      <c r="N482" t="s">
        <v>4900</v>
      </c>
      <c r="O482" t="s">
        <v>4912</v>
      </c>
    </row>
    <row r="483" spans="1:15" x14ac:dyDescent="0.35">
      <c r="A483" t="s">
        <v>493</v>
      </c>
      <c r="B483">
        <v>59</v>
      </c>
      <c r="C483" t="s">
        <v>4802</v>
      </c>
      <c r="D483" t="s">
        <v>13</v>
      </c>
      <c r="E483">
        <v>75</v>
      </c>
      <c r="F483">
        <v>29</v>
      </c>
      <c r="G483" t="s">
        <v>4800</v>
      </c>
      <c r="H483" t="s">
        <v>4804</v>
      </c>
      <c r="I483">
        <v>13.99</v>
      </c>
      <c r="J483">
        <v>3</v>
      </c>
      <c r="K483">
        <v>2.5</v>
      </c>
      <c r="L483">
        <v>0</v>
      </c>
      <c r="M483" t="s">
        <v>4809</v>
      </c>
      <c r="N483" t="s">
        <v>4900</v>
      </c>
      <c r="O483" t="s">
        <v>4911</v>
      </c>
    </row>
    <row r="484" spans="1:15" x14ac:dyDescent="0.35">
      <c r="A484" t="s">
        <v>494</v>
      </c>
      <c r="B484">
        <v>56</v>
      </c>
      <c r="C484" t="s">
        <v>4803</v>
      </c>
      <c r="D484" t="s">
        <v>13</v>
      </c>
      <c r="E484">
        <v>78</v>
      </c>
      <c r="F484">
        <v>20</v>
      </c>
      <c r="G484" t="s">
        <v>4797</v>
      </c>
      <c r="H484" t="s">
        <v>4804</v>
      </c>
      <c r="I484">
        <v>13.99</v>
      </c>
      <c r="J484">
        <v>4</v>
      </c>
      <c r="K484">
        <v>2.6</v>
      </c>
      <c r="L484">
        <v>0</v>
      </c>
      <c r="M484" t="s">
        <v>4809</v>
      </c>
      <c r="N484" t="s">
        <v>4900</v>
      </c>
      <c r="O484" t="s">
        <v>4911</v>
      </c>
    </row>
    <row r="485" spans="1:15" x14ac:dyDescent="0.35">
      <c r="A485" t="s">
        <v>495</v>
      </c>
      <c r="B485">
        <v>38</v>
      </c>
      <c r="C485" t="s">
        <v>4803</v>
      </c>
      <c r="D485" t="s">
        <v>13</v>
      </c>
      <c r="E485">
        <v>34</v>
      </c>
      <c r="F485">
        <v>51</v>
      </c>
      <c r="G485" t="s">
        <v>4798</v>
      </c>
      <c r="H485" t="s">
        <v>4804</v>
      </c>
      <c r="I485">
        <v>13.99</v>
      </c>
      <c r="J485">
        <v>3</v>
      </c>
      <c r="K485">
        <v>1.1299999999999999</v>
      </c>
      <c r="L485">
        <v>0</v>
      </c>
      <c r="M485" t="s">
        <v>4809</v>
      </c>
      <c r="N485" t="s">
        <v>4900</v>
      </c>
      <c r="O485" t="s">
        <v>4910</v>
      </c>
    </row>
    <row r="486" spans="1:15" x14ac:dyDescent="0.35">
      <c r="A486" t="s">
        <v>496</v>
      </c>
      <c r="B486">
        <v>23</v>
      </c>
      <c r="C486" t="s">
        <v>4803</v>
      </c>
      <c r="D486" t="s">
        <v>13</v>
      </c>
      <c r="E486">
        <v>36</v>
      </c>
      <c r="F486">
        <v>21</v>
      </c>
      <c r="G486" t="s">
        <v>4798</v>
      </c>
      <c r="H486" t="s">
        <v>4805</v>
      </c>
      <c r="I486">
        <v>13.99</v>
      </c>
      <c r="J486">
        <v>2</v>
      </c>
      <c r="K486">
        <v>1.2</v>
      </c>
      <c r="L486">
        <v>0</v>
      </c>
      <c r="M486" t="s">
        <v>4809</v>
      </c>
      <c r="N486" t="s">
        <v>4900</v>
      </c>
      <c r="O486" t="s">
        <v>4912</v>
      </c>
    </row>
    <row r="487" spans="1:15" x14ac:dyDescent="0.35">
      <c r="A487" t="s">
        <v>497</v>
      </c>
      <c r="B487">
        <v>23</v>
      </c>
      <c r="C487" t="s">
        <v>4803</v>
      </c>
      <c r="D487" t="s">
        <v>15</v>
      </c>
      <c r="E487">
        <v>98</v>
      </c>
      <c r="F487">
        <v>49</v>
      </c>
      <c r="G487" t="s">
        <v>4798</v>
      </c>
      <c r="H487" t="s">
        <v>4806</v>
      </c>
      <c r="I487">
        <v>17.989999999999998</v>
      </c>
      <c r="J487">
        <v>4</v>
      </c>
      <c r="K487">
        <v>3.27</v>
      </c>
      <c r="L487">
        <v>1</v>
      </c>
      <c r="M487" t="s">
        <v>4808</v>
      </c>
      <c r="N487" t="s">
        <v>4899</v>
      </c>
      <c r="O487" t="s">
        <v>4912</v>
      </c>
    </row>
    <row r="488" spans="1:15" x14ac:dyDescent="0.35">
      <c r="A488" t="s">
        <v>498</v>
      </c>
      <c r="B488">
        <v>46</v>
      </c>
      <c r="C488" t="s">
        <v>4802</v>
      </c>
      <c r="D488" t="s">
        <v>13</v>
      </c>
      <c r="E488">
        <v>61</v>
      </c>
      <c r="F488">
        <v>14</v>
      </c>
      <c r="G488" t="s">
        <v>4797</v>
      </c>
      <c r="H488" t="s">
        <v>4805</v>
      </c>
      <c r="I488">
        <v>13.99</v>
      </c>
      <c r="J488">
        <v>4</v>
      </c>
      <c r="K488">
        <v>2.0299999999999998</v>
      </c>
      <c r="L488">
        <v>0</v>
      </c>
      <c r="M488" t="s">
        <v>4810</v>
      </c>
      <c r="N488" t="s">
        <v>4900</v>
      </c>
      <c r="O488" t="s">
        <v>4910</v>
      </c>
    </row>
    <row r="489" spans="1:15" x14ac:dyDescent="0.35">
      <c r="A489" t="s">
        <v>499</v>
      </c>
      <c r="B489">
        <v>56</v>
      </c>
      <c r="C489" t="s">
        <v>4803</v>
      </c>
      <c r="D489" t="s">
        <v>13</v>
      </c>
      <c r="E489">
        <v>74</v>
      </c>
      <c r="F489">
        <v>42</v>
      </c>
      <c r="G489" t="s">
        <v>4797</v>
      </c>
      <c r="H489" t="s">
        <v>4804</v>
      </c>
      <c r="I489">
        <v>13.99</v>
      </c>
      <c r="J489">
        <v>3</v>
      </c>
      <c r="K489">
        <v>2.4700000000000002</v>
      </c>
      <c r="L489">
        <v>0</v>
      </c>
      <c r="M489" t="s">
        <v>4808</v>
      </c>
      <c r="N489" t="s">
        <v>4900</v>
      </c>
      <c r="O489" t="s">
        <v>4911</v>
      </c>
    </row>
    <row r="490" spans="1:15" x14ac:dyDescent="0.35">
      <c r="A490" t="s">
        <v>500</v>
      </c>
      <c r="B490">
        <v>51</v>
      </c>
      <c r="C490" t="s">
        <v>4803</v>
      </c>
      <c r="D490" t="s">
        <v>13</v>
      </c>
      <c r="E490">
        <v>33</v>
      </c>
      <c r="F490">
        <v>46</v>
      </c>
      <c r="G490" t="s">
        <v>4797</v>
      </c>
      <c r="H490" t="s">
        <v>4804</v>
      </c>
      <c r="I490">
        <v>13.99</v>
      </c>
      <c r="J490">
        <v>3</v>
      </c>
      <c r="K490">
        <v>1.1000000000000001</v>
      </c>
      <c r="L490">
        <v>0</v>
      </c>
      <c r="M490" t="s">
        <v>4809</v>
      </c>
      <c r="N490" t="s">
        <v>4900</v>
      </c>
      <c r="O490" t="s">
        <v>4910</v>
      </c>
    </row>
    <row r="491" spans="1:15" x14ac:dyDescent="0.35">
      <c r="A491" t="s">
        <v>501</v>
      </c>
      <c r="B491">
        <v>62</v>
      </c>
      <c r="C491" t="s">
        <v>4802</v>
      </c>
      <c r="D491" t="s">
        <v>13</v>
      </c>
      <c r="E491">
        <v>31</v>
      </c>
      <c r="F491">
        <v>50</v>
      </c>
      <c r="G491" t="s">
        <v>4797</v>
      </c>
      <c r="H491" t="s">
        <v>4805</v>
      </c>
      <c r="I491">
        <v>13.99</v>
      </c>
      <c r="J491">
        <v>2</v>
      </c>
      <c r="K491">
        <v>1.03</v>
      </c>
      <c r="L491">
        <v>0</v>
      </c>
      <c r="M491" t="s">
        <v>4811</v>
      </c>
      <c r="N491" t="s">
        <v>4900</v>
      </c>
      <c r="O491" t="s">
        <v>4911</v>
      </c>
    </row>
    <row r="492" spans="1:15" x14ac:dyDescent="0.35">
      <c r="A492" t="s">
        <v>502</v>
      </c>
      <c r="B492">
        <v>23</v>
      </c>
      <c r="C492" t="s">
        <v>4803</v>
      </c>
      <c r="D492" t="s">
        <v>15</v>
      </c>
      <c r="E492">
        <v>84</v>
      </c>
      <c r="F492">
        <v>35</v>
      </c>
      <c r="G492" t="s">
        <v>4798</v>
      </c>
      <c r="H492" t="s">
        <v>4805</v>
      </c>
      <c r="I492">
        <v>17.989999999999998</v>
      </c>
      <c r="J492">
        <v>2</v>
      </c>
      <c r="K492">
        <v>2.8</v>
      </c>
      <c r="L492">
        <v>0</v>
      </c>
      <c r="M492" t="s">
        <v>4808</v>
      </c>
      <c r="N492" t="s">
        <v>4900</v>
      </c>
      <c r="O492" t="s">
        <v>4912</v>
      </c>
    </row>
    <row r="493" spans="1:15" x14ac:dyDescent="0.35">
      <c r="A493" t="s">
        <v>503</v>
      </c>
      <c r="B493">
        <v>36</v>
      </c>
      <c r="C493" t="s">
        <v>4803</v>
      </c>
      <c r="D493" t="s">
        <v>13</v>
      </c>
      <c r="E493">
        <v>51</v>
      </c>
      <c r="F493">
        <v>54</v>
      </c>
      <c r="G493" t="s">
        <v>4801</v>
      </c>
      <c r="H493" t="s">
        <v>4806</v>
      </c>
      <c r="I493">
        <v>13.99</v>
      </c>
      <c r="J493">
        <v>1</v>
      </c>
      <c r="K493">
        <v>2.0299999999999998</v>
      </c>
      <c r="L493">
        <v>0</v>
      </c>
      <c r="M493" t="s">
        <v>4811</v>
      </c>
      <c r="N493" t="s">
        <v>4900</v>
      </c>
      <c r="O493" t="s">
        <v>4910</v>
      </c>
    </row>
    <row r="494" spans="1:15" x14ac:dyDescent="0.35">
      <c r="A494" t="s">
        <v>4815</v>
      </c>
      <c r="B494">
        <v>36</v>
      </c>
      <c r="C494" t="s">
        <v>4802</v>
      </c>
      <c r="D494" t="s">
        <v>15</v>
      </c>
      <c r="E494">
        <v>57</v>
      </c>
      <c r="F494">
        <v>18</v>
      </c>
      <c r="G494" t="s">
        <v>4801</v>
      </c>
      <c r="H494" t="s">
        <v>4805</v>
      </c>
      <c r="I494">
        <v>17.989999999999998</v>
      </c>
      <c r="J494">
        <v>3</v>
      </c>
      <c r="K494">
        <v>1.9</v>
      </c>
      <c r="L494">
        <v>0</v>
      </c>
      <c r="M494" t="s">
        <v>4811</v>
      </c>
      <c r="N494" t="s">
        <v>4900</v>
      </c>
      <c r="O494" t="s">
        <v>4910</v>
      </c>
    </row>
    <row r="495" spans="1:15" x14ac:dyDescent="0.35">
      <c r="A495" t="s">
        <v>504</v>
      </c>
      <c r="B495">
        <v>50</v>
      </c>
      <c r="C495" t="s">
        <v>4802</v>
      </c>
      <c r="D495" t="s">
        <v>13</v>
      </c>
      <c r="E495">
        <v>47</v>
      </c>
      <c r="F495">
        <v>26</v>
      </c>
      <c r="G495" t="s">
        <v>4800</v>
      </c>
      <c r="H495" t="s">
        <v>4805</v>
      </c>
      <c r="I495">
        <v>13.99</v>
      </c>
      <c r="J495">
        <v>1</v>
      </c>
      <c r="K495">
        <v>1.57</v>
      </c>
      <c r="L495">
        <v>0</v>
      </c>
      <c r="M495" t="s">
        <v>4812</v>
      </c>
      <c r="N495" t="s">
        <v>4900</v>
      </c>
      <c r="O495" t="s">
        <v>4910</v>
      </c>
    </row>
    <row r="496" spans="1:15" x14ac:dyDescent="0.35">
      <c r="A496" t="s">
        <v>505</v>
      </c>
      <c r="B496">
        <v>45</v>
      </c>
      <c r="C496" t="s">
        <v>4802</v>
      </c>
      <c r="D496" t="s">
        <v>13</v>
      </c>
      <c r="E496">
        <v>63</v>
      </c>
      <c r="F496">
        <v>18</v>
      </c>
      <c r="G496" t="s">
        <v>4798</v>
      </c>
      <c r="H496" t="s">
        <v>4804</v>
      </c>
      <c r="I496">
        <v>13.99</v>
      </c>
      <c r="J496">
        <v>1</v>
      </c>
      <c r="K496">
        <v>2.1</v>
      </c>
      <c r="L496">
        <v>0</v>
      </c>
      <c r="M496" t="s">
        <v>4812</v>
      </c>
      <c r="N496" t="s">
        <v>4900</v>
      </c>
      <c r="O496" t="s">
        <v>4910</v>
      </c>
    </row>
    <row r="497" spans="1:15" x14ac:dyDescent="0.35">
      <c r="A497" t="s">
        <v>506</v>
      </c>
      <c r="B497">
        <v>42</v>
      </c>
      <c r="C497" t="s">
        <v>4803</v>
      </c>
      <c r="D497" t="s">
        <v>13</v>
      </c>
      <c r="E497">
        <v>75</v>
      </c>
      <c r="F497">
        <v>999</v>
      </c>
      <c r="G497" t="s">
        <v>4800</v>
      </c>
      <c r="H497" t="s">
        <v>4805</v>
      </c>
      <c r="I497">
        <v>13.99</v>
      </c>
      <c r="J497">
        <v>1</v>
      </c>
      <c r="K497">
        <v>2.5</v>
      </c>
      <c r="L497">
        <v>0</v>
      </c>
      <c r="M497" t="s">
        <v>4809</v>
      </c>
      <c r="N497" t="s">
        <v>4900</v>
      </c>
      <c r="O497" t="s">
        <v>4910</v>
      </c>
    </row>
    <row r="498" spans="1:15" x14ac:dyDescent="0.35">
      <c r="A498" t="s">
        <v>507</v>
      </c>
      <c r="B498">
        <v>49</v>
      </c>
      <c r="C498" t="s">
        <v>4803</v>
      </c>
      <c r="D498" t="s">
        <v>13</v>
      </c>
      <c r="E498">
        <v>70</v>
      </c>
      <c r="F498">
        <v>21</v>
      </c>
      <c r="G498" t="s">
        <v>4797</v>
      </c>
      <c r="H498" t="s">
        <v>4805</v>
      </c>
      <c r="I498">
        <v>13.99</v>
      </c>
      <c r="J498">
        <v>1</v>
      </c>
      <c r="K498">
        <v>2.33</v>
      </c>
      <c r="L498">
        <v>1</v>
      </c>
      <c r="M498" t="s">
        <v>4809</v>
      </c>
      <c r="N498" t="s">
        <v>4899</v>
      </c>
      <c r="O498" t="s">
        <v>4910</v>
      </c>
    </row>
    <row r="499" spans="1:15" x14ac:dyDescent="0.35">
      <c r="A499" t="s">
        <v>508</v>
      </c>
      <c r="B499">
        <v>44</v>
      </c>
      <c r="C499" t="s">
        <v>4802</v>
      </c>
      <c r="D499" t="s">
        <v>15</v>
      </c>
      <c r="E499">
        <v>90</v>
      </c>
      <c r="F499">
        <v>5</v>
      </c>
      <c r="G499" t="s">
        <v>4799</v>
      </c>
      <c r="H499" t="s">
        <v>4805</v>
      </c>
      <c r="I499">
        <v>17.989999999999998</v>
      </c>
      <c r="J499">
        <v>5</v>
      </c>
      <c r="K499">
        <v>3</v>
      </c>
      <c r="L499">
        <v>0</v>
      </c>
      <c r="M499" t="s">
        <v>4810</v>
      </c>
      <c r="N499" t="s">
        <v>4900</v>
      </c>
      <c r="O499" t="s">
        <v>4910</v>
      </c>
    </row>
    <row r="500" spans="1:15" x14ac:dyDescent="0.35">
      <c r="A500" t="s">
        <v>509</v>
      </c>
      <c r="B500">
        <v>57</v>
      </c>
      <c r="C500" t="s">
        <v>4802</v>
      </c>
      <c r="D500" t="s">
        <v>13</v>
      </c>
      <c r="E500">
        <v>43</v>
      </c>
      <c r="F500">
        <v>53</v>
      </c>
      <c r="G500" t="s">
        <v>4798</v>
      </c>
      <c r="H500" t="s">
        <v>4804</v>
      </c>
      <c r="I500">
        <v>13.99</v>
      </c>
      <c r="J500">
        <v>4</v>
      </c>
      <c r="K500">
        <v>1.43</v>
      </c>
      <c r="L500">
        <v>0</v>
      </c>
      <c r="M500" t="s">
        <v>4812</v>
      </c>
      <c r="N500" t="s">
        <v>4900</v>
      </c>
      <c r="O500" t="s">
        <v>4911</v>
      </c>
    </row>
    <row r="501" spans="1:15" x14ac:dyDescent="0.35">
      <c r="A501" t="s">
        <v>510</v>
      </c>
      <c r="B501">
        <v>62</v>
      </c>
      <c r="C501" t="s">
        <v>4803</v>
      </c>
      <c r="D501" t="s">
        <v>15</v>
      </c>
      <c r="E501">
        <v>69</v>
      </c>
      <c r="F501">
        <v>9</v>
      </c>
      <c r="G501" t="s">
        <v>4798</v>
      </c>
      <c r="H501" t="s">
        <v>4805</v>
      </c>
      <c r="I501">
        <v>17.989999999999998</v>
      </c>
      <c r="J501">
        <v>3</v>
      </c>
      <c r="K501">
        <v>2.2999999999999998</v>
      </c>
      <c r="L501">
        <v>0</v>
      </c>
      <c r="M501" t="s">
        <v>4811</v>
      </c>
      <c r="N501" t="s">
        <v>4900</v>
      </c>
      <c r="O501" t="s">
        <v>4911</v>
      </c>
    </row>
    <row r="502" spans="1:15" x14ac:dyDescent="0.35">
      <c r="A502" t="s">
        <v>511</v>
      </c>
      <c r="B502">
        <v>59</v>
      </c>
      <c r="C502" t="s">
        <v>4803</v>
      </c>
      <c r="D502" t="s">
        <v>13</v>
      </c>
      <c r="E502">
        <v>38</v>
      </c>
      <c r="F502">
        <v>2</v>
      </c>
      <c r="G502" t="s">
        <v>4798</v>
      </c>
      <c r="H502" t="s">
        <v>4805</v>
      </c>
      <c r="I502">
        <v>13.99</v>
      </c>
      <c r="J502">
        <v>3</v>
      </c>
      <c r="K502">
        <v>1.27</v>
      </c>
      <c r="L502">
        <v>0</v>
      </c>
      <c r="M502" t="s">
        <v>4808</v>
      </c>
      <c r="N502" t="s">
        <v>4900</v>
      </c>
      <c r="O502" t="s">
        <v>4911</v>
      </c>
    </row>
    <row r="503" spans="1:15" x14ac:dyDescent="0.35">
      <c r="A503" t="s">
        <v>512</v>
      </c>
      <c r="B503">
        <v>65</v>
      </c>
      <c r="C503" t="s">
        <v>4802</v>
      </c>
      <c r="D503" t="s">
        <v>13</v>
      </c>
      <c r="E503">
        <v>53</v>
      </c>
      <c r="F503">
        <v>45</v>
      </c>
      <c r="G503" t="s">
        <v>4797</v>
      </c>
      <c r="H503" t="s">
        <v>4806</v>
      </c>
      <c r="I503">
        <v>13.99</v>
      </c>
      <c r="J503">
        <v>3</v>
      </c>
      <c r="K503">
        <v>1.77</v>
      </c>
      <c r="L503">
        <v>1</v>
      </c>
      <c r="M503" t="s">
        <v>4810</v>
      </c>
      <c r="N503" t="s">
        <v>4899</v>
      </c>
      <c r="O503" t="s">
        <v>4911</v>
      </c>
    </row>
    <row r="504" spans="1:15" x14ac:dyDescent="0.35">
      <c r="A504" t="s">
        <v>513</v>
      </c>
      <c r="B504">
        <v>28</v>
      </c>
      <c r="C504" t="s">
        <v>4802</v>
      </c>
      <c r="D504" t="s">
        <v>13</v>
      </c>
      <c r="E504">
        <v>80</v>
      </c>
      <c r="F504">
        <v>37</v>
      </c>
      <c r="G504" t="s">
        <v>4798</v>
      </c>
      <c r="H504" t="s">
        <v>4806</v>
      </c>
      <c r="I504">
        <v>13.99</v>
      </c>
      <c r="J504">
        <v>2</v>
      </c>
      <c r="K504">
        <v>2.67</v>
      </c>
      <c r="L504">
        <v>0</v>
      </c>
      <c r="M504" t="s">
        <v>4812</v>
      </c>
      <c r="N504" t="s">
        <v>4900</v>
      </c>
      <c r="O504" t="s">
        <v>4912</v>
      </c>
    </row>
    <row r="505" spans="1:15" x14ac:dyDescent="0.35">
      <c r="A505" t="s">
        <v>514</v>
      </c>
      <c r="B505">
        <v>65</v>
      </c>
      <c r="C505" t="s">
        <v>4803</v>
      </c>
      <c r="D505" t="s">
        <v>13</v>
      </c>
      <c r="E505">
        <v>64</v>
      </c>
      <c r="F505">
        <v>53</v>
      </c>
      <c r="G505" t="s">
        <v>4798</v>
      </c>
      <c r="H505" t="s">
        <v>4805</v>
      </c>
      <c r="I505">
        <v>13.99</v>
      </c>
      <c r="J505">
        <v>2</v>
      </c>
      <c r="K505">
        <v>2.13</v>
      </c>
      <c r="L505">
        <v>0</v>
      </c>
      <c r="M505" t="s">
        <v>4811</v>
      </c>
      <c r="N505" t="s">
        <v>4900</v>
      </c>
      <c r="O505" t="s">
        <v>4911</v>
      </c>
    </row>
    <row r="506" spans="1:15" x14ac:dyDescent="0.35">
      <c r="A506" t="s">
        <v>515</v>
      </c>
      <c r="B506">
        <v>33</v>
      </c>
      <c r="C506" t="s">
        <v>4802</v>
      </c>
      <c r="D506" t="s">
        <v>13</v>
      </c>
      <c r="E506">
        <v>38</v>
      </c>
      <c r="F506">
        <v>14</v>
      </c>
      <c r="G506" t="s">
        <v>4799</v>
      </c>
      <c r="H506" t="s">
        <v>4804</v>
      </c>
      <c r="I506">
        <v>13.99</v>
      </c>
      <c r="J506">
        <v>2</v>
      </c>
      <c r="K506">
        <v>1.27</v>
      </c>
      <c r="L506">
        <v>0</v>
      </c>
      <c r="M506" t="s">
        <v>4810</v>
      </c>
      <c r="N506" t="s">
        <v>4900</v>
      </c>
      <c r="O506" t="s">
        <v>4912</v>
      </c>
    </row>
    <row r="507" spans="1:15" x14ac:dyDescent="0.35">
      <c r="A507" t="s">
        <v>516</v>
      </c>
      <c r="B507">
        <v>42</v>
      </c>
      <c r="C507" t="s">
        <v>4802</v>
      </c>
      <c r="D507" t="s">
        <v>13</v>
      </c>
      <c r="E507">
        <v>78</v>
      </c>
      <c r="F507">
        <v>35</v>
      </c>
      <c r="G507" t="s">
        <v>4799</v>
      </c>
      <c r="H507" t="s">
        <v>4806</v>
      </c>
      <c r="I507">
        <v>13.99</v>
      </c>
      <c r="J507">
        <v>2</v>
      </c>
      <c r="K507">
        <v>2.6</v>
      </c>
      <c r="L507">
        <v>0</v>
      </c>
      <c r="M507" t="s">
        <v>4810</v>
      </c>
      <c r="N507" t="s">
        <v>4900</v>
      </c>
      <c r="O507" t="s">
        <v>4910</v>
      </c>
    </row>
    <row r="508" spans="1:15" x14ac:dyDescent="0.35">
      <c r="A508" t="s">
        <v>517</v>
      </c>
      <c r="B508">
        <v>42</v>
      </c>
      <c r="C508" t="s">
        <v>4803</v>
      </c>
      <c r="D508" t="s">
        <v>15</v>
      </c>
      <c r="E508">
        <v>104</v>
      </c>
      <c r="F508">
        <v>46</v>
      </c>
      <c r="G508" t="s">
        <v>4797</v>
      </c>
      <c r="H508" t="s">
        <v>4804</v>
      </c>
      <c r="I508">
        <v>17.989999999999998</v>
      </c>
      <c r="J508">
        <v>4</v>
      </c>
      <c r="K508">
        <v>3.47</v>
      </c>
      <c r="L508">
        <v>0</v>
      </c>
      <c r="M508" t="s">
        <v>4812</v>
      </c>
      <c r="N508" t="s">
        <v>4900</v>
      </c>
      <c r="O508" t="s">
        <v>4910</v>
      </c>
    </row>
    <row r="509" spans="1:15" x14ac:dyDescent="0.35">
      <c r="A509" t="s">
        <v>518</v>
      </c>
      <c r="B509">
        <v>38</v>
      </c>
      <c r="C509" t="s">
        <v>4802</v>
      </c>
      <c r="D509" t="s">
        <v>13</v>
      </c>
      <c r="E509">
        <v>57</v>
      </c>
      <c r="F509">
        <v>20</v>
      </c>
      <c r="G509" t="s">
        <v>4797</v>
      </c>
      <c r="H509" t="s">
        <v>4805</v>
      </c>
      <c r="I509">
        <v>13.99</v>
      </c>
      <c r="J509">
        <v>4</v>
      </c>
      <c r="K509">
        <v>1.9</v>
      </c>
      <c r="L509">
        <v>0</v>
      </c>
      <c r="M509" t="s">
        <v>4808</v>
      </c>
      <c r="N509" t="s">
        <v>4900</v>
      </c>
      <c r="O509" t="s">
        <v>4910</v>
      </c>
    </row>
    <row r="510" spans="1:15" x14ac:dyDescent="0.35">
      <c r="A510" t="s">
        <v>519</v>
      </c>
      <c r="B510">
        <v>18</v>
      </c>
      <c r="C510" t="s">
        <v>4802</v>
      </c>
      <c r="D510" t="s">
        <v>13</v>
      </c>
      <c r="E510">
        <v>80</v>
      </c>
      <c r="F510">
        <v>40</v>
      </c>
      <c r="G510" t="s">
        <v>4798</v>
      </c>
      <c r="H510" t="s">
        <v>4805</v>
      </c>
      <c r="I510">
        <v>13.99</v>
      </c>
      <c r="J510">
        <v>3</v>
      </c>
      <c r="K510">
        <v>2.67</v>
      </c>
      <c r="L510">
        <v>0</v>
      </c>
      <c r="M510" t="s">
        <v>4808</v>
      </c>
      <c r="N510" t="s">
        <v>4900</v>
      </c>
      <c r="O510" t="s">
        <v>4912</v>
      </c>
    </row>
    <row r="511" spans="1:15" x14ac:dyDescent="0.35">
      <c r="A511" t="s">
        <v>520</v>
      </c>
      <c r="B511">
        <v>52</v>
      </c>
      <c r="C511" t="s">
        <v>4802</v>
      </c>
      <c r="D511" t="s">
        <v>13</v>
      </c>
      <c r="E511">
        <v>39</v>
      </c>
      <c r="F511">
        <v>37</v>
      </c>
      <c r="G511" t="s">
        <v>4798</v>
      </c>
      <c r="H511" t="s">
        <v>4804</v>
      </c>
      <c r="I511">
        <v>13.99</v>
      </c>
      <c r="J511">
        <v>3</v>
      </c>
      <c r="K511">
        <v>2.0299999999999998</v>
      </c>
      <c r="L511">
        <v>0</v>
      </c>
      <c r="M511" t="s">
        <v>4812</v>
      </c>
      <c r="N511" t="s">
        <v>4900</v>
      </c>
      <c r="O511" t="s">
        <v>4910</v>
      </c>
    </row>
    <row r="512" spans="1:15" x14ac:dyDescent="0.35">
      <c r="A512" t="s">
        <v>521</v>
      </c>
      <c r="B512">
        <v>36</v>
      </c>
      <c r="C512" t="s">
        <v>4802</v>
      </c>
      <c r="D512" t="s">
        <v>13</v>
      </c>
      <c r="E512">
        <v>77</v>
      </c>
      <c r="F512">
        <v>7</v>
      </c>
      <c r="G512" t="s">
        <v>4799</v>
      </c>
      <c r="H512" t="s">
        <v>4805</v>
      </c>
      <c r="I512">
        <v>13.99</v>
      </c>
      <c r="J512">
        <v>2</v>
      </c>
      <c r="K512">
        <v>2.57</v>
      </c>
      <c r="L512">
        <v>0</v>
      </c>
      <c r="M512" t="s">
        <v>4808</v>
      </c>
      <c r="N512" t="s">
        <v>4900</v>
      </c>
      <c r="O512" t="s">
        <v>4910</v>
      </c>
    </row>
    <row r="513" spans="1:15" x14ac:dyDescent="0.35">
      <c r="A513" t="s">
        <v>522</v>
      </c>
      <c r="B513">
        <v>42</v>
      </c>
      <c r="C513" t="s">
        <v>4803</v>
      </c>
      <c r="D513" t="s">
        <v>13</v>
      </c>
      <c r="E513">
        <v>69</v>
      </c>
      <c r="F513">
        <v>48</v>
      </c>
      <c r="G513" t="s">
        <v>4798</v>
      </c>
      <c r="H513" t="s">
        <v>4805</v>
      </c>
      <c r="I513">
        <v>13.99</v>
      </c>
      <c r="J513">
        <v>4</v>
      </c>
      <c r="K513">
        <v>2.2999999999999998</v>
      </c>
      <c r="L513">
        <v>0</v>
      </c>
      <c r="M513" t="s">
        <v>4810</v>
      </c>
      <c r="N513" t="s">
        <v>4900</v>
      </c>
      <c r="O513" t="s">
        <v>4910</v>
      </c>
    </row>
    <row r="514" spans="1:15" x14ac:dyDescent="0.35">
      <c r="A514" t="s">
        <v>523</v>
      </c>
      <c r="B514">
        <v>29</v>
      </c>
      <c r="C514" t="s">
        <v>4803</v>
      </c>
      <c r="D514" t="s">
        <v>13</v>
      </c>
      <c r="E514">
        <v>69</v>
      </c>
      <c r="F514">
        <v>4</v>
      </c>
      <c r="G514" t="s">
        <v>4800</v>
      </c>
      <c r="H514" t="s">
        <v>4805</v>
      </c>
      <c r="I514">
        <v>13.99</v>
      </c>
      <c r="J514">
        <v>4</v>
      </c>
      <c r="K514">
        <v>2.2999999999999998</v>
      </c>
      <c r="L514">
        <v>0</v>
      </c>
      <c r="M514" t="s">
        <v>4809</v>
      </c>
      <c r="N514" t="s">
        <v>4900</v>
      </c>
      <c r="O514" t="s">
        <v>4912</v>
      </c>
    </row>
    <row r="515" spans="1:15" x14ac:dyDescent="0.35">
      <c r="A515" t="s">
        <v>524</v>
      </c>
      <c r="B515">
        <v>27</v>
      </c>
      <c r="C515" t="s">
        <v>4802</v>
      </c>
      <c r="D515" t="s">
        <v>13</v>
      </c>
      <c r="E515">
        <v>42</v>
      </c>
      <c r="F515">
        <v>31</v>
      </c>
      <c r="G515" t="s">
        <v>4798</v>
      </c>
      <c r="H515" t="s">
        <v>4806</v>
      </c>
      <c r="I515">
        <v>13.99</v>
      </c>
      <c r="J515">
        <v>4</v>
      </c>
      <c r="K515">
        <v>1.4</v>
      </c>
      <c r="L515">
        <v>0</v>
      </c>
      <c r="M515" t="s">
        <v>4811</v>
      </c>
      <c r="N515" t="s">
        <v>4900</v>
      </c>
      <c r="O515" t="s">
        <v>4912</v>
      </c>
    </row>
    <row r="516" spans="1:15" x14ac:dyDescent="0.35">
      <c r="A516" t="s">
        <v>525</v>
      </c>
      <c r="B516">
        <v>37</v>
      </c>
      <c r="C516" t="s">
        <v>4803</v>
      </c>
      <c r="D516" t="s">
        <v>15</v>
      </c>
      <c r="E516">
        <v>116</v>
      </c>
      <c r="F516">
        <v>5</v>
      </c>
      <c r="G516" t="s">
        <v>4797</v>
      </c>
      <c r="H516" t="s">
        <v>4805</v>
      </c>
      <c r="I516">
        <v>17.989999999999998</v>
      </c>
      <c r="J516">
        <v>3</v>
      </c>
      <c r="K516">
        <v>3.87</v>
      </c>
      <c r="L516">
        <v>0</v>
      </c>
      <c r="M516" t="s">
        <v>4811</v>
      </c>
      <c r="N516" t="s">
        <v>4900</v>
      </c>
      <c r="O516" t="s">
        <v>4910</v>
      </c>
    </row>
    <row r="517" spans="1:15" x14ac:dyDescent="0.35">
      <c r="A517" t="s">
        <v>526</v>
      </c>
      <c r="B517">
        <v>42</v>
      </c>
      <c r="C517" t="s">
        <v>4803</v>
      </c>
      <c r="D517" t="s">
        <v>13</v>
      </c>
      <c r="E517">
        <v>47</v>
      </c>
      <c r="F517">
        <v>1</v>
      </c>
      <c r="G517" t="s">
        <v>4798</v>
      </c>
      <c r="H517" t="s">
        <v>4804</v>
      </c>
      <c r="I517">
        <v>13.99</v>
      </c>
      <c r="J517">
        <v>3</v>
      </c>
      <c r="K517">
        <v>1.57</v>
      </c>
      <c r="L517">
        <v>0</v>
      </c>
      <c r="M517" t="s">
        <v>4808</v>
      </c>
      <c r="N517" t="s">
        <v>4900</v>
      </c>
      <c r="O517" t="s">
        <v>4910</v>
      </c>
    </row>
    <row r="518" spans="1:15" x14ac:dyDescent="0.35">
      <c r="A518" t="s">
        <v>527</v>
      </c>
      <c r="B518">
        <v>43</v>
      </c>
      <c r="C518" t="s">
        <v>4802</v>
      </c>
      <c r="D518" t="s">
        <v>13</v>
      </c>
      <c r="E518">
        <v>61</v>
      </c>
      <c r="F518">
        <v>14</v>
      </c>
      <c r="G518" t="s">
        <v>4798</v>
      </c>
      <c r="H518" t="s">
        <v>4804</v>
      </c>
      <c r="I518">
        <v>13.99</v>
      </c>
      <c r="J518">
        <v>2</v>
      </c>
      <c r="K518">
        <v>2.0299999999999998</v>
      </c>
      <c r="L518">
        <v>0</v>
      </c>
      <c r="M518" t="s">
        <v>4810</v>
      </c>
      <c r="N518" t="s">
        <v>4900</v>
      </c>
      <c r="O518" t="s">
        <v>4910</v>
      </c>
    </row>
    <row r="519" spans="1:15" x14ac:dyDescent="0.35">
      <c r="A519" t="s">
        <v>528</v>
      </c>
      <c r="B519">
        <v>25</v>
      </c>
      <c r="C519" t="s">
        <v>4803</v>
      </c>
      <c r="D519" t="s">
        <v>13</v>
      </c>
      <c r="E519">
        <v>35</v>
      </c>
      <c r="F519">
        <v>20</v>
      </c>
      <c r="G519" t="s">
        <v>4798</v>
      </c>
      <c r="H519" t="s">
        <v>4807</v>
      </c>
      <c r="I519">
        <v>13.99</v>
      </c>
      <c r="J519">
        <v>1</v>
      </c>
      <c r="K519">
        <v>1.17</v>
      </c>
      <c r="L519">
        <v>0</v>
      </c>
      <c r="M519" t="s">
        <v>4808</v>
      </c>
      <c r="N519" t="s">
        <v>4900</v>
      </c>
      <c r="O519" t="s">
        <v>4912</v>
      </c>
    </row>
    <row r="520" spans="1:15" x14ac:dyDescent="0.35">
      <c r="A520" t="s">
        <v>529</v>
      </c>
      <c r="B520">
        <v>36</v>
      </c>
      <c r="C520" t="s">
        <v>4803</v>
      </c>
      <c r="D520" t="s">
        <v>15</v>
      </c>
      <c r="E520">
        <v>91</v>
      </c>
      <c r="F520">
        <v>0</v>
      </c>
      <c r="G520" t="s">
        <v>4798</v>
      </c>
      <c r="H520" t="s">
        <v>4806</v>
      </c>
      <c r="I520">
        <v>17.989999999999998</v>
      </c>
      <c r="J520">
        <v>3</v>
      </c>
      <c r="K520">
        <v>2.0299999999999998</v>
      </c>
      <c r="L520">
        <v>0</v>
      </c>
      <c r="M520" t="s">
        <v>4811</v>
      </c>
      <c r="N520" t="s">
        <v>4900</v>
      </c>
      <c r="O520" t="s">
        <v>4910</v>
      </c>
    </row>
    <row r="521" spans="1:15" x14ac:dyDescent="0.35">
      <c r="A521" t="s">
        <v>530</v>
      </c>
      <c r="B521">
        <v>64</v>
      </c>
      <c r="C521" t="s">
        <v>4802</v>
      </c>
      <c r="D521" t="s">
        <v>15</v>
      </c>
      <c r="E521">
        <v>70</v>
      </c>
      <c r="F521">
        <v>27</v>
      </c>
      <c r="G521" t="s">
        <v>4797</v>
      </c>
      <c r="H521" t="s">
        <v>4804</v>
      </c>
      <c r="I521">
        <v>17.989999999999998</v>
      </c>
      <c r="J521">
        <v>4</v>
      </c>
      <c r="K521">
        <v>2.33</v>
      </c>
      <c r="L521">
        <v>0</v>
      </c>
      <c r="M521" t="s">
        <v>4808</v>
      </c>
      <c r="N521" t="s">
        <v>4900</v>
      </c>
      <c r="O521" t="s">
        <v>4911</v>
      </c>
    </row>
    <row r="522" spans="1:15" x14ac:dyDescent="0.35">
      <c r="A522" t="s">
        <v>531</v>
      </c>
      <c r="B522">
        <v>43</v>
      </c>
      <c r="C522" t="s">
        <v>4802</v>
      </c>
      <c r="D522" t="s">
        <v>15</v>
      </c>
      <c r="E522">
        <v>73</v>
      </c>
      <c r="F522">
        <v>8</v>
      </c>
      <c r="G522" t="s">
        <v>4799</v>
      </c>
      <c r="H522" t="s">
        <v>4805</v>
      </c>
      <c r="I522">
        <v>17.989999999999998</v>
      </c>
      <c r="J522">
        <v>2</v>
      </c>
      <c r="K522">
        <v>2.4300000000000002</v>
      </c>
      <c r="L522">
        <v>0</v>
      </c>
      <c r="M522" t="s">
        <v>4812</v>
      </c>
      <c r="N522" t="s">
        <v>4900</v>
      </c>
      <c r="O522" t="s">
        <v>4910</v>
      </c>
    </row>
    <row r="523" spans="1:15" x14ac:dyDescent="0.35">
      <c r="A523" t="s">
        <v>532</v>
      </c>
      <c r="B523">
        <v>52</v>
      </c>
      <c r="C523" t="s">
        <v>4803</v>
      </c>
      <c r="D523" t="s">
        <v>15</v>
      </c>
      <c r="E523">
        <v>77</v>
      </c>
      <c r="F523">
        <v>59</v>
      </c>
      <c r="G523" t="s">
        <v>4799</v>
      </c>
      <c r="H523" t="s">
        <v>4806</v>
      </c>
      <c r="I523">
        <v>17.989999999999998</v>
      </c>
      <c r="J523">
        <v>4</v>
      </c>
      <c r="K523">
        <v>2.57</v>
      </c>
      <c r="L523">
        <v>0</v>
      </c>
      <c r="M523" t="s">
        <v>4810</v>
      </c>
      <c r="N523" t="s">
        <v>4900</v>
      </c>
      <c r="O523" t="s">
        <v>4910</v>
      </c>
    </row>
    <row r="524" spans="1:15" x14ac:dyDescent="0.35">
      <c r="A524" t="s">
        <v>533</v>
      </c>
      <c r="B524">
        <v>48</v>
      </c>
      <c r="C524" t="s">
        <v>4803</v>
      </c>
      <c r="D524" t="s">
        <v>14</v>
      </c>
      <c r="E524">
        <v>34</v>
      </c>
      <c r="F524">
        <v>42</v>
      </c>
      <c r="G524" t="s">
        <v>4799</v>
      </c>
      <c r="H524" t="s">
        <v>4806</v>
      </c>
      <c r="I524">
        <v>8.99</v>
      </c>
      <c r="J524">
        <v>2</v>
      </c>
      <c r="K524">
        <v>1.1299999999999999</v>
      </c>
      <c r="L524">
        <v>0</v>
      </c>
      <c r="M524" t="s">
        <v>4808</v>
      </c>
      <c r="N524" t="s">
        <v>4900</v>
      </c>
      <c r="O524" t="s">
        <v>4910</v>
      </c>
    </row>
    <row r="525" spans="1:15" x14ac:dyDescent="0.35">
      <c r="A525" t="s">
        <v>534</v>
      </c>
      <c r="B525">
        <v>37</v>
      </c>
      <c r="C525" t="s">
        <v>4802</v>
      </c>
      <c r="D525" t="s">
        <v>13</v>
      </c>
      <c r="E525">
        <v>30</v>
      </c>
      <c r="F525">
        <v>45</v>
      </c>
      <c r="G525" t="s">
        <v>4798</v>
      </c>
      <c r="H525" t="s">
        <v>4804</v>
      </c>
      <c r="I525">
        <v>13.99</v>
      </c>
      <c r="J525">
        <v>2</v>
      </c>
      <c r="K525">
        <v>1</v>
      </c>
      <c r="L525">
        <v>0</v>
      </c>
      <c r="M525" t="s">
        <v>4808</v>
      </c>
      <c r="N525" t="s">
        <v>4900</v>
      </c>
      <c r="O525" t="s">
        <v>4910</v>
      </c>
    </row>
    <row r="526" spans="1:15" x14ac:dyDescent="0.35">
      <c r="A526" t="s">
        <v>535</v>
      </c>
      <c r="B526">
        <v>60</v>
      </c>
      <c r="C526" t="s">
        <v>4802</v>
      </c>
      <c r="D526" t="s">
        <v>13</v>
      </c>
      <c r="E526">
        <v>36</v>
      </c>
      <c r="F526">
        <v>4</v>
      </c>
      <c r="G526" t="s">
        <v>4798</v>
      </c>
      <c r="H526" t="s">
        <v>4804</v>
      </c>
      <c r="I526">
        <v>13.99</v>
      </c>
      <c r="J526">
        <v>2</v>
      </c>
      <c r="K526">
        <v>1.2</v>
      </c>
      <c r="L526">
        <v>0</v>
      </c>
      <c r="M526" t="s">
        <v>4808</v>
      </c>
      <c r="N526" t="s">
        <v>4900</v>
      </c>
      <c r="O526" t="s">
        <v>4911</v>
      </c>
    </row>
    <row r="527" spans="1:15" x14ac:dyDescent="0.35">
      <c r="A527" t="s">
        <v>536</v>
      </c>
      <c r="B527">
        <v>21</v>
      </c>
      <c r="C527" t="s">
        <v>4802</v>
      </c>
      <c r="D527" t="s">
        <v>13</v>
      </c>
      <c r="E527">
        <v>43</v>
      </c>
      <c r="F527">
        <v>999</v>
      </c>
      <c r="G527" t="s">
        <v>4798</v>
      </c>
      <c r="H527" t="s">
        <v>4804</v>
      </c>
      <c r="I527">
        <v>13.99</v>
      </c>
      <c r="J527">
        <v>1</v>
      </c>
      <c r="K527">
        <v>1.43</v>
      </c>
      <c r="L527">
        <v>0</v>
      </c>
      <c r="M527" t="s">
        <v>4810</v>
      </c>
      <c r="N527" t="s">
        <v>4900</v>
      </c>
      <c r="O527" t="s">
        <v>4912</v>
      </c>
    </row>
    <row r="528" spans="1:15" x14ac:dyDescent="0.35">
      <c r="A528" t="s">
        <v>537</v>
      </c>
      <c r="B528">
        <v>59</v>
      </c>
      <c r="C528" t="s">
        <v>4803</v>
      </c>
      <c r="D528" t="s">
        <v>15</v>
      </c>
      <c r="E528">
        <v>102</v>
      </c>
      <c r="F528">
        <v>48</v>
      </c>
      <c r="G528" t="s">
        <v>4799</v>
      </c>
      <c r="H528" t="s">
        <v>4806</v>
      </c>
      <c r="I528">
        <v>17.989999999999998</v>
      </c>
      <c r="J528">
        <v>2</v>
      </c>
      <c r="K528">
        <v>5</v>
      </c>
      <c r="L528">
        <v>0</v>
      </c>
      <c r="M528" t="s">
        <v>4809</v>
      </c>
      <c r="N528" t="s">
        <v>4900</v>
      </c>
      <c r="O528" t="s">
        <v>4911</v>
      </c>
    </row>
    <row r="529" spans="1:15" x14ac:dyDescent="0.35">
      <c r="A529" t="s">
        <v>538</v>
      </c>
      <c r="B529">
        <v>62</v>
      </c>
      <c r="C529" t="s">
        <v>4802</v>
      </c>
      <c r="D529" t="s">
        <v>15</v>
      </c>
      <c r="E529">
        <v>83</v>
      </c>
      <c r="F529">
        <v>27</v>
      </c>
      <c r="G529" t="s">
        <v>4798</v>
      </c>
      <c r="H529" t="s">
        <v>4804</v>
      </c>
      <c r="I529">
        <v>17.989999999999998</v>
      </c>
      <c r="J529">
        <v>3</v>
      </c>
      <c r="K529">
        <v>2.77</v>
      </c>
      <c r="L529">
        <v>1</v>
      </c>
      <c r="M529" t="s">
        <v>4809</v>
      </c>
      <c r="N529" t="s">
        <v>4899</v>
      </c>
      <c r="O529" t="s">
        <v>4911</v>
      </c>
    </row>
    <row r="530" spans="1:15" x14ac:dyDescent="0.35">
      <c r="A530" t="s">
        <v>539</v>
      </c>
      <c r="B530">
        <v>23</v>
      </c>
      <c r="C530" t="s">
        <v>4803</v>
      </c>
      <c r="D530" t="s">
        <v>13</v>
      </c>
      <c r="E530">
        <v>49</v>
      </c>
      <c r="F530">
        <v>5</v>
      </c>
      <c r="G530" t="s">
        <v>4799</v>
      </c>
      <c r="H530" t="s">
        <v>4805</v>
      </c>
      <c r="I530">
        <v>13.99</v>
      </c>
      <c r="J530">
        <v>2</v>
      </c>
      <c r="K530">
        <v>1.63</v>
      </c>
      <c r="L530">
        <v>0</v>
      </c>
      <c r="M530" t="s">
        <v>4809</v>
      </c>
      <c r="N530" t="s">
        <v>4900</v>
      </c>
      <c r="O530" t="s">
        <v>4912</v>
      </c>
    </row>
    <row r="531" spans="1:15" x14ac:dyDescent="0.35">
      <c r="A531" t="s">
        <v>540</v>
      </c>
      <c r="B531">
        <v>50</v>
      </c>
      <c r="C531" t="s">
        <v>4803</v>
      </c>
      <c r="D531" t="s">
        <v>13</v>
      </c>
      <c r="E531">
        <v>72</v>
      </c>
      <c r="F531">
        <v>58</v>
      </c>
      <c r="G531" t="s">
        <v>4797</v>
      </c>
      <c r="H531" t="s">
        <v>4806</v>
      </c>
      <c r="I531">
        <v>13.99</v>
      </c>
      <c r="J531">
        <v>2</v>
      </c>
      <c r="K531">
        <v>2.4</v>
      </c>
      <c r="L531">
        <v>0</v>
      </c>
      <c r="M531" t="s">
        <v>4811</v>
      </c>
      <c r="N531" t="s">
        <v>4900</v>
      </c>
      <c r="O531" t="s">
        <v>4910</v>
      </c>
    </row>
    <row r="532" spans="1:15" x14ac:dyDescent="0.35">
      <c r="A532" t="s">
        <v>541</v>
      </c>
      <c r="B532">
        <v>19</v>
      </c>
      <c r="C532" t="s">
        <v>4803</v>
      </c>
      <c r="D532" t="s">
        <v>13</v>
      </c>
      <c r="E532">
        <v>49</v>
      </c>
      <c r="F532">
        <v>18</v>
      </c>
      <c r="G532" t="s">
        <v>4797</v>
      </c>
      <c r="H532" t="s">
        <v>4805</v>
      </c>
      <c r="I532">
        <v>13.99</v>
      </c>
      <c r="J532">
        <v>3</v>
      </c>
      <c r="K532">
        <v>5</v>
      </c>
      <c r="L532">
        <v>0</v>
      </c>
      <c r="M532" t="s">
        <v>4810</v>
      </c>
      <c r="N532" t="s">
        <v>4900</v>
      </c>
      <c r="O532" t="s">
        <v>4912</v>
      </c>
    </row>
    <row r="533" spans="1:15" x14ac:dyDescent="0.35">
      <c r="A533" t="s">
        <v>542</v>
      </c>
      <c r="B533">
        <v>40</v>
      </c>
      <c r="C533" t="s">
        <v>4802</v>
      </c>
      <c r="D533" t="s">
        <v>13</v>
      </c>
      <c r="E533">
        <v>79</v>
      </c>
      <c r="F533">
        <v>53</v>
      </c>
      <c r="G533" t="s">
        <v>4797</v>
      </c>
      <c r="H533" t="s">
        <v>4807</v>
      </c>
      <c r="I533">
        <v>13.99</v>
      </c>
      <c r="J533">
        <v>1</v>
      </c>
      <c r="K533">
        <v>2.63</v>
      </c>
      <c r="L533">
        <v>0</v>
      </c>
      <c r="M533" t="s">
        <v>4811</v>
      </c>
      <c r="N533" t="s">
        <v>4900</v>
      </c>
      <c r="O533" t="s">
        <v>4910</v>
      </c>
    </row>
    <row r="534" spans="1:15" x14ac:dyDescent="0.35">
      <c r="A534" t="s">
        <v>543</v>
      </c>
      <c r="B534">
        <v>30</v>
      </c>
      <c r="C534" t="s">
        <v>4803</v>
      </c>
      <c r="D534" t="s">
        <v>13</v>
      </c>
      <c r="E534">
        <v>50</v>
      </c>
      <c r="F534">
        <v>57</v>
      </c>
      <c r="G534" t="s">
        <v>4797</v>
      </c>
      <c r="H534" t="s">
        <v>4804</v>
      </c>
      <c r="I534">
        <v>13.99</v>
      </c>
      <c r="J534">
        <v>3</v>
      </c>
      <c r="K534">
        <v>2.0299999999999998</v>
      </c>
      <c r="L534">
        <v>0</v>
      </c>
      <c r="M534" t="s">
        <v>4810</v>
      </c>
      <c r="N534" t="s">
        <v>4900</v>
      </c>
      <c r="O534" t="s">
        <v>4912</v>
      </c>
    </row>
    <row r="535" spans="1:15" x14ac:dyDescent="0.35">
      <c r="A535" t="s">
        <v>544</v>
      </c>
      <c r="B535">
        <v>58</v>
      </c>
      <c r="C535" t="s">
        <v>4802</v>
      </c>
      <c r="D535" t="s">
        <v>13</v>
      </c>
      <c r="E535">
        <v>31</v>
      </c>
      <c r="F535">
        <v>10</v>
      </c>
      <c r="G535" t="s">
        <v>4799</v>
      </c>
      <c r="H535" t="s">
        <v>4805</v>
      </c>
      <c r="I535">
        <v>13.99</v>
      </c>
      <c r="J535">
        <v>3</v>
      </c>
      <c r="K535">
        <v>1.03</v>
      </c>
      <c r="L535">
        <v>0</v>
      </c>
      <c r="M535" t="s">
        <v>4809</v>
      </c>
      <c r="N535" t="s">
        <v>4900</v>
      </c>
      <c r="O535" t="s">
        <v>4911</v>
      </c>
    </row>
    <row r="536" spans="1:15" x14ac:dyDescent="0.35">
      <c r="A536" t="s">
        <v>545</v>
      </c>
      <c r="B536">
        <v>51</v>
      </c>
      <c r="C536" t="s">
        <v>4803</v>
      </c>
      <c r="D536" t="s">
        <v>13</v>
      </c>
      <c r="E536">
        <v>41</v>
      </c>
      <c r="F536">
        <v>37</v>
      </c>
      <c r="G536" t="s">
        <v>4798</v>
      </c>
      <c r="H536" t="s">
        <v>4805</v>
      </c>
      <c r="I536">
        <v>13.99</v>
      </c>
      <c r="J536">
        <v>2</v>
      </c>
      <c r="K536">
        <v>1.37</v>
      </c>
      <c r="L536">
        <v>0</v>
      </c>
      <c r="M536" t="s">
        <v>4809</v>
      </c>
      <c r="N536" t="s">
        <v>4900</v>
      </c>
      <c r="O536" t="s">
        <v>4910</v>
      </c>
    </row>
    <row r="537" spans="1:15" x14ac:dyDescent="0.35">
      <c r="A537" t="s">
        <v>546</v>
      </c>
      <c r="B537">
        <v>47</v>
      </c>
      <c r="C537" t="s">
        <v>4803</v>
      </c>
      <c r="D537" t="s">
        <v>14</v>
      </c>
      <c r="E537">
        <v>19</v>
      </c>
      <c r="F537">
        <v>24</v>
      </c>
      <c r="G537" t="s">
        <v>4799</v>
      </c>
      <c r="H537" t="s">
        <v>4805</v>
      </c>
      <c r="I537">
        <v>8.99</v>
      </c>
      <c r="J537">
        <v>2</v>
      </c>
      <c r="K537">
        <v>0.63</v>
      </c>
      <c r="L537">
        <v>1</v>
      </c>
      <c r="M537" t="s">
        <v>4811</v>
      </c>
      <c r="N537" t="s">
        <v>4899</v>
      </c>
      <c r="O537" t="s">
        <v>4910</v>
      </c>
    </row>
    <row r="538" spans="1:15" x14ac:dyDescent="0.35">
      <c r="A538" t="s">
        <v>547</v>
      </c>
      <c r="B538">
        <v>32</v>
      </c>
      <c r="C538" t="s">
        <v>4803</v>
      </c>
      <c r="D538" t="s">
        <v>13</v>
      </c>
      <c r="E538">
        <v>34</v>
      </c>
      <c r="F538">
        <v>1</v>
      </c>
      <c r="G538" t="s">
        <v>4797</v>
      </c>
      <c r="H538" t="s">
        <v>4805</v>
      </c>
      <c r="I538">
        <v>13.99</v>
      </c>
      <c r="J538">
        <v>3</v>
      </c>
      <c r="K538">
        <v>1.1299999999999999</v>
      </c>
      <c r="L538">
        <v>0</v>
      </c>
      <c r="M538" t="s">
        <v>4809</v>
      </c>
      <c r="N538" t="s">
        <v>4900</v>
      </c>
      <c r="O538" t="s">
        <v>4912</v>
      </c>
    </row>
    <row r="539" spans="1:15" x14ac:dyDescent="0.35">
      <c r="A539" t="s">
        <v>548</v>
      </c>
      <c r="B539">
        <v>21</v>
      </c>
      <c r="C539" t="s">
        <v>4802</v>
      </c>
      <c r="D539" t="s">
        <v>13</v>
      </c>
      <c r="E539">
        <v>80</v>
      </c>
      <c r="F539">
        <v>57</v>
      </c>
      <c r="G539" t="s">
        <v>4798</v>
      </c>
      <c r="H539" t="s">
        <v>4805</v>
      </c>
      <c r="I539">
        <v>13.99</v>
      </c>
      <c r="J539">
        <v>2</v>
      </c>
      <c r="K539">
        <v>2.67</v>
      </c>
      <c r="L539">
        <v>1</v>
      </c>
      <c r="M539" t="s">
        <v>4809</v>
      </c>
      <c r="N539" t="s">
        <v>4899</v>
      </c>
      <c r="O539" t="s">
        <v>4912</v>
      </c>
    </row>
    <row r="540" spans="1:15" x14ac:dyDescent="0.35">
      <c r="A540" t="s">
        <v>549</v>
      </c>
      <c r="B540">
        <v>40</v>
      </c>
      <c r="C540" t="s">
        <v>4802</v>
      </c>
      <c r="D540" t="s">
        <v>14</v>
      </c>
      <c r="E540">
        <v>12</v>
      </c>
      <c r="F540">
        <v>51</v>
      </c>
      <c r="G540" t="s">
        <v>4799</v>
      </c>
      <c r="H540" t="s">
        <v>4806</v>
      </c>
      <c r="I540">
        <v>8.99</v>
      </c>
      <c r="J540">
        <v>1</v>
      </c>
      <c r="K540">
        <v>0.4</v>
      </c>
      <c r="L540">
        <v>1</v>
      </c>
      <c r="M540" t="s">
        <v>4812</v>
      </c>
      <c r="N540" t="s">
        <v>4899</v>
      </c>
      <c r="O540" t="s">
        <v>4910</v>
      </c>
    </row>
    <row r="541" spans="1:15" x14ac:dyDescent="0.35">
      <c r="A541" t="s">
        <v>550</v>
      </c>
      <c r="B541">
        <v>51</v>
      </c>
      <c r="C541" t="s">
        <v>4802</v>
      </c>
      <c r="D541" t="s">
        <v>13</v>
      </c>
      <c r="E541">
        <v>55</v>
      </c>
      <c r="F541">
        <v>26</v>
      </c>
      <c r="G541" t="s">
        <v>4798</v>
      </c>
      <c r="H541" t="s">
        <v>4805</v>
      </c>
      <c r="I541">
        <v>13.99</v>
      </c>
      <c r="J541">
        <v>4</v>
      </c>
      <c r="K541">
        <v>1.83</v>
      </c>
      <c r="L541">
        <v>1</v>
      </c>
      <c r="M541" t="s">
        <v>4810</v>
      </c>
      <c r="N541" t="s">
        <v>4899</v>
      </c>
      <c r="O541" t="s">
        <v>4910</v>
      </c>
    </row>
    <row r="542" spans="1:15" x14ac:dyDescent="0.35">
      <c r="A542" t="s">
        <v>551</v>
      </c>
      <c r="B542">
        <v>57</v>
      </c>
      <c r="C542" t="s">
        <v>4802</v>
      </c>
      <c r="D542" t="s">
        <v>13</v>
      </c>
      <c r="E542">
        <v>53</v>
      </c>
      <c r="F542">
        <v>5</v>
      </c>
      <c r="G542" t="s">
        <v>4797</v>
      </c>
      <c r="H542" t="s">
        <v>4805</v>
      </c>
      <c r="I542">
        <v>13.99</v>
      </c>
      <c r="J542">
        <v>2</v>
      </c>
      <c r="K542">
        <v>5</v>
      </c>
      <c r="L542">
        <v>0</v>
      </c>
      <c r="M542" t="s">
        <v>4808</v>
      </c>
      <c r="N542" t="s">
        <v>4900</v>
      </c>
      <c r="O542" t="s">
        <v>4911</v>
      </c>
    </row>
    <row r="543" spans="1:15" x14ac:dyDescent="0.35">
      <c r="A543" t="s">
        <v>552</v>
      </c>
      <c r="B543">
        <v>23</v>
      </c>
      <c r="C543" t="s">
        <v>4802</v>
      </c>
      <c r="D543" t="s">
        <v>15</v>
      </c>
      <c r="E543">
        <v>96</v>
      </c>
      <c r="F543">
        <v>19</v>
      </c>
      <c r="G543" t="s">
        <v>4798</v>
      </c>
      <c r="H543" t="s">
        <v>4805</v>
      </c>
      <c r="I543">
        <v>17.989999999999998</v>
      </c>
      <c r="J543">
        <v>2</v>
      </c>
      <c r="K543">
        <v>3.2</v>
      </c>
      <c r="L543">
        <v>0</v>
      </c>
      <c r="M543" t="s">
        <v>4811</v>
      </c>
      <c r="N543" t="s">
        <v>4900</v>
      </c>
      <c r="O543" t="s">
        <v>4912</v>
      </c>
    </row>
    <row r="544" spans="1:15" x14ac:dyDescent="0.35">
      <c r="A544" t="s">
        <v>553</v>
      </c>
      <c r="B544">
        <v>30</v>
      </c>
      <c r="C544" t="s">
        <v>4802</v>
      </c>
      <c r="D544" t="s">
        <v>13</v>
      </c>
      <c r="E544">
        <v>62</v>
      </c>
      <c r="F544">
        <v>16</v>
      </c>
      <c r="G544" t="s">
        <v>4798</v>
      </c>
      <c r="H544" t="s">
        <v>4806</v>
      </c>
      <c r="I544">
        <v>13.99</v>
      </c>
      <c r="J544">
        <v>2</v>
      </c>
      <c r="K544">
        <v>2.0699999999999998</v>
      </c>
      <c r="L544">
        <v>0</v>
      </c>
      <c r="M544" t="s">
        <v>4812</v>
      </c>
      <c r="N544" t="s">
        <v>4900</v>
      </c>
      <c r="O544" t="s">
        <v>4912</v>
      </c>
    </row>
    <row r="545" spans="1:15" x14ac:dyDescent="0.35">
      <c r="A545" t="s">
        <v>554</v>
      </c>
      <c r="B545">
        <v>21</v>
      </c>
      <c r="C545" t="s">
        <v>4802</v>
      </c>
      <c r="D545" t="s">
        <v>14</v>
      </c>
      <c r="E545">
        <v>77</v>
      </c>
      <c r="F545">
        <v>49</v>
      </c>
      <c r="G545" t="s">
        <v>4799</v>
      </c>
      <c r="H545" t="s">
        <v>4805</v>
      </c>
      <c r="I545">
        <v>8.99</v>
      </c>
      <c r="J545">
        <v>2</v>
      </c>
      <c r="K545">
        <v>2.57</v>
      </c>
      <c r="L545">
        <v>0</v>
      </c>
      <c r="M545" t="s">
        <v>4808</v>
      </c>
      <c r="N545" t="s">
        <v>4900</v>
      </c>
      <c r="O545" t="s">
        <v>4912</v>
      </c>
    </row>
    <row r="546" spans="1:15" x14ac:dyDescent="0.35">
      <c r="A546" t="s">
        <v>555</v>
      </c>
      <c r="B546">
        <v>19</v>
      </c>
      <c r="C546" t="s">
        <v>4803</v>
      </c>
      <c r="D546" t="s">
        <v>13</v>
      </c>
      <c r="E546">
        <v>65</v>
      </c>
      <c r="F546">
        <v>18</v>
      </c>
      <c r="G546" t="s">
        <v>4798</v>
      </c>
      <c r="H546" t="s">
        <v>4804</v>
      </c>
      <c r="I546">
        <v>13.99</v>
      </c>
      <c r="J546">
        <v>1</v>
      </c>
      <c r="K546">
        <v>2.17</v>
      </c>
      <c r="L546">
        <v>0</v>
      </c>
      <c r="M546" t="s">
        <v>4808</v>
      </c>
      <c r="N546" t="s">
        <v>4900</v>
      </c>
      <c r="O546" t="s">
        <v>4912</v>
      </c>
    </row>
    <row r="547" spans="1:15" x14ac:dyDescent="0.35">
      <c r="A547" t="s">
        <v>556</v>
      </c>
      <c r="B547">
        <v>24</v>
      </c>
      <c r="C547" t="s">
        <v>4802</v>
      </c>
      <c r="D547" t="s">
        <v>15</v>
      </c>
      <c r="E547">
        <v>110</v>
      </c>
      <c r="F547">
        <v>35</v>
      </c>
      <c r="G547" t="s">
        <v>4799</v>
      </c>
      <c r="H547" t="s">
        <v>4804</v>
      </c>
      <c r="I547">
        <v>17.989999999999998</v>
      </c>
      <c r="J547">
        <v>2</v>
      </c>
      <c r="K547">
        <v>3.67</v>
      </c>
      <c r="L547">
        <v>0</v>
      </c>
      <c r="M547" t="s">
        <v>4810</v>
      </c>
      <c r="N547" t="s">
        <v>4900</v>
      </c>
      <c r="O547" t="s">
        <v>4912</v>
      </c>
    </row>
    <row r="548" spans="1:15" x14ac:dyDescent="0.35">
      <c r="A548" t="s">
        <v>557</v>
      </c>
      <c r="B548">
        <v>50</v>
      </c>
      <c r="C548" t="s">
        <v>4802</v>
      </c>
      <c r="D548" t="s">
        <v>13</v>
      </c>
      <c r="E548">
        <v>72</v>
      </c>
      <c r="F548">
        <v>10</v>
      </c>
      <c r="G548" t="s">
        <v>4797</v>
      </c>
      <c r="H548" t="s">
        <v>4805</v>
      </c>
      <c r="I548">
        <v>13.99</v>
      </c>
      <c r="J548">
        <v>2</v>
      </c>
      <c r="K548">
        <v>2.4</v>
      </c>
      <c r="L548">
        <v>0</v>
      </c>
      <c r="M548" t="s">
        <v>4810</v>
      </c>
      <c r="N548" t="s">
        <v>4900</v>
      </c>
      <c r="O548" t="s">
        <v>4910</v>
      </c>
    </row>
    <row r="549" spans="1:15" x14ac:dyDescent="0.35">
      <c r="A549" t="s">
        <v>558</v>
      </c>
      <c r="B549">
        <v>63</v>
      </c>
      <c r="C549" t="s">
        <v>4803</v>
      </c>
      <c r="D549" t="s">
        <v>13</v>
      </c>
      <c r="E549">
        <v>68</v>
      </c>
      <c r="F549">
        <v>51</v>
      </c>
      <c r="G549" t="s">
        <v>4799</v>
      </c>
      <c r="H549" t="s">
        <v>4805</v>
      </c>
      <c r="I549">
        <v>13.99</v>
      </c>
      <c r="J549">
        <v>4</v>
      </c>
      <c r="K549">
        <v>2.27</v>
      </c>
      <c r="L549">
        <v>0</v>
      </c>
      <c r="M549" t="s">
        <v>4810</v>
      </c>
      <c r="N549" t="s">
        <v>4900</v>
      </c>
      <c r="O549" t="s">
        <v>4911</v>
      </c>
    </row>
    <row r="550" spans="1:15" x14ac:dyDescent="0.35">
      <c r="A550" t="s">
        <v>559</v>
      </c>
      <c r="B550">
        <v>21</v>
      </c>
      <c r="C550" t="s">
        <v>4803</v>
      </c>
      <c r="D550" t="s">
        <v>13</v>
      </c>
      <c r="E550">
        <v>72</v>
      </c>
      <c r="F550" t="s">
        <v>4814</v>
      </c>
      <c r="G550" t="s">
        <v>4799</v>
      </c>
      <c r="H550" t="s">
        <v>4806</v>
      </c>
      <c r="I550">
        <v>13.99</v>
      </c>
      <c r="J550">
        <v>2</v>
      </c>
      <c r="K550">
        <v>2.4</v>
      </c>
      <c r="L550">
        <v>0</v>
      </c>
      <c r="M550" t="s">
        <v>4808</v>
      </c>
      <c r="N550" t="s">
        <v>4900</v>
      </c>
      <c r="O550" t="s">
        <v>4912</v>
      </c>
    </row>
    <row r="551" spans="1:15" x14ac:dyDescent="0.35">
      <c r="A551" t="s">
        <v>560</v>
      </c>
      <c r="B551">
        <v>64</v>
      </c>
      <c r="C551" t="s">
        <v>4802</v>
      </c>
      <c r="D551" t="s">
        <v>13</v>
      </c>
      <c r="E551">
        <v>42</v>
      </c>
      <c r="F551">
        <v>30</v>
      </c>
      <c r="G551" t="s">
        <v>4797</v>
      </c>
      <c r="H551" t="s">
        <v>4804</v>
      </c>
      <c r="I551">
        <v>13.99</v>
      </c>
      <c r="J551">
        <v>2</v>
      </c>
      <c r="K551">
        <v>1.4</v>
      </c>
      <c r="L551">
        <v>0</v>
      </c>
      <c r="M551" t="s">
        <v>4808</v>
      </c>
      <c r="N551" t="s">
        <v>4900</v>
      </c>
      <c r="O551" t="s">
        <v>4911</v>
      </c>
    </row>
    <row r="552" spans="1:15" x14ac:dyDescent="0.35">
      <c r="A552" t="s">
        <v>561</v>
      </c>
      <c r="B552">
        <v>26</v>
      </c>
      <c r="C552" t="s">
        <v>4802</v>
      </c>
      <c r="D552" t="s">
        <v>13</v>
      </c>
      <c r="E552">
        <v>79</v>
      </c>
      <c r="F552">
        <v>4</v>
      </c>
      <c r="G552" t="s">
        <v>4798</v>
      </c>
      <c r="H552" t="s">
        <v>4806</v>
      </c>
      <c r="I552">
        <v>13.99</v>
      </c>
      <c r="J552">
        <v>2</v>
      </c>
      <c r="K552">
        <v>2.63</v>
      </c>
      <c r="L552">
        <v>0</v>
      </c>
      <c r="M552" t="s">
        <v>4811</v>
      </c>
      <c r="N552" t="s">
        <v>4900</v>
      </c>
      <c r="O552" t="s">
        <v>4912</v>
      </c>
    </row>
    <row r="553" spans="1:15" x14ac:dyDescent="0.35">
      <c r="A553" t="s">
        <v>562</v>
      </c>
      <c r="B553">
        <v>38</v>
      </c>
      <c r="C553" t="s">
        <v>4803</v>
      </c>
      <c r="D553" t="s">
        <v>14</v>
      </c>
      <c r="E553">
        <v>34</v>
      </c>
      <c r="F553">
        <v>8</v>
      </c>
      <c r="G553" t="s">
        <v>4800</v>
      </c>
      <c r="H553" t="s">
        <v>4806</v>
      </c>
      <c r="I553">
        <v>8.99</v>
      </c>
      <c r="J553">
        <v>2</v>
      </c>
      <c r="K553">
        <v>1.1299999999999999</v>
      </c>
      <c r="L553">
        <v>0</v>
      </c>
      <c r="M553" t="s">
        <v>4808</v>
      </c>
      <c r="N553" t="s">
        <v>4900</v>
      </c>
      <c r="O553" t="s">
        <v>4910</v>
      </c>
    </row>
    <row r="554" spans="1:15" x14ac:dyDescent="0.35">
      <c r="A554" t="s">
        <v>563</v>
      </c>
      <c r="B554">
        <v>57</v>
      </c>
      <c r="C554" t="s">
        <v>4802</v>
      </c>
      <c r="D554" t="s">
        <v>15</v>
      </c>
      <c r="E554">
        <v>106</v>
      </c>
      <c r="F554">
        <v>29</v>
      </c>
      <c r="G554" t="s">
        <v>4799</v>
      </c>
      <c r="H554" t="s">
        <v>4805</v>
      </c>
      <c r="I554">
        <v>17.989999999999998</v>
      </c>
      <c r="J554">
        <v>3</v>
      </c>
      <c r="K554">
        <v>3.53</v>
      </c>
      <c r="L554">
        <v>0</v>
      </c>
      <c r="M554" t="s">
        <v>4811</v>
      </c>
      <c r="N554" t="s">
        <v>4900</v>
      </c>
      <c r="O554" t="s">
        <v>4911</v>
      </c>
    </row>
    <row r="555" spans="1:15" x14ac:dyDescent="0.35">
      <c r="A555" t="s">
        <v>564</v>
      </c>
      <c r="B555">
        <v>35</v>
      </c>
      <c r="C555" t="s">
        <v>4803</v>
      </c>
      <c r="D555" t="s">
        <v>13</v>
      </c>
      <c r="E555">
        <v>80</v>
      </c>
      <c r="F555">
        <v>40</v>
      </c>
      <c r="G555" t="s">
        <v>4797</v>
      </c>
      <c r="H555" t="s">
        <v>4806</v>
      </c>
      <c r="I555">
        <v>13.99</v>
      </c>
      <c r="J555">
        <v>3</v>
      </c>
      <c r="K555">
        <v>2.67</v>
      </c>
      <c r="L555">
        <v>0</v>
      </c>
      <c r="M555" t="s">
        <v>4809</v>
      </c>
      <c r="N555" t="s">
        <v>4900</v>
      </c>
      <c r="O555" t="s">
        <v>4910</v>
      </c>
    </row>
    <row r="556" spans="1:15" x14ac:dyDescent="0.35">
      <c r="A556" t="s">
        <v>565</v>
      </c>
      <c r="B556">
        <v>30</v>
      </c>
      <c r="C556" t="s">
        <v>4803</v>
      </c>
      <c r="D556" t="s">
        <v>13</v>
      </c>
      <c r="E556">
        <v>36</v>
      </c>
      <c r="F556">
        <v>48</v>
      </c>
      <c r="G556" t="s">
        <v>4800</v>
      </c>
      <c r="H556" t="s">
        <v>4806</v>
      </c>
      <c r="I556">
        <v>13.99</v>
      </c>
      <c r="J556">
        <v>4</v>
      </c>
      <c r="K556">
        <v>1.2</v>
      </c>
      <c r="L556">
        <v>1</v>
      </c>
      <c r="M556" t="s">
        <v>4808</v>
      </c>
      <c r="N556" t="s">
        <v>4899</v>
      </c>
      <c r="O556" t="s">
        <v>4912</v>
      </c>
    </row>
    <row r="557" spans="1:15" x14ac:dyDescent="0.35">
      <c r="A557" t="s">
        <v>566</v>
      </c>
      <c r="B557">
        <v>45</v>
      </c>
      <c r="C557" t="s">
        <v>4802</v>
      </c>
      <c r="D557" t="s">
        <v>13</v>
      </c>
      <c r="E557">
        <v>44</v>
      </c>
      <c r="F557">
        <v>18</v>
      </c>
      <c r="G557" t="s">
        <v>4800</v>
      </c>
      <c r="H557" t="s">
        <v>4806</v>
      </c>
      <c r="I557">
        <v>13.99</v>
      </c>
      <c r="J557">
        <v>1</v>
      </c>
      <c r="K557">
        <v>1.47</v>
      </c>
      <c r="L557">
        <v>0</v>
      </c>
      <c r="M557" t="s">
        <v>4808</v>
      </c>
      <c r="N557" t="s">
        <v>4900</v>
      </c>
      <c r="O557" t="s">
        <v>4910</v>
      </c>
    </row>
    <row r="558" spans="1:15" x14ac:dyDescent="0.35">
      <c r="A558" t="s">
        <v>567</v>
      </c>
      <c r="B558">
        <v>37</v>
      </c>
      <c r="C558" t="s">
        <v>4802</v>
      </c>
      <c r="D558" t="s">
        <v>13</v>
      </c>
      <c r="E558">
        <v>63</v>
      </c>
      <c r="F558">
        <v>0</v>
      </c>
      <c r="G558" t="s">
        <v>4798</v>
      </c>
      <c r="H558" t="s">
        <v>4804</v>
      </c>
      <c r="I558">
        <v>13.99</v>
      </c>
      <c r="J558">
        <v>4</v>
      </c>
      <c r="K558">
        <v>2.1</v>
      </c>
      <c r="L558">
        <v>0</v>
      </c>
      <c r="M558" t="s">
        <v>4810</v>
      </c>
      <c r="N558" t="s">
        <v>4900</v>
      </c>
      <c r="O558" t="s">
        <v>4910</v>
      </c>
    </row>
    <row r="559" spans="1:15" x14ac:dyDescent="0.35">
      <c r="A559" t="s">
        <v>568</v>
      </c>
      <c r="B559">
        <v>65</v>
      </c>
      <c r="C559" t="s">
        <v>4803</v>
      </c>
      <c r="D559" t="s">
        <v>13</v>
      </c>
      <c r="E559">
        <v>53</v>
      </c>
      <c r="F559">
        <v>21</v>
      </c>
      <c r="G559" t="s">
        <v>4797</v>
      </c>
      <c r="H559" t="s">
        <v>4805</v>
      </c>
      <c r="I559">
        <v>13.99</v>
      </c>
      <c r="J559">
        <v>4</v>
      </c>
      <c r="K559">
        <v>1.77</v>
      </c>
      <c r="L559">
        <v>0</v>
      </c>
      <c r="M559" t="s">
        <v>4809</v>
      </c>
      <c r="N559" t="s">
        <v>4900</v>
      </c>
      <c r="O559" t="s">
        <v>4911</v>
      </c>
    </row>
    <row r="560" spans="1:15" x14ac:dyDescent="0.35">
      <c r="A560" t="s">
        <v>569</v>
      </c>
      <c r="B560">
        <v>50</v>
      </c>
      <c r="C560" t="s">
        <v>4802</v>
      </c>
      <c r="D560" t="s">
        <v>13</v>
      </c>
      <c r="E560">
        <v>53</v>
      </c>
      <c r="F560">
        <v>52</v>
      </c>
      <c r="G560" t="s">
        <v>4799</v>
      </c>
      <c r="H560" t="s">
        <v>4806</v>
      </c>
      <c r="I560">
        <v>13.99</v>
      </c>
      <c r="J560">
        <v>4</v>
      </c>
      <c r="K560">
        <v>1.77</v>
      </c>
      <c r="L560">
        <v>0</v>
      </c>
      <c r="M560" t="s">
        <v>4811</v>
      </c>
      <c r="N560" t="s">
        <v>4900</v>
      </c>
      <c r="O560" t="s">
        <v>4910</v>
      </c>
    </row>
    <row r="561" spans="1:15" x14ac:dyDescent="0.35">
      <c r="A561" t="s">
        <v>570</v>
      </c>
      <c r="B561">
        <v>54</v>
      </c>
      <c r="C561" t="s">
        <v>4802</v>
      </c>
      <c r="D561" t="s">
        <v>15</v>
      </c>
      <c r="E561">
        <v>50</v>
      </c>
      <c r="F561">
        <v>3</v>
      </c>
      <c r="G561" t="s">
        <v>4799</v>
      </c>
      <c r="H561" t="s">
        <v>4806</v>
      </c>
      <c r="I561">
        <v>17.989999999999998</v>
      </c>
      <c r="J561">
        <v>5</v>
      </c>
      <c r="K561">
        <v>1.67</v>
      </c>
      <c r="L561">
        <v>0</v>
      </c>
      <c r="M561" t="s">
        <v>4812</v>
      </c>
      <c r="N561" t="s">
        <v>4900</v>
      </c>
      <c r="O561" t="s">
        <v>4910</v>
      </c>
    </row>
    <row r="562" spans="1:15" x14ac:dyDescent="0.35">
      <c r="A562" t="s">
        <v>571</v>
      </c>
      <c r="B562">
        <v>26</v>
      </c>
      <c r="C562" t="s">
        <v>4803</v>
      </c>
      <c r="D562" t="s">
        <v>13</v>
      </c>
      <c r="E562">
        <v>52</v>
      </c>
      <c r="F562">
        <v>56</v>
      </c>
      <c r="G562" t="s">
        <v>4799</v>
      </c>
      <c r="H562" t="s">
        <v>4804</v>
      </c>
      <c r="I562">
        <v>13.99</v>
      </c>
      <c r="J562">
        <v>2</v>
      </c>
      <c r="K562">
        <v>1.73</v>
      </c>
      <c r="L562">
        <v>0</v>
      </c>
      <c r="M562" t="s">
        <v>4808</v>
      </c>
      <c r="N562" t="s">
        <v>4900</v>
      </c>
      <c r="O562" t="s">
        <v>4912</v>
      </c>
    </row>
    <row r="563" spans="1:15" x14ac:dyDescent="0.35">
      <c r="A563" t="s">
        <v>572</v>
      </c>
      <c r="B563">
        <v>57</v>
      </c>
      <c r="C563" t="s">
        <v>4802</v>
      </c>
      <c r="D563" t="s">
        <v>14</v>
      </c>
      <c r="E563">
        <v>31</v>
      </c>
      <c r="F563">
        <v>59</v>
      </c>
      <c r="G563" t="s">
        <v>4798</v>
      </c>
      <c r="H563" t="s">
        <v>4804</v>
      </c>
      <c r="I563">
        <v>8.99</v>
      </c>
      <c r="J563">
        <v>1</v>
      </c>
      <c r="K563">
        <v>1.03</v>
      </c>
      <c r="L563">
        <v>0</v>
      </c>
      <c r="M563" t="s">
        <v>4812</v>
      </c>
      <c r="N563" t="s">
        <v>4900</v>
      </c>
      <c r="O563" t="s">
        <v>4911</v>
      </c>
    </row>
    <row r="564" spans="1:15" x14ac:dyDescent="0.35">
      <c r="A564" t="s">
        <v>573</v>
      </c>
      <c r="B564">
        <v>42</v>
      </c>
      <c r="C564" t="s">
        <v>4803</v>
      </c>
      <c r="D564" t="s">
        <v>13</v>
      </c>
      <c r="E564">
        <v>46</v>
      </c>
      <c r="F564">
        <v>21</v>
      </c>
      <c r="G564" t="s">
        <v>4798</v>
      </c>
      <c r="H564" t="s">
        <v>4804</v>
      </c>
      <c r="I564">
        <v>13.99</v>
      </c>
      <c r="J564">
        <v>3</v>
      </c>
      <c r="K564">
        <v>1.53</v>
      </c>
      <c r="L564">
        <v>0</v>
      </c>
      <c r="M564" t="s">
        <v>4808</v>
      </c>
      <c r="N564" t="s">
        <v>4900</v>
      </c>
      <c r="O564" t="s">
        <v>4910</v>
      </c>
    </row>
    <row r="565" spans="1:15" x14ac:dyDescent="0.35">
      <c r="A565" t="s">
        <v>574</v>
      </c>
      <c r="B565">
        <v>58</v>
      </c>
      <c r="C565" t="s">
        <v>4803</v>
      </c>
      <c r="D565" t="s">
        <v>13</v>
      </c>
      <c r="E565">
        <v>72</v>
      </c>
      <c r="F565">
        <v>5</v>
      </c>
      <c r="G565" t="s">
        <v>4799</v>
      </c>
      <c r="H565" t="s">
        <v>4806</v>
      </c>
      <c r="I565">
        <v>13.99</v>
      </c>
      <c r="J565">
        <v>1</v>
      </c>
      <c r="K565">
        <v>2.4</v>
      </c>
      <c r="L565">
        <v>0</v>
      </c>
      <c r="M565" t="s">
        <v>4808</v>
      </c>
      <c r="N565" t="s">
        <v>4900</v>
      </c>
      <c r="O565" t="s">
        <v>4911</v>
      </c>
    </row>
    <row r="566" spans="1:15" x14ac:dyDescent="0.35">
      <c r="A566" t="s">
        <v>575</v>
      </c>
      <c r="B566">
        <v>51</v>
      </c>
      <c r="C566" t="s">
        <v>4803</v>
      </c>
      <c r="D566" t="s">
        <v>13</v>
      </c>
      <c r="E566">
        <v>57</v>
      </c>
      <c r="F566">
        <v>37</v>
      </c>
      <c r="G566" t="s">
        <v>4798</v>
      </c>
      <c r="H566" t="s">
        <v>4804</v>
      </c>
      <c r="I566">
        <v>13.99</v>
      </c>
      <c r="J566">
        <v>2</v>
      </c>
      <c r="K566">
        <v>1.9</v>
      </c>
      <c r="L566">
        <v>1</v>
      </c>
      <c r="M566" t="s">
        <v>4811</v>
      </c>
      <c r="N566" t="s">
        <v>4899</v>
      </c>
      <c r="O566" t="s">
        <v>4910</v>
      </c>
    </row>
    <row r="567" spans="1:15" x14ac:dyDescent="0.35">
      <c r="A567" t="s">
        <v>576</v>
      </c>
      <c r="B567">
        <v>36</v>
      </c>
      <c r="C567" t="s">
        <v>4803</v>
      </c>
      <c r="D567" t="s">
        <v>13</v>
      </c>
      <c r="E567">
        <v>74</v>
      </c>
      <c r="F567">
        <v>44</v>
      </c>
      <c r="G567" t="s">
        <v>4799</v>
      </c>
      <c r="H567" t="s">
        <v>4804</v>
      </c>
      <c r="I567">
        <v>13.99</v>
      </c>
      <c r="J567">
        <v>3</v>
      </c>
      <c r="K567">
        <v>2.4700000000000002</v>
      </c>
      <c r="L567">
        <v>0</v>
      </c>
      <c r="M567" t="s">
        <v>4812</v>
      </c>
      <c r="N567" t="s">
        <v>4900</v>
      </c>
      <c r="O567" t="s">
        <v>4910</v>
      </c>
    </row>
    <row r="568" spans="1:15" x14ac:dyDescent="0.35">
      <c r="A568" t="s">
        <v>577</v>
      </c>
      <c r="B568">
        <v>23</v>
      </c>
      <c r="C568" t="s">
        <v>4803</v>
      </c>
      <c r="D568" t="s">
        <v>13</v>
      </c>
      <c r="E568">
        <v>41</v>
      </c>
      <c r="F568">
        <v>28</v>
      </c>
      <c r="G568" t="s">
        <v>4798</v>
      </c>
      <c r="H568" t="s">
        <v>4806</v>
      </c>
      <c r="I568">
        <v>13.99</v>
      </c>
      <c r="J568">
        <v>2</v>
      </c>
      <c r="K568">
        <v>1.37</v>
      </c>
      <c r="L568">
        <v>0</v>
      </c>
      <c r="M568" t="s">
        <v>4808</v>
      </c>
      <c r="N568" t="s">
        <v>4900</v>
      </c>
      <c r="O568" t="s">
        <v>4912</v>
      </c>
    </row>
    <row r="569" spans="1:15" x14ac:dyDescent="0.35">
      <c r="A569" t="s">
        <v>578</v>
      </c>
      <c r="B569">
        <v>50</v>
      </c>
      <c r="C569" t="s">
        <v>4802</v>
      </c>
      <c r="D569" t="s">
        <v>13</v>
      </c>
      <c r="E569">
        <v>36</v>
      </c>
      <c r="F569">
        <v>31</v>
      </c>
      <c r="G569" t="s">
        <v>4798</v>
      </c>
      <c r="H569" t="s">
        <v>4804</v>
      </c>
      <c r="I569">
        <v>13.99</v>
      </c>
      <c r="J569">
        <v>1</v>
      </c>
      <c r="K569">
        <v>1.2</v>
      </c>
      <c r="L569">
        <v>0</v>
      </c>
      <c r="M569" t="s">
        <v>4810</v>
      </c>
      <c r="N569" t="s">
        <v>4900</v>
      </c>
      <c r="O569" t="s">
        <v>4910</v>
      </c>
    </row>
    <row r="570" spans="1:15" x14ac:dyDescent="0.35">
      <c r="A570" t="s">
        <v>579</v>
      </c>
      <c r="B570">
        <v>55</v>
      </c>
      <c r="C570" t="s">
        <v>4803</v>
      </c>
      <c r="D570" t="s">
        <v>15</v>
      </c>
      <c r="E570">
        <v>67</v>
      </c>
      <c r="F570">
        <v>39</v>
      </c>
      <c r="G570" t="s">
        <v>4799</v>
      </c>
      <c r="H570" t="s">
        <v>4804</v>
      </c>
      <c r="I570">
        <v>17.989999999999998</v>
      </c>
      <c r="J570">
        <v>4</v>
      </c>
      <c r="K570">
        <v>2.23</v>
      </c>
      <c r="L570">
        <v>0</v>
      </c>
      <c r="M570" t="s">
        <v>4812</v>
      </c>
      <c r="N570" t="s">
        <v>4900</v>
      </c>
      <c r="O570" t="s">
        <v>4911</v>
      </c>
    </row>
    <row r="571" spans="1:15" x14ac:dyDescent="0.35">
      <c r="A571" t="s">
        <v>580</v>
      </c>
      <c r="B571">
        <v>46</v>
      </c>
      <c r="C571" t="s">
        <v>4802</v>
      </c>
      <c r="D571" t="s">
        <v>15</v>
      </c>
      <c r="E571">
        <v>70</v>
      </c>
      <c r="F571">
        <v>44</v>
      </c>
      <c r="G571" t="s">
        <v>4798</v>
      </c>
      <c r="H571" t="s">
        <v>4805</v>
      </c>
      <c r="I571">
        <v>17.989999999999998</v>
      </c>
      <c r="J571">
        <v>5</v>
      </c>
      <c r="K571">
        <v>2.33</v>
      </c>
      <c r="L571">
        <v>0</v>
      </c>
      <c r="M571" t="s">
        <v>4808</v>
      </c>
      <c r="N571" t="s">
        <v>4900</v>
      </c>
      <c r="O571" t="s">
        <v>4910</v>
      </c>
    </row>
    <row r="572" spans="1:15" x14ac:dyDescent="0.35">
      <c r="A572" t="s">
        <v>581</v>
      </c>
      <c r="B572">
        <v>37</v>
      </c>
      <c r="C572" t="s">
        <v>4802</v>
      </c>
      <c r="D572" t="s">
        <v>13</v>
      </c>
      <c r="E572">
        <v>79</v>
      </c>
      <c r="F572">
        <v>3</v>
      </c>
      <c r="G572" t="s">
        <v>4798</v>
      </c>
      <c r="H572" t="s">
        <v>4805</v>
      </c>
      <c r="I572">
        <v>13.99</v>
      </c>
      <c r="J572">
        <v>2</v>
      </c>
      <c r="K572">
        <v>2.63</v>
      </c>
      <c r="L572">
        <v>0</v>
      </c>
      <c r="M572" t="s">
        <v>4810</v>
      </c>
      <c r="N572" t="s">
        <v>4900</v>
      </c>
      <c r="O572" t="s">
        <v>4910</v>
      </c>
    </row>
    <row r="573" spans="1:15" x14ac:dyDescent="0.35">
      <c r="A573" t="s">
        <v>582</v>
      </c>
      <c r="B573">
        <v>56</v>
      </c>
      <c r="C573" t="s">
        <v>4802</v>
      </c>
      <c r="D573" t="s">
        <v>14</v>
      </c>
      <c r="E573">
        <v>49</v>
      </c>
      <c r="F573">
        <v>53</v>
      </c>
      <c r="G573" t="s">
        <v>4799</v>
      </c>
      <c r="H573" t="s">
        <v>4805</v>
      </c>
      <c r="I573">
        <v>8.99</v>
      </c>
      <c r="J573">
        <v>1</v>
      </c>
      <c r="K573">
        <v>1.63</v>
      </c>
      <c r="L573">
        <v>0</v>
      </c>
      <c r="M573" t="s">
        <v>4810</v>
      </c>
      <c r="N573" t="s">
        <v>4900</v>
      </c>
      <c r="O573" t="s">
        <v>4911</v>
      </c>
    </row>
    <row r="574" spans="1:15" x14ac:dyDescent="0.35">
      <c r="A574" t="s">
        <v>583</v>
      </c>
      <c r="B574">
        <v>62</v>
      </c>
      <c r="C574" t="s">
        <v>4802</v>
      </c>
      <c r="D574" t="s">
        <v>14</v>
      </c>
      <c r="E574">
        <v>14</v>
      </c>
      <c r="F574">
        <v>58</v>
      </c>
      <c r="G574" t="s">
        <v>4798</v>
      </c>
      <c r="H574" t="s">
        <v>4804</v>
      </c>
      <c r="I574">
        <v>8.99</v>
      </c>
      <c r="J574">
        <v>1</v>
      </c>
      <c r="K574">
        <v>0.47</v>
      </c>
      <c r="L574">
        <v>0</v>
      </c>
      <c r="M574" t="s">
        <v>4812</v>
      </c>
      <c r="N574" t="s">
        <v>4900</v>
      </c>
      <c r="O574" t="s">
        <v>4911</v>
      </c>
    </row>
    <row r="575" spans="1:15" x14ac:dyDescent="0.35">
      <c r="A575" t="s">
        <v>584</v>
      </c>
      <c r="B575">
        <v>60</v>
      </c>
      <c r="C575" t="s">
        <v>4802</v>
      </c>
      <c r="D575" t="s">
        <v>13</v>
      </c>
      <c r="E575">
        <v>63</v>
      </c>
      <c r="F575">
        <v>26</v>
      </c>
      <c r="G575" t="s">
        <v>4799</v>
      </c>
      <c r="H575" t="s">
        <v>4806</v>
      </c>
      <c r="I575">
        <v>13.99</v>
      </c>
      <c r="J575">
        <v>1</v>
      </c>
      <c r="K575">
        <v>2.1</v>
      </c>
      <c r="L575">
        <v>0</v>
      </c>
      <c r="M575" t="s">
        <v>4811</v>
      </c>
      <c r="N575" t="s">
        <v>4900</v>
      </c>
      <c r="O575" t="s">
        <v>4911</v>
      </c>
    </row>
    <row r="576" spans="1:15" x14ac:dyDescent="0.35">
      <c r="A576" t="s">
        <v>585</v>
      </c>
      <c r="B576">
        <v>47</v>
      </c>
      <c r="C576" t="s">
        <v>4803</v>
      </c>
      <c r="D576" t="s">
        <v>15</v>
      </c>
      <c r="E576">
        <v>96</v>
      </c>
      <c r="F576">
        <v>19</v>
      </c>
      <c r="G576" t="s">
        <v>4798</v>
      </c>
      <c r="H576" t="s">
        <v>4805</v>
      </c>
      <c r="I576">
        <v>17.989999999999998</v>
      </c>
      <c r="J576">
        <v>4</v>
      </c>
      <c r="K576">
        <v>5</v>
      </c>
      <c r="L576">
        <v>0</v>
      </c>
      <c r="M576" t="s">
        <v>4809</v>
      </c>
      <c r="N576" t="s">
        <v>4900</v>
      </c>
      <c r="O576" t="s">
        <v>4910</v>
      </c>
    </row>
    <row r="577" spans="1:15" x14ac:dyDescent="0.35">
      <c r="A577" t="s">
        <v>586</v>
      </c>
      <c r="B577">
        <v>46</v>
      </c>
      <c r="C577" t="s">
        <v>4803</v>
      </c>
      <c r="D577" t="s">
        <v>13</v>
      </c>
      <c r="E577">
        <v>44</v>
      </c>
      <c r="F577">
        <v>49</v>
      </c>
      <c r="G577" t="s">
        <v>4798</v>
      </c>
      <c r="H577" t="s">
        <v>4804</v>
      </c>
      <c r="I577">
        <v>13.99</v>
      </c>
      <c r="J577">
        <v>2</v>
      </c>
      <c r="K577">
        <v>2.0299999999999998</v>
      </c>
      <c r="L577">
        <v>1</v>
      </c>
      <c r="M577" t="s">
        <v>4811</v>
      </c>
      <c r="N577" t="s">
        <v>4899</v>
      </c>
      <c r="O577" t="s">
        <v>4910</v>
      </c>
    </row>
    <row r="578" spans="1:15" x14ac:dyDescent="0.35">
      <c r="A578" t="s">
        <v>587</v>
      </c>
      <c r="B578">
        <v>54</v>
      </c>
      <c r="C578" t="s">
        <v>4802</v>
      </c>
      <c r="D578" t="s">
        <v>13</v>
      </c>
      <c r="E578">
        <v>66</v>
      </c>
      <c r="F578">
        <v>28</v>
      </c>
      <c r="G578" t="s">
        <v>4798</v>
      </c>
      <c r="H578" t="s">
        <v>4805</v>
      </c>
      <c r="I578">
        <v>13.99</v>
      </c>
      <c r="J578">
        <v>3</v>
      </c>
      <c r="K578">
        <v>2.2000000000000002</v>
      </c>
      <c r="L578">
        <v>0</v>
      </c>
      <c r="M578" t="s">
        <v>4811</v>
      </c>
      <c r="N578" t="s">
        <v>4900</v>
      </c>
      <c r="O578" t="s">
        <v>4910</v>
      </c>
    </row>
    <row r="579" spans="1:15" x14ac:dyDescent="0.35">
      <c r="A579" t="s">
        <v>588</v>
      </c>
      <c r="B579">
        <v>37</v>
      </c>
      <c r="C579" t="s">
        <v>4802</v>
      </c>
      <c r="D579" t="s">
        <v>15</v>
      </c>
      <c r="E579">
        <v>98</v>
      </c>
      <c r="F579">
        <v>48</v>
      </c>
      <c r="G579" t="s">
        <v>4799</v>
      </c>
      <c r="H579" t="s">
        <v>4805</v>
      </c>
      <c r="I579">
        <v>17.989999999999998</v>
      </c>
      <c r="J579">
        <v>5</v>
      </c>
      <c r="K579">
        <v>3.27</v>
      </c>
      <c r="L579">
        <v>0</v>
      </c>
      <c r="M579" t="s">
        <v>4808</v>
      </c>
      <c r="N579" t="s">
        <v>4900</v>
      </c>
      <c r="O579" t="s">
        <v>4910</v>
      </c>
    </row>
    <row r="580" spans="1:15" x14ac:dyDescent="0.35">
      <c r="A580" t="s">
        <v>589</v>
      </c>
      <c r="B580">
        <v>55</v>
      </c>
      <c r="C580" t="s">
        <v>4803</v>
      </c>
      <c r="D580" t="s">
        <v>13</v>
      </c>
      <c r="E580">
        <v>63</v>
      </c>
      <c r="F580">
        <v>51</v>
      </c>
      <c r="G580" t="s">
        <v>4799</v>
      </c>
      <c r="H580" t="s">
        <v>4805</v>
      </c>
      <c r="I580">
        <v>13.99</v>
      </c>
      <c r="J580">
        <v>2</v>
      </c>
      <c r="K580">
        <v>2.1</v>
      </c>
      <c r="L580">
        <v>0</v>
      </c>
      <c r="M580" t="s">
        <v>4809</v>
      </c>
      <c r="N580" t="s">
        <v>4900</v>
      </c>
      <c r="O580" t="s">
        <v>4911</v>
      </c>
    </row>
    <row r="581" spans="1:15" x14ac:dyDescent="0.35">
      <c r="A581" t="s">
        <v>590</v>
      </c>
      <c r="B581">
        <v>58</v>
      </c>
      <c r="C581" t="s">
        <v>4803</v>
      </c>
      <c r="D581" t="s">
        <v>13</v>
      </c>
      <c r="E581">
        <v>74</v>
      </c>
      <c r="F581">
        <v>999</v>
      </c>
      <c r="G581" t="s">
        <v>4797</v>
      </c>
      <c r="H581" t="s">
        <v>4805</v>
      </c>
      <c r="I581">
        <v>13.99</v>
      </c>
      <c r="J581">
        <v>1</v>
      </c>
      <c r="K581">
        <v>2.4700000000000002</v>
      </c>
      <c r="L581">
        <v>0</v>
      </c>
      <c r="M581" t="s">
        <v>4809</v>
      </c>
      <c r="N581" t="s">
        <v>4900</v>
      </c>
      <c r="O581" t="s">
        <v>4911</v>
      </c>
    </row>
    <row r="582" spans="1:15" x14ac:dyDescent="0.35">
      <c r="A582" t="s">
        <v>591</v>
      </c>
      <c r="B582">
        <v>59</v>
      </c>
      <c r="C582" t="s">
        <v>4803</v>
      </c>
      <c r="D582" t="s">
        <v>15</v>
      </c>
      <c r="E582">
        <v>58</v>
      </c>
      <c r="F582">
        <v>51</v>
      </c>
      <c r="G582" t="s">
        <v>4799</v>
      </c>
      <c r="H582" t="s">
        <v>4805</v>
      </c>
      <c r="I582">
        <v>17.989999999999998</v>
      </c>
      <c r="J582">
        <v>2</v>
      </c>
      <c r="K582">
        <v>1.93</v>
      </c>
      <c r="L582">
        <v>1</v>
      </c>
      <c r="M582" t="s">
        <v>4811</v>
      </c>
      <c r="N582" t="s">
        <v>4899</v>
      </c>
      <c r="O582" t="s">
        <v>4911</v>
      </c>
    </row>
    <row r="583" spans="1:15" x14ac:dyDescent="0.35">
      <c r="A583" t="s">
        <v>592</v>
      </c>
      <c r="B583">
        <v>51</v>
      </c>
      <c r="C583" t="s">
        <v>4803</v>
      </c>
      <c r="D583" t="s">
        <v>13</v>
      </c>
      <c r="E583">
        <v>56</v>
      </c>
      <c r="F583">
        <v>43</v>
      </c>
      <c r="G583" t="s">
        <v>4798</v>
      </c>
      <c r="H583" t="s">
        <v>4805</v>
      </c>
      <c r="I583">
        <v>13.99</v>
      </c>
      <c r="J583">
        <v>2</v>
      </c>
      <c r="K583">
        <v>1.87</v>
      </c>
      <c r="L583">
        <v>0</v>
      </c>
      <c r="M583" t="s">
        <v>4809</v>
      </c>
      <c r="N583" t="s">
        <v>4900</v>
      </c>
      <c r="O583" t="s">
        <v>4910</v>
      </c>
    </row>
    <row r="584" spans="1:15" x14ac:dyDescent="0.35">
      <c r="A584" t="s">
        <v>593</v>
      </c>
      <c r="B584">
        <v>26</v>
      </c>
      <c r="C584" t="s">
        <v>4803</v>
      </c>
      <c r="D584" t="s">
        <v>13</v>
      </c>
      <c r="E584">
        <v>47</v>
      </c>
      <c r="F584">
        <v>15</v>
      </c>
      <c r="G584" t="s">
        <v>4800</v>
      </c>
      <c r="H584" t="s">
        <v>4804</v>
      </c>
      <c r="I584">
        <v>13.99</v>
      </c>
      <c r="J584">
        <v>4</v>
      </c>
      <c r="K584">
        <v>1.57</v>
      </c>
      <c r="L584">
        <v>0</v>
      </c>
      <c r="M584" t="s">
        <v>4812</v>
      </c>
      <c r="N584" t="s">
        <v>4900</v>
      </c>
      <c r="O584" t="s">
        <v>4912</v>
      </c>
    </row>
    <row r="585" spans="1:15" x14ac:dyDescent="0.35">
      <c r="A585" t="s">
        <v>594</v>
      </c>
      <c r="B585">
        <v>46</v>
      </c>
      <c r="C585" t="s">
        <v>4803</v>
      </c>
      <c r="D585" t="s">
        <v>13</v>
      </c>
      <c r="E585">
        <v>53</v>
      </c>
      <c r="F585">
        <v>23</v>
      </c>
      <c r="G585" t="s">
        <v>4799</v>
      </c>
      <c r="H585" t="s">
        <v>4807</v>
      </c>
      <c r="I585">
        <v>13.99</v>
      </c>
      <c r="J585">
        <v>3</v>
      </c>
      <c r="K585">
        <v>1.77</v>
      </c>
      <c r="L585">
        <v>0</v>
      </c>
      <c r="M585" t="s">
        <v>4809</v>
      </c>
      <c r="N585" t="s">
        <v>4900</v>
      </c>
      <c r="O585" t="s">
        <v>4910</v>
      </c>
    </row>
    <row r="586" spans="1:15" x14ac:dyDescent="0.35">
      <c r="A586" t="s">
        <v>595</v>
      </c>
      <c r="B586">
        <v>31</v>
      </c>
      <c r="C586" t="s">
        <v>4803</v>
      </c>
      <c r="D586" t="s">
        <v>13</v>
      </c>
      <c r="E586">
        <v>69</v>
      </c>
      <c r="F586">
        <v>55</v>
      </c>
      <c r="G586" t="s">
        <v>4799</v>
      </c>
      <c r="H586" t="s">
        <v>4805</v>
      </c>
      <c r="I586">
        <v>13.99</v>
      </c>
      <c r="J586">
        <v>2</v>
      </c>
      <c r="K586">
        <v>2.2999999999999998</v>
      </c>
      <c r="L586">
        <v>0</v>
      </c>
      <c r="M586" t="s">
        <v>4812</v>
      </c>
      <c r="N586" t="s">
        <v>4900</v>
      </c>
      <c r="O586" t="s">
        <v>4912</v>
      </c>
    </row>
    <row r="587" spans="1:15" x14ac:dyDescent="0.35">
      <c r="A587" t="s">
        <v>596</v>
      </c>
      <c r="B587">
        <v>30</v>
      </c>
      <c r="C587" t="s">
        <v>4803</v>
      </c>
      <c r="D587" t="s">
        <v>15</v>
      </c>
      <c r="E587">
        <v>50</v>
      </c>
      <c r="F587">
        <v>19</v>
      </c>
      <c r="G587" t="s">
        <v>4800</v>
      </c>
      <c r="H587" t="s">
        <v>4806</v>
      </c>
      <c r="I587">
        <v>17.989999999999998</v>
      </c>
      <c r="J587">
        <v>3</v>
      </c>
      <c r="K587">
        <v>1.67</v>
      </c>
      <c r="L587">
        <v>0</v>
      </c>
      <c r="M587" t="s">
        <v>4809</v>
      </c>
      <c r="N587" t="s">
        <v>4900</v>
      </c>
      <c r="O587" t="s">
        <v>4912</v>
      </c>
    </row>
    <row r="588" spans="1:15" x14ac:dyDescent="0.35">
      <c r="A588" t="s">
        <v>597</v>
      </c>
      <c r="B588">
        <v>50</v>
      </c>
      <c r="C588" t="s">
        <v>4802</v>
      </c>
      <c r="D588" t="s">
        <v>14</v>
      </c>
      <c r="E588">
        <v>14</v>
      </c>
      <c r="F588">
        <v>32</v>
      </c>
      <c r="G588" t="s">
        <v>4798</v>
      </c>
      <c r="H588" t="s">
        <v>4804</v>
      </c>
      <c r="I588">
        <v>8.99</v>
      </c>
      <c r="J588">
        <v>2</v>
      </c>
      <c r="K588">
        <v>2.0299999999999998</v>
      </c>
      <c r="L588">
        <v>1</v>
      </c>
      <c r="M588" t="s">
        <v>4812</v>
      </c>
      <c r="N588" t="s">
        <v>4899</v>
      </c>
      <c r="O588" t="s">
        <v>4910</v>
      </c>
    </row>
    <row r="589" spans="1:15" x14ac:dyDescent="0.35">
      <c r="A589" t="s">
        <v>598</v>
      </c>
      <c r="B589">
        <v>22</v>
      </c>
      <c r="C589" t="s">
        <v>4803</v>
      </c>
      <c r="D589" t="s">
        <v>13</v>
      </c>
      <c r="E589">
        <v>72</v>
      </c>
      <c r="F589">
        <v>5</v>
      </c>
      <c r="G589" t="s">
        <v>4798</v>
      </c>
      <c r="H589" t="s">
        <v>4805</v>
      </c>
      <c r="I589">
        <v>13.99</v>
      </c>
      <c r="J589">
        <v>4</v>
      </c>
      <c r="K589">
        <v>2.4</v>
      </c>
      <c r="L589">
        <v>0</v>
      </c>
      <c r="M589" t="s">
        <v>4812</v>
      </c>
      <c r="N589" t="s">
        <v>4900</v>
      </c>
      <c r="O589" t="s">
        <v>4912</v>
      </c>
    </row>
    <row r="590" spans="1:15" x14ac:dyDescent="0.35">
      <c r="A590" t="s">
        <v>599</v>
      </c>
      <c r="B590">
        <v>51</v>
      </c>
      <c r="C590" t="s">
        <v>4803</v>
      </c>
      <c r="D590" t="s">
        <v>15</v>
      </c>
      <c r="E590">
        <v>54</v>
      </c>
      <c r="F590">
        <v>16</v>
      </c>
      <c r="G590" t="s">
        <v>4799</v>
      </c>
      <c r="H590" t="s">
        <v>4807</v>
      </c>
      <c r="I590">
        <v>17.989999999999998</v>
      </c>
      <c r="J590">
        <v>4</v>
      </c>
      <c r="K590">
        <v>1.8</v>
      </c>
      <c r="L590">
        <v>0</v>
      </c>
      <c r="M590" t="s">
        <v>4812</v>
      </c>
      <c r="N590" t="s">
        <v>4900</v>
      </c>
      <c r="O590" t="s">
        <v>4910</v>
      </c>
    </row>
    <row r="591" spans="1:15" x14ac:dyDescent="0.35">
      <c r="A591" t="s">
        <v>600</v>
      </c>
      <c r="B591">
        <v>42</v>
      </c>
      <c r="C591" t="s">
        <v>4802</v>
      </c>
      <c r="D591" t="s">
        <v>13</v>
      </c>
      <c r="E591">
        <v>30</v>
      </c>
      <c r="F591">
        <v>9</v>
      </c>
      <c r="G591" t="s">
        <v>4799</v>
      </c>
      <c r="H591" t="s">
        <v>4805</v>
      </c>
      <c r="I591">
        <v>13.99</v>
      </c>
      <c r="J591">
        <v>1</v>
      </c>
      <c r="K591">
        <v>1</v>
      </c>
      <c r="L591">
        <v>0</v>
      </c>
      <c r="M591" t="s">
        <v>4811</v>
      </c>
      <c r="N591" t="s">
        <v>4900</v>
      </c>
      <c r="O591" t="s">
        <v>4910</v>
      </c>
    </row>
    <row r="592" spans="1:15" x14ac:dyDescent="0.35">
      <c r="A592" t="s">
        <v>601</v>
      </c>
      <c r="B592">
        <v>56</v>
      </c>
      <c r="C592" t="s">
        <v>4802</v>
      </c>
      <c r="D592" t="s">
        <v>15</v>
      </c>
      <c r="E592">
        <v>54</v>
      </c>
      <c r="F592">
        <v>0</v>
      </c>
      <c r="G592" t="s">
        <v>4799</v>
      </c>
      <c r="H592" t="s">
        <v>4804</v>
      </c>
      <c r="I592">
        <v>17.989999999999998</v>
      </c>
      <c r="J592">
        <v>2</v>
      </c>
      <c r="K592">
        <v>1.8</v>
      </c>
      <c r="L592">
        <v>0</v>
      </c>
      <c r="M592" t="s">
        <v>4809</v>
      </c>
      <c r="N592" t="s">
        <v>4900</v>
      </c>
      <c r="O592" t="s">
        <v>4911</v>
      </c>
    </row>
    <row r="593" spans="1:15" x14ac:dyDescent="0.35">
      <c r="A593" t="s">
        <v>602</v>
      </c>
      <c r="B593">
        <v>21</v>
      </c>
      <c r="C593" t="s">
        <v>4802</v>
      </c>
      <c r="D593" t="s">
        <v>13</v>
      </c>
      <c r="E593">
        <v>58</v>
      </c>
      <c r="F593">
        <v>54</v>
      </c>
      <c r="G593" t="s">
        <v>4799</v>
      </c>
      <c r="H593" t="s">
        <v>4804</v>
      </c>
      <c r="I593">
        <v>13.99</v>
      </c>
      <c r="J593">
        <v>1</v>
      </c>
      <c r="K593">
        <v>1.93</v>
      </c>
      <c r="L593">
        <v>0</v>
      </c>
      <c r="M593" t="s">
        <v>4810</v>
      </c>
      <c r="N593" t="s">
        <v>4900</v>
      </c>
      <c r="O593" t="s">
        <v>4912</v>
      </c>
    </row>
    <row r="594" spans="1:15" x14ac:dyDescent="0.35">
      <c r="A594" t="s">
        <v>603</v>
      </c>
      <c r="B594">
        <v>19</v>
      </c>
      <c r="C594" t="s">
        <v>4802</v>
      </c>
      <c r="D594" t="s">
        <v>13</v>
      </c>
      <c r="E594">
        <v>69</v>
      </c>
      <c r="F594">
        <v>44</v>
      </c>
      <c r="G594" t="s">
        <v>4798</v>
      </c>
      <c r="H594" t="s">
        <v>4804</v>
      </c>
      <c r="I594">
        <v>13.99</v>
      </c>
      <c r="J594">
        <v>2</v>
      </c>
      <c r="K594">
        <v>2.2999999999999998</v>
      </c>
      <c r="L594">
        <v>0</v>
      </c>
      <c r="M594" t="s">
        <v>4809</v>
      </c>
      <c r="N594" t="s">
        <v>4900</v>
      </c>
      <c r="O594" t="s">
        <v>4912</v>
      </c>
    </row>
    <row r="595" spans="1:15" x14ac:dyDescent="0.35">
      <c r="A595" t="s">
        <v>604</v>
      </c>
      <c r="B595">
        <v>46</v>
      </c>
      <c r="C595" t="s">
        <v>4802</v>
      </c>
      <c r="D595" t="s">
        <v>13</v>
      </c>
      <c r="E595">
        <v>51</v>
      </c>
      <c r="F595">
        <v>49</v>
      </c>
      <c r="G595" t="s">
        <v>4797</v>
      </c>
      <c r="H595" t="s">
        <v>4806</v>
      </c>
      <c r="I595">
        <v>13.99</v>
      </c>
      <c r="J595">
        <v>1</v>
      </c>
      <c r="K595">
        <v>1.7</v>
      </c>
      <c r="L595">
        <v>1</v>
      </c>
      <c r="M595" t="s">
        <v>4812</v>
      </c>
      <c r="N595" t="s">
        <v>4899</v>
      </c>
      <c r="O595" t="s">
        <v>4910</v>
      </c>
    </row>
    <row r="596" spans="1:15" x14ac:dyDescent="0.35">
      <c r="A596" t="s">
        <v>605</v>
      </c>
      <c r="B596">
        <v>37</v>
      </c>
      <c r="C596" t="s">
        <v>4802</v>
      </c>
      <c r="D596" t="s">
        <v>15</v>
      </c>
      <c r="E596">
        <v>64</v>
      </c>
      <c r="F596">
        <v>40</v>
      </c>
      <c r="G596" t="s">
        <v>4798</v>
      </c>
      <c r="H596" t="s">
        <v>4805</v>
      </c>
      <c r="I596">
        <v>17.989999999999998</v>
      </c>
      <c r="J596">
        <v>2</v>
      </c>
      <c r="K596">
        <v>2.13</v>
      </c>
      <c r="L596">
        <v>0</v>
      </c>
      <c r="M596" t="s">
        <v>4811</v>
      </c>
      <c r="N596" t="s">
        <v>4900</v>
      </c>
      <c r="O596" t="s">
        <v>4910</v>
      </c>
    </row>
    <row r="597" spans="1:15" x14ac:dyDescent="0.35">
      <c r="A597" t="s">
        <v>606</v>
      </c>
      <c r="B597">
        <v>52</v>
      </c>
      <c r="C597" t="s">
        <v>4802</v>
      </c>
      <c r="D597" t="s">
        <v>15</v>
      </c>
      <c r="E597">
        <v>72</v>
      </c>
      <c r="F597">
        <v>22</v>
      </c>
      <c r="G597" t="s">
        <v>4799</v>
      </c>
      <c r="H597" t="s">
        <v>4804</v>
      </c>
      <c r="I597">
        <v>17.989999999999998</v>
      </c>
      <c r="J597">
        <v>4</v>
      </c>
      <c r="K597">
        <v>2.4</v>
      </c>
      <c r="L597">
        <v>0</v>
      </c>
      <c r="M597" t="s">
        <v>4811</v>
      </c>
      <c r="N597" t="s">
        <v>4900</v>
      </c>
      <c r="O597" t="s">
        <v>4910</v>
      </c>
    </row>
    <row r="598" spans="1:15" x14ac:dyDescent="0.35">
      <c r="A598" t="s">
        <v>607</v>
      </c>
      <c r="B598">
        <v>41</v>
      </c>
      <c r="C598" t="s">
        <v>4803</v>
      </c>
      <c r="D598" t="s">
        <v>13</v>
      </c>
      <c r="E598">
        <v>60</v>
      </c>
      <c r="F598">
        <v>49</v>
      </c>
      <c r="G598" t="s">
        <v>4798</v>
      </c>
      <c r="H598" t="s">
        <v>4805</v>
      </c>
      <c r="I598">
        <v>13.99</v>
      </c>
      <c r="J598">
        <v>4</v>
      </c>
      <c r="K598">
        <v>2</v>
      </c>
      <c r="L598">
        <v>0</v>
      </c>
      <c r="M598" t="s">
        <v>4809</v>
      </c>
      <c r="N598" t="s">
        <v>4900</v>
      </c>
      <c r="O598" t="s">
        <v>4910</v>
      </c>
    </row>
    <row r="599" spans="1:15" x14ac:dyDescent="0.35">
      <c r="A599" t="s">
        <v>608</v>
      </c>
      <c r="B599">
        <v>52</v>
      </c>
      <c r="C599" t="s">
        <v>4802</v>
      </c>
      <c r="D599" t="s">
        <v>14</v>
      </c>
      <c r="E599">
        <v>15</v>
      </c>
      <c r="F599">
        <v>21</v>
      </c>
      <c r="G599" t="s">
        <v>4799</v>
      </c>
      <c r="H599" t="s">
        <v>4804</v>
      </c>
      <c r="I599">
        <v>8.99</v>
      </c>
      <c r="J599">
        <v>2</v>
      </c>
      <c r="K599">
        <v>0.5</v>
      </c>
      <c r="L599">
        <v>0</v>
      </c>
      <c r="M599" t="s">
        <v>4808</v>
      </c>
      <c r="N599" t="s">
        <v>4900</v>
      </c>
      <c r="O599" t="s">
        <v>4910</v>
      </c>
    </row>
    <row r="600" spans="1:15" x14ac:dyDescent="0.35">
      <c r="A600" t="s">
        <v>609</v>
      </c>
      <c r="B600">
        <v>36</v>
      </c>
      <c r="C600" t="s">
        <v>4802</v>
      </c>
      <c r="D600" t="s">
        <v>13</v>
      </c>
      <c r="E600">
        <v>67</v>
      </c>
      <c r="F600">
        <v>10</v>
      </c>
      <c r="G600" t="s">
        <v>4798</v>
      </c>
      <c r="H600" t="s">
        <v>4804</v>
      </c>
      <c r="I600">
        <v>13.99</v>
      </c>
      <c r="J600">
        <v>4</v>
      </c>
      <c r="K600">
        <v>2.23</v>
      </c>
      <c r="L600">
        <v>0</v>
      </c>
      <c r="M600" t="s">
        <v>4809</v>
      </c>
      <c r="N600" t="s">
        <v>4900</v>
      </c>
      <c r="O600" t="s">
        <v>4910</v>
      </c>
    </row>
    <row r="601" spans="1:15" x14ac:dyDescent="0.35">
      <c r="A601" t="s">
        <v>610</v>
      </c>
      <c r="B601">
        <v>62</v>
      </c>
      <c r="C601" t="s">
        <v>4802</v>
      </c>
      <c r="D601" t="s">
        <v>15</v>
      </c>
      <c r="E601">
        <v>53</v>
      </c>
      <c r="F601">
        <v>55</v>
      </c>
      <c r="G601" t="s">
        <v>4798</v>
      </c>
      <c r="H601" t="s">
        <v>4807</v>
      </c>
      <c r="I601">
        <v>17.989999999999998</v>
      </c>
      <c r="J601">
        <v>2</v>
      </c>
      <c r="K601">
        <v>1.77</v>
      </c>
      <c r="L601">
        <v>1</v>
      </c>
      <c r="M601" t="s">
        <v>4811</v>
      </c>
      <c r="N601" t="s">
        <v>4899</v>
      </c>
      <c r="O601" t="s">
        <v>4911</v>
      </c>
    </row>
    <row r="602" spans="1:15" x14ac:dyDescent="0.35">
      <c r="A602" t="s">
        <v>611</v>
      </c>
      <c r="B602">
        <v>50</v>
      </c>
      <c r="C602" t="s">
        <v>4802</v>
      </c>
      <c r="D602" t="s">
        <v>15</v>
      </c>
      <c r="E602">
        <v>97</v>
      </c>
      <c r="F602">
        <v>52</v>
      </c>
      <c r="G602" t="s">
        <v>4797</v>
      </c>
      <c r="H602" t="s">
        <v>4805</v>
      </c>
      <c r="I602">
        <v>17.989999999999998</v>
      </c>
      <c r="J602">
        <v>3</v>
      </c>
      <c r="K602">
        <v>3.23</v>
      </c>
      <c r="L602">
        <v>0</v>
      </c>
      <c r="M602" t="s">
        <v>4811</v>
      </c>
      <c r="N602" t="s">
        <v>4900</v>
      </c>
      <c r="O602" t="s">
        <v>4910</v>
      </c>
    </row>
    <row r="603" spans="1:15" x14ac:dyDescent="0.35">
      <c r="A603" t="s">
        <v>612</v>
      </c>
      <c r="B603">
        <v>29</v>
      </c>
      <c r="C603" t="s">
        <v>4802</v>
      </c>
      <c r="D603" t="s">
        <v>13</v>
      </c>
      <c r="E603">
        <v>63</v>
      </c>
      <c r="F603">
        <v>6</v>
      </c>
      <c r="G603" t="s">
        <v>4797</v>
      </c>
      <c r="H603" t="s">
        <v>4805</v>
      </c>
      <c r="I603">
        <v>13.99</v>
      </c>
      <c r="J603">
        <v>4</v>
      </c>
      <c r="K603">
        <v>2.1</v>
      </c>
      <c r="L603">
        <v>0</v>
      </c>
      <c r="M603" t="s">
        <v>4808</v>
      </c>
      <c r="N603" t="s">
        <v>4900</v>
      </c>
      <c r="O603" t="s">
        <v>4912</v>
      </c>
    </row>
    <row r="604" spans="1:15" x14ac:dyDescent="0.35">
      <c r="A604" t="s">
        <v>613</v>
      </c>
      <c r="B604">
        <v>55</v>
      </c>
      <c r="C604" t="s">
        <v>4803</v>
      </c>
      <c r="D604" t="s">
        <v>13</v>
      </c>
      <c r="E604">
        <v>71</v>
      </c>
      <c r="F604">
        <v>28</v>
      </c>
      <c r="G604" t="s">
        <v>4799</v>
      </c>
      <c r="H604" t="s">
        <v>4804</v>
      </c>
      <c r="I604">
        <v>13.99</v>
      </c>
      <c r="J604">
        <v>4</v>
      </c>
      <c r="K604">
        <v>2.37</v>
      </c>
      <c r="L604">
        <v>0</v>
      </c>
      <c r="M604" t="s">
        <v>4812</v>
      </c>
      <c r="N604" t="s">
        <v>4900</v>
      </c>
      <c r="O604" t="s">
        <v>4911</v>
      </c>
    </row>
    <row r="605" spans="1:15" x14ac:dyDescent="0.35">
      <c r="A605" t="s">
        <v>614</v>
      </c>
      <c r="B605">
        <v>33</v>
      </c>
      <c r="C605" t="s">
        <v>4803</v>
      </c>
      <c r="D605" t="s">
        <v>15</v>
      </c>
      <c r="E605">
        <v>46</v>
      </c>
      <c r="F605">
        <v>32</v>
      </c>
      <c r="G605" t="s">
        <v>4799</v>
      </c>
      <c r="H605" t="s">
        <v>4806</v>
      </c>
      <c r="I605">
        <v>17.989999999999998</v>
      </c>
      <c r="J605">
        <v>1</v>
      </c>
      <c r="K605">
        <v>1.53</v>
      </c>
      <c r="L605">
        <v>0</v>
      </c>
      <c r="M605" t="s">
        <v>4811</v>
      </c>
      <c r="N605" t="s">
        <v>4900</v>
      </c>
      <c r="O605" t="s">
        <v>4912</v>
      </c>
    </row>
    <row r="606" spans="1:15" x14ac:dyDescent="0.35">
      <c r="A606" t="s">
        <v>615</v>
      </c>
      <c r="B606">
        <v>64</v>
      </c>
      <c r="C606" t="s">
        <v>4803</v>
      </c>
      <c r="D606" t="s">
        <v>13</v>
      </c>
      <c r="E606">
        <v>56</v>
      </c>
      <c r="F606">
        <v>3</v>
      </c>
      <c r="G606" t="s">
        <v>4798</v>
      </c>
      <c r="H606" t="s">
        <v>4805</v>
      </c>
      <c r="I606">
        <v>13.99</v>
      </c>
      <c r="J606">
        <v>2</v>
      </c>
      <c r="K606">
        <v>1.87</v>
      </c>
      <c r="L606">
        <v>0</v>
      </c>
      <c r="M606" t="s">
        <v>4810</v>
      </c>
      <c r="N606" t="s">
        <v>4900</v>
      </c>
      <c r="O606" t="s">
        <v>4911</v>
      </c>
    </row>
    <row r="607" spans="1:15" x14ac:dyDescent="0.35">
      <c r="A607" t="s">
        <v>616</v>
      </c>
      <c r="B607">
        <v>59</v>
      </c>
      <c r="C607" t="s">
        <v>4803</v>
      </c>
      <c r="D607" t="s">
        <v>13</v>
      </c>
      <c r="E607">
        <v>59</v>
      </c>
      <c r="F607">
        <v>48</v>
      </c>
      <c r="G607" t="s">
        <v>4799</v>
      </c>
      <c r="H607" t="s">
        <v>4806</v>
      </c>
      <c r="I607">
        <v>13.99</v>
      </c>
      <c r="J607">
        <v>1</v>
      </c>
      <c r="K607">
        <v>1.97</v>
      </c>
      <c r="L607">
        <v>0</v>
      </c>
      <c r="M607" t="s">
        <v>4812</v>
      </c>
      <c r="N607" t="s">
        <v>4900</v>
      </c>
      <c r="O607" t="s">
        <v>4911</v>
      </c>
    </row>
    <row r="608" spans="1:15" x14ac:dyDescent="0.35">
      <c r="A608" t="s">
        <v>617</v>
      </c>
      <c r="B608">
        <v>50</v>
      </c>
      <c r="C608" t="s">
        <v>4802</v>
      </c>
      <c r="D608" t="s">
        <v>13</v>
      </c>
      <c r="E608">
        <v>33</v>
      </c>
      <c r="F608">
        <v>1</v>
      </c>
      <c r="G608" t="s">
        <v>4798</v>
      </c>
      <c r="H608" t="s">
        <v>4804</v>
      </c>
      <c r="I608">
        <v>13.99</v>
      </c>
      <c r="J608">
        <v>4</v>
      </c>
      <c r="K608">
        <v>1.1000000000000001</v>
      </c>
      <c r="L608">
        <v>0</v>
      </c>
      <c r="M608" t="s">
        <v>4812</v>
      </c>
      <c r="N608" t="s">
        <v>4900</v>
      </c>
      <c r="O608" t="s">
        <v>4910</v>
      </c>
    </row>
    <row r="609" spans="1:15" x14ac:dyDescent="0.35">
      <c r="A609" t="s">
        <v>618</v>
      </c>
      <c r="B609">
        <v>44</v>
      </c>
      <c r="C609" t="s">
        <v>4803</v>
      </c>
      <c r="D609" t="s">
        <v>13</v>
      </c>
      <c r="E609">
        <v>59</v>
      </c>
      <c r="F609">
        <v>3</v>
      </c>
      <c r="G609" t="s">
        <v>4798</v>
      </c>
      <c r="H609" t="s">
        <v>4805</v>
      </c>
      <c r="I609">
        <v>13.99</v>
      </c>
      <c r="J609">
        <v>4</v>
      </c>
      <c r="K609">
        <v>2.0299999999999998</v>
      </c>
      <c r="L609">
        <v>0</v>
      </c>
      <c r="M609" t="s">
        <v>4809</v>
      </c>
      <c r="N609" t="s">
        <v>4900</v>
      </c>
      <c r="O609" t="s">
        <v>4910</v>
      </c>
    </row>
    <row r="610" spans="1:15" x14ac:dyDescent="0.35">
      <c r="A610" t="s">
        <v>619</v>
      </c>
      <c r="B610">
        <v>40</v>
      </c>
      <c r="C610" t="s">
        <v>4803</v>
      </c>
      <c r="D610" t="s">
        <v>13</v>
      </c>
      <c r="E610">
        <v>76</v>
      </c>
      <c r="F610">
        <v>35</v>
      </c>
      <c r="G610" t="s">
        <v>4797</v>
      </c>
      <c r="H610" t="s">
        <v>4804</v>
      </c>
      <c r="I610">
        <v>13.99</v>
      </c>
      <c r="J610">
        <v>3</v>
      </c>
      <c r="K610">
        <v>2.5299999999999998</v>
      </c>
      <c r="L610">
        <v>0</v>
      </c>
      <c r="M610" t="s">
        <v>4809</v>
      </c>
      <c r="N610" t="s">
        <v>4900</v>
      </c>
      <c r="O610" t="s">
        <v>4910</v>
      </c>
    </row>
    <row r="611" spans="1:15" x14ac:dyDescent="0.35">
      <c r="A611" t="s">
        <v>620</v>
      </c>
      <c r="B611">
        <v>58</v>
      </c>
      <c r="C611" t="s">
        <v>4803</v>
      </c>
      <c r="D611" t="s">
        <v>13</v>
      </c>
      <c r="E611">
        <v>30</v>
      </c>
      <c r="F611">
        <v>34</v>
      </c>
      <c r="G611" t="s">
        <v>4797</v>
      </c>
      <c r="H611" t="s">
        <v>4806</v>
      </c>
      <c r="I611">
        <v>13.99</v>
      </c>
      <c r="J611">
        <v>3</v>
      </c>
      <c r="K611">
        <v>1</v>
      </c>
      <c r="L611">
        <v>1</v>
      </c>
      <c r="M611" t="s">
        <v>4809</v>
      </c>
      <c r="N611" t="s">
        <v>4899</v>
      </c>
      <c r="O611" t="s">
        <v>4911</v>
      </c>
    </row>
    <row r="612" spans="1:15" x14ac:dyDescent="0.35">
      <c r="A612" t="s">
        <v>621</v>
      </c>
      <c r="B612">
        <v>53</v>
      </c>
      <c r="C612" t="s">
        <v>4802</v>
      </c>
      <c r="D612" t="s">
        <v>13</v>
      </c>
      <c r="E612">
        <v>47</v>
      </c>
      <c r="F612">
        <v>48</v>
      </c>
      <c r="G612" t="s">
        <v>4797</v>
      </c>
      <c r="H612" t="s">
        <v>4805</v>
      </c>
      <c r="I612">
        <v>13.99</v>
      </c>
      <c r="J612">
        <v>4</v>
      </c>
      <c r="K612">
        <v>1.57</v>
      </c>
      <c r="L612">
        <v>0</v>
      </c>
      <c r="M612" t="s">
        <v>4809</v>
      </c>
      <c r="N612" t="s">
        <v>4900</v>
      </c>
      <c r="O612" t="s">
        <v>4910</v>
      </c>
    </row>
    <row r="613" spans="1:15" x14ac:dyDescent="0.35">
      <c r="A613" t="s">
        <v>622</v>
      </c>
      <c r="B613">
        <v>20</v>
      </c>
      <c r="C613" t="s">
        <v>4802</v>
      </c>
      <c r="D613" t="s">
        <v>13</v>
      </c>
      <c r="E613">
        <v>42</v>
      </c>
      <c r="F613">
        <v>16</v>
      </c>
      <c r="G613" t="s">
        <v>4800</v>
      </c>
      <c r="H613" t="s">
        <v>4804</v>
      </c>
      <c r="I613">
        <v>13.99</v>
      </c>
      <c r="J613">
        <v>4</v>
      </c>
      <c r="K613">
        <v>1.4</v>
      </c>
      <c r="L613">
        <v>0</v>
      </c>
      <c r="M613" t="s">
        <v>4810</v>
      </c>
      <c r="N613" t="s">
        <v>4900</v>
      </c>
      <c r="O613" t="s">
        <v>4912</v>
      </c>
    </row>
    <row r="614" spans="1:15" x14ac:dyDescent="0.35">
      <c r="A614" t="s">
        <v>623</v>
      </c>
      <c r="B614">
        <v>46</v>
      </c>
      <c r="C614" t="s">
        <v>4802</v>
      </c>
      <c r="D614" t="s">
        <v>13</v>
      </c>
      <c r="E614">
        <v>64</v>
      </c>
      <c r="F614">
        <v>11</v>
      </c>
      <c r="G614" t="s">
        <v>4798</v>
      </c>
      <c r="H614" t="s">
        <v>4805</v>
      </c>
      <c r="I614">
        <v>13.99</v>
      </c>
      <c r="J614">
        <v>1</v>
      </c>
      <c r="K614">
        <v>2.13</v>
      </c>
      <c r="L614">
        <v>0</v>
      </c>
      <c r="M614" t="s">
        <v>4811</v>
      </c>
      <c r="N614" t="s">
        <v>4900</v>
      </c>
      <c r="O614" t="s">
        <v>4910</v>
      </c>
    </row>
    <row r="615" spans="1:15" x14ac:dyDescent="0.35">
      <c r="A615" t="s">
        <v>624</v>
      </c>
      <c r="B615">
        <v>64</v>
      </c>
      <c r="C615" t="s">
        <v>4802</v>
      </c>
      <c r="D615" t="s">
        <v>15</v>
      </c>
      <c r="E615">
        <v>96</v>
      </c>
      <c r="F615">
        <v>45</v>
      </c>
      <c r="G615" t="s">
        <v>4798</v>
      </c>
      <c r="H615" t="s">
        <v>4804</v>
      </c>
      <c r="I615">
        <v>17.989999999999998</v>
      </c>
      <c r="J615">
        <v>4</v>
      </c>
      <c r="K615">
        <v>3.2</v>
      </c>
      <c r="L615">
        <v>0</v>
      </c>
      <c r="M615" t="s">
        <v>4812</v>
      </c>
      <c r="N615" t="s">
        <v>4900</v>
      </c>
      <c r="O615" t="s">
        <v>4911</v>
      </c>
    </row>
    <row r="616" spans="1:15" x14ac:dyDescent="0.35">
      <c r="A616" t="s">
        <v>625</v>
      </c>
      <c r="B616">
        <v>31</v>
      </c>
      <c r="C616" t="s">
        <v>4802</v>
      </c>
      <c r="D616" t="s">
        <v>15</v>
      </c>
      <c r="E616">
        <v>94</v>
      </c>
      <c r="F616">
        <v>44</v>
      </c>
      <c r="G616" t="s">
        <v>4799</v>
      </c>
      <c r="H616" t="s">
        <v>4805</v>
      </c>
      <c r="I616">
        <v>17.989999999999998</v>
      </c>
      <c r="J616">
        <v>2</v>
      </c>
      <c r="K616">
        <v>3.13</v>
      </c>
      <c r="L616">
        <v>1</v>
      </c>
      <c r="M616" t="s">
        <v>4812</v>
      </c>
      <c r="N616" t="s">
        <v>4899</v>
      </c>
      <c r="O616" t="s">
        <v>4912</v>
      </c>
    </row>
    <row r="617" spans="1:15" x14ac:dyDescent="0.35">
      <c r="A617" t="s">
        <v>626</v>
      </c>
      <c r="B617">
        <v>41</v>
      </c>
      <c r="C617" t="s">
        <v>4802</v>
      </c>
      <c r="D617" t="s">
        <v>13</v>
      </c>
      <c r="E617">
        <v>69</v>
      </c>
      <c r="F617">
        <v>20</v>
      </c>
      <c r="G617" t="s">
        <v>4798</v>
      </c>
      <c r="H617" t="s">
        <v>4804</v>
      </c>
      <c r="I617">
        <v>13.99</v>
      </c>
      <c r="J617">
        <v>4</v>
      </c>
      <c r="K617">
        <v>2.2999999999999998</v>
      </c>
      <c r="L617">
        <v>0</v>
      </c>
      <c r="M617" t="s">
        <v>4809</v>
      </c>
      <c r="N617" t="s">
        <v>4900</v>
      </c>
      <c r="O617" t="s">
        <v>4910</v>
      </c>
    </row>
    <row r="618" spans="1:15" x14ac:dyDescent="0.35">
      <c r="A618" t="s">
        <v>627</v>
      </c>
      <c r="B618">
        <v>22</v>
      </c>
      <c r="C618" t="s">
        <v>4803</v>
      </c>
      <c r="D618" t="s">
        <v>13</v>
      </c>
      <c r="E618">
        <v>65</v>
      </c>
      <c r="F618">
        <v>10</v>
      </c>
      <c r="G618" t="s">
        <v>4800</v>
      </c>
      <c r="H618" t="s">
        <v>4804</v>
      </c>
      <c r="I618">
        <v>13.99</v>
      </c>
      <c r="J618">
        <v>3</v>
      </c>
      <c r="K618">
        <v>2.17</v>
      </c>
      <c r="L618">
        <v>0</v>
      </c>
      <c r="M618" t="s">
        <v>4810</v>
      </c>
      <c r="N618" t="s">
        <v>4900</v>
      </c>
      <c r="O618" t="s">
        <v>4912</v>
      </c>
    </row>
    <row r="619" spans="1:15" x14ac:dyDescent="0.35">
      <c r="A619" t="s">
        <v>628</v>
      </c>
      <c r="B619">
        <v>61</v>
      </c>
      <c r="C619" t="s">
        <v>4802</v>
      </c>
      <c r="D619" t="s">
        <v>13</v>
      </c>
      <c r="E619">
        <v>75</v>
      </c>
      <c r="F619">
        <v>24</v>
      </c>
      <c r="G619" t="s">
        <v>4798</v>
      </c>
      <c r="H619" t="s">
        <v>4805</v>
      </c>
      <c r="I619">
        <v>13.99</v>
      </c>
      <c r="J619">
        <v>3</v>
      </c>
      <c r="K619">
        <v>2.5</v>
      </c>
      <c r="L619">
        <v>1</v>
      </c>
      <c r="M619" t="s">
        <v>4810</v>
      </c>
      <c r="N619" t="s">
        <v>4899</v>
      </c>
      <c r="O619" t="s">
        <v>4911</v>
      </c>
    </row>
    <row r="620" spans="1:15" x14ac:dyDescent="0.35">
      <c r="A620" t="s">
        <v>629</v>
      </c>
      <c r="B620">
        <v>30</v>
      </c>
      <c r="C620" t="s">
        <v>4802</v>
      </c>
      <c r="D620" t="s">
        <v>15</v>
      </c>
      <c r="E620">
        <v>104</v>
      </c>
      <c r="F620">
        <v>39</v>
      </c>
      <c r="G620" t="s">
        <v>4799</v>
      </c>
      <c r="H620" t="s">
        <v>4805</v>
      </c>
      <c r="I620">
        <v>17.989999999999998</v>
      </c>
      <c r="J620">
        <v>4</v>
      </c>
      <c r="K620">
        <v>3.47</v>
      </c>
      <c r="L620">
        <v>0</v>
      </c>
      <c r="M620" t="s">
        <v>4809</v>
      </c>
      <c r="N620" t="s">
        <v>4900</v>
      </c>
      <c r="O620" t="s">
        <v>4912</v>
      </c>
    </row>
    <row r="621" spans="1:15" x14ac:dyDescent="0.35">
      <c r="A621" t="s">
        <v>630</v>
      </c>
      <c r="B621">
        <v>60</v>
      </c>
      <c r="C621" t="s">
        <v>4802</v>
      </c>
      <c r="D621" t="s">
        <v>13</v>
      </c>
      <c r="E621">
        <v>46</v>
      </c>
      <c r="F621">
        <v>11</v>
      </c>
      <c r="G621" t="s">
        <v>4797</v>
      </c>
      <c r="H621" t="s">
        <v>4807</v>
      </c>
      <c r="I621">
        <v>13.99</v>
      </c>
      <c r="J621">
        <v>3</v>
      </c>
      <c r="K621">
        <v>1.53</v>
      </c>
      <c r="L621">
        <v>0</v>
      </c>
      <c r="M621" t="s">
        <v>4810</v>
      </c>
      <c r="N621" t="s">
        <v>4900</v>
      </c>
      <c r="O621" t="s">
        <v>4911</v>
      </c>
    </row>
    <row r="622" spans="1:15" x14ac:dyDescent="0.35">
      <c r="A622" t="s">
        <v>631</v>
      </c>
      <c r="B622">
        <v>30</v>
      </c>
      <c r="C622" t="s">
        <v>4803</v>
      </c>
      <c r="D622" t="s">
        <v>13</v>
      </c>
      <c r="E622">
        <v>35</v>
      </c>
      <c r="F622">
        <v>5</v>
      </c>
      <c r="G622" t="s">
        <v>4798</v>
      </c>
      <c r="H622" t="s">
        <v>4804</v>
      </c>
      <c r="I622">
        <v>13.99</v>
      </c>
      <c r="J622">
        <v>2</v>
      </c>
      <c r="K622">
        <v>1.17</v>
      </c>
      <c r="L622">
        <v>0</v>
      </c>
      <c r="M622" t="s">
        <v>4812</v>
      </c>
      <c r="N622" t="s">
        <v>4900</v>
      </c>
      <c r="O622" t="s">
        <v>4912</v>
      </c>
    </row>
    <row r="623" spans="1:15" x14ac:dyDescent="0.35">
      <c r="A623" t="s">
        <v>632</v>
      </c>
      <c r="B623">
        <v>24</v>
      </c>
      <c r="C623" t="s">
        <v>4803</v>
      </c>
      <c r="D623" t="s">
        <v>13</v>
      </c>
      <c r="E623">
        <v>40</v>
      </c>
      <c r="F623">
        <v>59</v>
      </c>
      <c r="G623" t="s">
        <v>4798</v>
      </c>
      <c r="H623" t="s">
        <v>4806</v>
      </c>
      <c r="I623">
        <v>13.99</v>
      </c>
      <c r="J623">
        <v>3</v>
      </c>
      <c r="K623">
        <v>1.33</v>
      </c>
      <c r="L623">
        <v>0</v>
      </c>
      <c r="M623" t="s">
        <v>4808</v>
      </c>
      <c r="N623" t="s">
        <v>4900</v>
      </c>
      <c r="O623" t="s">
        <v>4912</v>
      </c>
    </row>
    <row r="624" spans="1:15" x14ac:dyDescent="0.35">
      <c r="A624" t="s">
        <v>633</v>
      </c>
      <c r="B624">
        <v>26</v>
      </c>
      <c r="C624" t="s">
        <v>4803</v>
      </c>
      <c r="D624" t="s">
        <v>13</v>
      </c>
      <c r="E624">
        <v>63</v>
      </c>
      <c r="F624">
        <v>2</v>
      </c>
      <c r="G624" t="s">
        <v>4798</v>
      </c>
      <c r="H624" t="s">
        <v>4805</v>
      </c>
      <c r="I624">
        <v>13.99</v>
      </c>
      <c r="J624">
        <v>4</v>
      </c>
      <c r="K624">
        <v>2.1</v>
      </c>
      <c r="L624">
        <v>0</v>
      </c>
      <c r="M624" t="s">
        <v>4811</v>
      </c>
      <c r="N624" t="s">
        <v>4900</v>
      </c>
      <c r="O624" t="s">
        <v>4912</v>
      </c>
    </row>
    <row r="625" spans="1:15" x14ac:dyDescent="0.35">
      <c r="A625" t="s">
        <v>634</v>
      </c>
      <c r="B625">
        <v>37</v>
      </c>
      <c r="C625" t="s">
        <v>4803</v>
      </c>
      <c r="D625" t="s">
        <v>13</v>
      </c>
      <c r="E625">
        <v>38</v>
      </c>
      <c r="F625">
        <v>24</v>
      </c>
      <c r="G625" t="s">
        <v>4799</v>
      </c>
      <c r="H625" t="s">
        <v>4805</v>
      </c>
      <c r="I625">
        <v>13.99</v>
      </c>
      <c r="J625">
        <v>1</v>
      </c>
      <c r="K625">
        <v>1.27</v>
      </c>
      <c r="L625">
        <v>0</v>
      </c>
      <c r="M625" t="s">
        <v>4809</v>
      </c>
      <c r="N625" t="s">
        <v>4900</v>
      </c>
      <c r="O625" t="s">
        <v>4910</v>
      </c>
    </row>
    <row r="626" spans="1:15" x14ac:dyDescent="0.35">
      <c r="A626" t="s">
        <v>635</v>
      </c>
      <c r="B626">
        <v>29</v>
      </c>
      <c r="C626" t="s">
        <v>4803</v>
      </c>
      <c r="D626" t="s">
        <v>15</v>
      </c>
      <c r="E626">
        <v>108</v>
      </c>
      <c r="F626">
        <v>43</v>
      </c>
      <c r="G626" t="s">
        <v>4798</v>
      </c>
      <c r="H626" t="s">
        <v>4805</v>
      </c>
      <c r="I626">
        <v>17.989999999999998</v>
      </c>
      <c r="J626">
        <v>2</v>
      </c>
      <c r="K626">
        <v>3.6</v>
      </c>
      <c r="L626">
        <v>0</v>
      </c>
      <c r="M626" t="s">
        <v>4808</v>
      </c>
      <c r="N626" t="s">
        <v>4900</v>
      </c>
      <c r="O626" t="s">
        <v>4912</v>
      </c>
    </row>
    <row r="627" spans="1:15" x14ac:dyDescent="0.35">
      <c r="A627" t="s">
        <v>636</v>
      </c>
      <c r="B627">
        <v>64</v>
      </c>
      <c r="C627" t="s">
        <v>4803</v>
      </c>
      <c r="D627" t="s">
        <v>14</v>
      </c>
      <c r="E627">
        <v>13</v>
      </c>
      <c r="F627">
        <v>51</v>
      </c>
      <c r="G627" t="s">
        <v>4799</v>
      </c>
      <c r="H627" t="s">
        <v>4806</v>
      </c>
      <c r="I627">
        <v>8.99</v>
      </c>
      <c r="J627">
        <v>1</v>
      </c>
      <c r="K627">
        <v>0.43</v>
      </c>
      <c r="L627">
        <v>1</v>
      </c>
      <c r="M627" t="s">
        <v>4812</v>
      </c>
      <c r="N627" t="s">
        <v>4899</v>
      </c>
      <c r="O627" t="s">
        <v>4911</v>
      </c>
    </row>
    <row r="628" spans="1:15" x14ac:dyDescent="0.35">
      <c r="A628" t="s">
        <v>637</v>
      </c>
      <c r="B628">
        <v>38</v>
      </c>
      <c r="C628" t="s">
        <v>4802</v>
      </c>
      <c r="D628" t="s">
        <v>13</v>
      </c>
      <c r="E628">
        <v>40</v>
      </c>
      <c r="F628">
        <v>32</v>
      </c>
      <c r="G628" t="s">
        <v>4798</v>
      </c>
      <c r="H628" t="s">
        <v>4806</v>
      </c>
      <c r="I628">
        <v>13.99</v>
      </c>
      <c r="J628">
        <v>1</v>
      </c>
      <c r="K628">
        <v>1.33</v>
      </c>
      <c r="L628">
        <v>0</v>
      </c>
      <c r="M628" t="s">
        <v>4809</v>
      </c>
      <c r="N628" t="s">
        <v>4900</v>
      </c>
      <c r="O628" t="s">
        <v>4910</v>
      </c>
    </row>
    <row r="629" spans="1:15" x14ac:dyDescent="0.35">
      <c r="A629" t="s">
        <v>638</v>
      </c>
      <c r="B629">
        <v>39</v>
      </c>
      <c r="C629" t="s">
        <v>4803</v>
      </c>
      <c r="D629" t="s">
        <v>15</v>
      </c>
      <c r="E629">
        <v>52</v>
      </c>
      <c r="F629">
        <v>4</v>
      </c>
      <c r="G629" t="s">
        <v>4799</v>
      </c>
      <c r="H629" t="s">
        <v>4804</v>
      </c>
      <c r="I629">
        <v>17.989999999999998</v>
      </c>
      <c r="J629">
        <v>5</v>
      </c>
      <c r="K629">
        <v>1.73</v>
      </c>
      <c r="L629">
        <v>0</v>
      </c>
      <c r="M629" t="s">
        <v>4811</v>
      </c>
      <c r="N629" t="s">
        <v>4900</v>
      </c>
      <c r="O629" t="s">
        <v>4910</v>
      </c>
    </row>
    <row r="630" spans="1:15" x14ac:dyDescent="0.35">
      <c r="A630" t="s">
        <v>639</v>
      </c>
      <c r="B630">
        <v>37</v>
      </c>
      <c r="C630" t="s">
        <v>4803</v>
      </c>
      <c r="D630" t="s">
        <v>15</v>
      </c>
      <c r="E630">
        <v>85</v>
      </c>
      <c r="F630">
        <v>50</v>
      </c>
      <c r="G630" t="s">
        <v>4797</v>
      </c>
      <c r="H630" t="s">
        <v>4804</v>
      </c>
      <c r="I630">
        <v>17.989999999999998</v>
      </c>
      <c r="J630">
        <v>2</v>
      </c>
      <c r="K630">
        <v>2.83</v>
      </c>
      <c r="L630">
        <v>0</v>
      </c>
      <c r="M630" t="s">
        <v>4812</v>
      </c>
      <c r="N630" t="s">
        <v>4900</v>
      </c>
      <c r="O630" t="s">
        <v>4910</v>
      </c>
    </row>
    <row r="631" spans="1:15" x14ac:dyDescent="0.35">
      <c r="A631" t="s">
        <v>640</v>
      </c>
      <c r="B631">
        <v>63</v>
      </c>
      <c r="C631" t="s">
        <v>4803</v>
      </c>
      <c r="D631" t="s">
        <v>13</v>
      </c>
      <c r="E631">
        <v>80</v>
      </c>
      <c r="F631">
        <v>50</v>
      </c>
      <c r="G631" t="s">
        <v>4799</v>
      </c>
      <c r="H631" t="s">
        <v>4805</v>
      </c>
      <c r="I631">
        <v>13.99</v>
      </c>
      <c r="J631">
        <v>1</v>
      </c>
      <c r="K631">
        <v>2.67</v>
      </c>
      <c r="L631">
        <v>0</v>
      </c>
      <c r="M631" t="s">
        <v>4809</v>
      </c>
      <c r="N631" t="s">
        <v>4900</v>
      </c>
      <c r="O631" t="s">
        <v>4911</v>
      </c>
    </row>
    <row r="632" spans="1:15" x14ac:dyDescent="0.35">
      <c r="A632" t="s">
        <v>641</v>
      </c>
      <c r="B632">
        <v>40</v>
      </c>
      <c r="C632" t="s">
        <v>4803</v>
      </c>
      <c r="D632" t="s">
        <v>13</v>
      </c>
      <c r="E632">
        <v>53</v>
      </c>
      <c r="F632">
        <v>37</v>
      </c>
      <c r="G632" t="s">
        <v>4798</v>
      </c>
      <c r="H632" t="s">
        <v>4804</v>
      </c>
      <c r="I632">
        <v>13.99</v>
      </c>
      <c r="J632">
        <v>1</v>
      </c>
      <c r="K632">
        <v>2.0299999999999998</v>
      </c>
      <c r="L632">
        <v>0</v>
      </c>
      <c r="M632" t="s">
        <v>4810</v>
      </c>
      <c r="N632" t="s">
        <v>4900</v>
      </c>
      <c r="O632" t="s">
        <v>4910</v>
      </c>
    </row>
    <row r="633" spans="1:15" x14ac:dyDescent="0.35">
      <c r="A633" t="s">
        <v>642</v>
      </c>
      <c r="B633">
        <v>37</v>
      </c>
      <c r="C633" t="s">
        <v>4802</v>
      </c>
      <c r="D633" t="s">
        <v>13</v>
      </c>
      <c r="E633">
        <v>46</v>
      </c>
      <c r="F633">
        <v>10</v>
      </c>
      <c r="G633" t="s">
        <v>4799</v>
      </c>
      <c r="H633" t="s">
        <v>4806</v>
      </c>
      <c r="I633">
        <v>13.99</v>
      </c>
      <c r="J633">
        <v>1</v>
      </c>
      <c r="K633">
        <v>1.53</v>
      </c>
      <c r="L633">
        <v>0</v>
      </c>
      <c r="M633" t="s">
        <v>4812</v>
      </c>
      <c r="N633" t="s">
        <v>4900</v>
      </c>
      <c r="O633" t="s">
        <v>4910</v>
      </c>
    </row>
    <row r="634" spans="1:15" x14ac:dyDescent="0.35">
      <c r="A634" t="s">
        <v>643</v>
      </c>
      <c r="B634">
        <v>47</v>
      </c>
      <c r="C634" t="s">
        <v>4803</v>
      </c>
      <c r="D634" t="s">
        <v>13</v>
      </c>
      <c r="E634">
        <v>78</v>
      </c>
      <c r="F634">
        <v>44</v>
      </c>
      <c r="G634" t="s">
        <v>4798</v>
      </c>
      <c r="H634" t="s">
        <v>4805</v>
      </c>
      <c r="I634">
        <v>13.99</v>
      </c>
      <c r="J634">
        <v>2</v>
      </c>
      <c r="K634">
        <v>2.6</v>
      </c>
      <c r="L634">
        <v>0</v>
      </c>
      <c r="M634" t="s">
        <v>4809</v>
      </c>
      <c r="N634" t="s">
        <v>4900</v>
      </c>
      <c r="O634" t="s">
        <v>4910</v>
      </c>
    </row>
    <row r="635" spans="1:15" x14ac:dyDescent="0.35">
      <c r="A635" t="s">
        <v>644</v>
      </c>
      <c r="B635">
        <v>21</v>
      </c>
      <c r="C635" t="s">
        <v>4803</v>
      </c>
      <c r="D635" t="s">
        <v>13</v>
      </c>
      <c r="E635">
        <v>66</v>
      </c>
      <c r="F635">
        <v>46</v>
      </c>
      <c r="G635" t="s">
        <v>4798</v>
      </c>
      <c r="H635" t="s">
        <v>4804</v>
      </c>
      <c r="I635">
        <v>13.99</v>
      </c>
      <c r="J635">
        <v>1</v>
      </c>
      <c r="K635">
        <v>2.2000000000000002</v>
      </c>
      <c r="L635">
        <v>0</v>
      </c>
      <c r="M635" t="s">
        <v>4808</v>
      </c>
      <c r="N635" t="s">
        <v>4900</v>
      </c>
      <c r="O635" t="s">
        <v>4912</v>
      </c>
    </row>
    <row r="636" spans="1:15" x14ac:dyDescent="0.35">
      <c r="A636" t="s">
        <v>645</v>
      </c>
      <c r="B636">
        <v>63</v>
      </c>
      <c r="C636" t="s">
        <v>4803</v>
      </c>
      <c r="D636" t="s">
        <v>15</v>
      </c>
      <c r="E636">
        <v>80</v>
      </c>
      <c r="F636">
        <v>33</v>
      </c>
      <c r="G636" t="s">
        <v>4797</v>
      </c>
      <c r="H636" t="s">
        <v>4804</v>
      </c>
      <c r="I636">
        <v>17.989999999999998</v>
      </c>
      <c r="J636">
        <v>4</v>
      </c>
      <c r="K636">
        <v>2.67</v>
      </c>
      <c r="L636">
        <v>1</v>
      </c>
      <c r="M636" t="s">
        <v>4812</v>
      </c>
      <c r="N636" t="s">
        <v>4899</v>
      </c>
      <c r="O636" t="s">
        <v>4911</v>
      </c>
    </row>
    <row r="637" spans="1:15" x14ac:dyDescent="0.35">
      <c r="A637" t="s">
        <v>646</v>
      </c>
      <c r="B637">
        <v>20</v>
      </c>
      <c r="C637" t="s">
        <v>4803</v>
      </c>
      <c r="D637" t="s">
        <v>13</v>
      </c>
      <c r="E637">
        <v>68</v>
      </c>
      <c r="F637" t="s">
        <v>4814</v>
      </c>
      <c r="G637" t="s">
        <v>4799</v>
      </c>
      <c r="H637" t="s">
        <v>4806</v>
      </c>
      <c r="I637">
        <v>13.99</v>
      </c>
      <c r="J637">
        <v>1</v>
      </c>
      <c r="K637">
        <v>2.27</v>
      </c>
      <c r="L637">
        <v>0</v>
      </c>
      <c r="M637" t="s">
        <v>4811</v>
      </c>
      <c r="N637" t="s">
        <v>4900</v>
      </c>
      <c r="O637" t="s">
        <v>4912</v>
      </c>
    </row>
    <row r="638" spans="1:15" x14ac:dyDescent="0.35">
      <c r="A638" t="s">
        <v>647</v>
      </c>
      <c r="B638">
        <v>27</v>
      </c>
      <c r="C638" t="s">
        <v>4802</v>
      </c>
      <c r="D638" t="s">
        <v>13</v>
      </c>
      <c r="E638">
        <v>46</v>
      </c>
      <c r="F638">
        <v>24</v>
      </c>
      <c r="G638" t="s">
        <v>4797</v>
      </c>
      <c r="H638" t="s">
        <v>4806</v>
      </c>
      <c r="I638">
        <v>13.99</v>
      </c>
      <c r="J638">
        <v>1</v>
      </c>
      <c r="K638">
        <v>1.53</v>
      </c>
      <c r="L638">
        <v>1</v>
      </c>
      <c r="M638" t="s">
        <v>4808</v>
      </c>
      <c r="N638" t="s">
        <v>4899</v>
      </c>
      <c r="O638" t="s">
        <v>4912</v>
      </c>
    </row>
    <row r="639" spans="1:15" x14ac:dyDescent="0.35">
      <c r="A639" t="s">
        <v>648</v>
      </c>
      <c r="B639">
        <v>36</v>
      </c>
      <c r="C639" t="s">
        <v>4802</v>
      </c>
      <c r="D639" t="s">
        <v>13</v>
      </c>
      <c r="E639">
        <v>56</v>
      </c>
      <c r="F639">
        <v>27</v>
      </c>
      <c r="G639" t="s">
        <v>4799</v>
      </c>
      <c r="H639" t="s">
        <v>4804</v>
      </c>
      <c r="I639">
        <v>13.99</v>
      </c>
      <c r="J639">
        <v>3</v>
      </c>
      <c r="K639">
        <v>1.87</v>
      </c>
      <c r="L639">
        <v>0</v>
      </c>
      <c r="M639" t="s">
        <v>4808</v>
      </c>
      <c r="N639" t="s">
        <v>4900</v>
      </c>
      <c r="O639" t="s">
        <v>4910</v>
      </c>
    </row>
    <row r="640" spans="1:15" x14ac:dyDescent="0.35">
      <c r="A640" t="s">
        <v>649</v>
      </c>
      <c r="B640">
        <v>22</v>
      </c>
      <c r="C640" t="s">
        <v>4802</v>
      </c>
      <c r="D640" t="s">
        <v>14</v>
      </c>
      <c r="E640">
        <v>44</v>
      </c>
      <c r="F640">
        <v>50</v>
      </c>
      <c r="G640" t="s">
        <v>4800</v>
      </c>
      <c r="H640" t="s">
        <v>4805</v>
      </c>
      <c r="I640">
        <v>8.99</v>
      </c>
      <c r="J640">
        <v>2</v>
      </c>
      <c r="K640">
        <v>1.47</v>
      </c>
      <c r="L640">
        <v>1</v>
      </c>
      <c r="M640" t="s">
        <v>4811</v>
      </c>
      <c r="N640" t="s">
        <v>4899</v>
      </c>
      <c r="O640" t="s">
        <v>4912</v>
      </c>
    </row>
    <row r="641" spans="1:15" x14ac:dyDescent="0.35">
      <c r="A641" t="s">
        <v>650</v>
      </c>
      <c r="B641">
        <v>48</v>
      </c>
      <c r="C641" t="s">
        <v>4802</v>
      </c>
      <c r="D641" t="s">
        <v>15</v>
      </c>
      <c r="E641">
        <v>73</v>
      </c>
      <c r="F641">
        <v>26</v>
      </c>
      <c r="G641" t="s">
        <v>4798</v>
      </c>
      <c r="H641" t="s">
        <v>4805</v>
      </c>
      <c r="I641">
        <v>17.989999999999998</v>
      </c>
      <c r="J641">
        <v>3</v>
      </c>
      <c r="K641">
        <v>2.4300000000000002</v>
      </c>
      <c r="L641">
        <v>0</v>
      </c>
      <c r="M641" t="s">
        <v>4809</v>
      </c>
      <c r="N641" t="s">
        <v>4900</v>
      </c>
      <c r="O641" t="s">
        <v>4910</v>
      </c>
    </row>
    <row r="642" spans="1:15" x14ac:dyDescent="0.35">
      <c r="A642" t="s">
        <v>651</v>
      </c>
      <c r="B642">
        <v>50</v>
      </c>
      <c r="C642" t="s">
        <v>4803</v>
      </c>
      <c r="D642" t="s">
        <v>15</v>
      </c>
      <c r="E642">
        <v>116</v>
      </c>
      <c r="F642">
        <v>47</v>
      </c>
      <c r="G642" t="s">
        <v>4798</v>
      </c>
      <c r="H642" t="s">
        <v>4804</v>
      </c>
      <c r="I642">
        <v>17.989999999999998</v>
      </c>
      <c r="J642">
        <v>4</v>
      </c>
      <c r="K642">
        <v>3.87</v>
      </c>
      <c r="L642">
        <v>0</v>
      </c>
      <c r="M642" t="s">
        <v>4809</v>
      </c>
      <c r="N642" t="s">
        <v>4900</v>
      </c>
      <c r="O642" t="s">
        <v>4910</v>
      </c>
    </row>
    <row r="643" spans="1:15" x14ac:dyDescent="0.35">
      <c r="A643" t="s">
        <v>652</v>
      </c>
      <c r="B643">
        <v>58</v>
      </c>
      <c r="C643" t="s">
        <v>4802</v>
      </c>
      <c r="D643" t="s">
        <v>13</v>
      </c>
      <c r="E643">
        <v>54</v>
      </c>
      <c r="F643">
        <v>10</v>
      </c>
      <c r="G643" t="s">
        <v>4798</v>
      </c>
      <c r="H643" t="s">
        <v>4805</v>
      </c>
      <c r="I643">
        <v>13.99</v>
      </c>
      <c r="J643">
        <v>2</v>
      </c>
      <c r="K643">
        <v>1.8</v>
      </c>
      <c r="L643">
        <v>0</v>
      </c>
      <c r="M643" t="s">
        <v>4811</v>
      </c>
      <c r="N643" t="s">
        <v>4900</v>
      </c>
      <c r="O643" t="s">
        <v>4911</v>
      </c>
    </row>
    <row r="644" spans="1:15" x14ac:dyDescent="0.35">
      <c r="A644" t="s">
        <v>653</v>
      </c>
      <c r="B644">
        <v>45</v>
      </c>
      <c r="C644" t="s">
        <v>4803</v>
      </c>
      <c r="D644" t="s">
        <v>15</v>
      </c>
      <c r="E644">
        <v>71</v>
      </c>
      <c r="F644">
        <v>47</v>
      </c>
      <c r="G644" t="s">
        <v>4798</v>
      </c>
      <c r="H644" t="s">
        <v>4804</v>
      </c>
      <c r="I644">
        <v>17.989999999999998</v>
      </c>
      <c r="J644">
        <v>4</v>
      </c>
      <c r="K644">
        <v>5</v>
      </c>
      <c r="L644">
        <v>0</v>
      </c>
      <c r="M644" t="s">
        <v>4809</v>
      </c>
      <c r="N644" t="s">
        <v>4900</v>
      </c>
      <c r="O644" t="s">
        <v>4910</v>
      </c>
    </row>
    <row r="645" spans="1:15" x14ac:dyDescent="0.35">
      <c r="A645" t="s">
        <v>654</v>
      </c>
      <c r="B645">
        <v>46</v>
      </c>
      <c r="C645" t="s">
        <v>4802</v>
      </c>
      <c r="D645" t="s">
        <v>13</v>
      </c>
      <c r="E645">
        <v>50</v>
      </c>
      <c r="F645">
        <v>56</v>
      </c>
      <c r="G645" t="s">
        <v>4800</v>
      </c>
      <c r="H645" t="s">
        <v>4804</v>
      </c>
      <c r="I645">
        <v>13.99</v>
      </c>
      <c r="J645">
        <v>2</v>
      </c>
      <c r="K645">
        <v>1.67</v>
      </c>
      <c r="L645">
        <v>1</v>
      </c>
      <c r="M645" t="s">
        <v>4808</v>
      </c>
      <c r="N645" t="s">
        <v>4899</v>
      </c>
      <c r="O645" t="s">
        <v>4910</v>
      </c>
    </row>
    <row r="646" spans="1:15" x14ac:dyDescent="0.35">
      <c r="A646" t="s">
        <v>655</v>
      </c>
      <c r="B646">
        <v>26</v>
      </c>
      <c r="C646" t="s">
        <v>4802</v>
      </c>
      <c r="D646" t="s">
        <v>15</v>
      </c>
      <c r="E646">
        <v>92</v>
      </c>
      <c r="F646">
        <v>20</v>
      </c>
      <c r="G646" t="s">
        <v>4799</v>
      </c>
      <c r="H646" t="s">
        <v>4804</v>
      </c>
      <c r="I646">
        <v>17.989999999999998</v>
      </c>
      <c r="J646">
        <v>5</v>
      </c>
      <c r="K646">
        <v>5</v>
      </c>
      <c r="L646">
        <v>0</v>
      </c>
      <c r="M646" t="s">
        <v>4809</v>
      </c>
      <c r="N646" t="s">
        <v>4900</v>
      </c>
      <c r="O646" t="s">
        <v>4912</v>
      </c>
    </row>
    <row r="647" spans="1:15" x14ac:dyDescent="0.35">
      <c r="A647" t="s">
        <v>656</v>
      </c>
      <c r="B647">
        <v>51</v>
      </c>
      <c r="C647" t="s">
        <v>4803</v>
      </c>
      <c r="D647" t="s">
        <v>13</v>
      </c>
      <c r="E647">
        <v>44</v>
      </c>
      <c r="F647">
        <v>15</v>
      </c>
      <c r="G647" t="s">
        <v>4798</v>
      </c>
      <c r="H647" t="s">
        <v>4805</v>
      </c>
      <c r="I647">
        <v>13.99</v>
      </c>
      <c r="J647">
        <v>3</v>
      </c>
      <c r="K647">
        <v>1.47</v>
      </c>
      <c r="L647">
        <v>0</v>
      </c>
      <c r="M647" t="s">
        <v>4808</v>
      </c>
      <c r="N647" t="s">
        <v>4900</v>
      </c>
      <c r="O647" t="s">
        <v>4910</v>
      </c>
    </row>
    <row r="648" spans="1:15" x14ac:dyDescent="0.35">
      <c r="A648" t="s">
        <v>657</v>
      </c>
      <c r="B648">
        <v>34</v>
      </c>
      <c r="C648" t="s">
        <v>4802</v>
      </c>
      <c r="D648" t="s">
        <v>15</v>
      </c>
      <c r="E648">
        <v>103</v>
      </c>
      <c r="F648">
        <v>47</v>
      </c>
      <c r="G648" t="s">
        <v>4798</v>
      </c>
      <c r="H648" t="s">
        <v>4804</v>
      </c>
      <c r="I648">
        <v>17.989999999999998</v>
      </c>
      <c r="J648">
        <v>2</v>
      </c>
      <c r="K648">
        <v>3.43</v>
      </c>
      <c r="L648">
        <v>0</v>
      </c>
      <c r="M648" t="s">
        <v>4811</v>
      </c>
      <c r="N648" t="s">
        <v>4900</v>
      </c>
      <c r="O648" t="s">
        <v>4912</v>
      </c>
    </row>
    <row r="649" spans="1:15" x14ac:dyDescent="0.35">
      <c r="A649" t="s">
        <v>658</v>
      </c>
      <c r="B649">
        <v>27</v>
      </c>
      <c r="C649" t="s">
        <v>4802</v>
      </c>
      <c r="D649" t="s">
        <v>13</v>
      </c>
      <c r="E649">
        <v>47</v>
      </c>
      <c r="F649">
        <v>47</v>
      </c>
      <c r="G649" t="s">
        <v>4798</v>
      </c>
      <c r="H649" t="s">
        <v>4806</v>
      </c>
      <c r="I649">
        <v>13.99</v>
      </c>
      <c r="J649">
        <v>4</v>
      </c>
      <c r="K649">
        <v>2.0299999999999998</v>
      </c>
      <c r="L649">
        <v>0</v>
      </c>
      <c r="M649" t="s">
        <v>4810</v>
      </c>
      <c r="N649" t="s">
        <v>4900</v>
      </c>
      <c r="O649" t="s">
        <v>4912</v>
      </c>
    </row>
    <row r="650" spans="1:15" x14ac:dyDescent="0.35">
      <c r="A650" t="s">
        <v>659</v>
      </c>
      <c r="B650">
        <v>23</v>
      </c>
      <c r="C650" t="s">
        <v>4802</v>
      </c>
      <c r="D650" t="s">
        <v>13</v>
      </c>
      <c r="E650">
        <v>72</v>
      </c>
      <c r="F650">
        <v>39</v>
      </c>
      <c r="G650" t="s">
        <v>4799</v>
      </c>
      <c r="H650" t="s">
        <v>4804</v>
      </c>
      <c r="I650">
        <v>13.99</v>
      </c>
      <c r="J650">
        <v>4</v>
      </c>
      <c r="K650">
        <v>2.4</v>
      </c>
      <c r="L650">
        <v>0</v>
      </c>
      <c r="M650" t="s">
        <v>4811</v>
      </c>
      <c r="N650" t="s">
        <v>4900</v>
      </c>
      <c r="O650" t="s">
        <v>4912</v>
      </c>
    </row>
    <row r="651" spans="1:15" x14ac:dyDescent="0.35">
      <c r="A651" t="s">
        <v>660</v>
      </c>
      <c r="B651">
        <v>58</v>
      </c>
      <c r="C651" t="s">
        <v>4802</v>
      </c>
      <c r="D651" t="s">
        <v>15</v>
      </c>
      <c r="E651">
        <v>74</v>
      </c>
      <c r="F651">
        <v>9</v>
      </c>
      <c r="G651" t="s">
        <v>4798</v>
      </c>
      <c r="H651" t="s">
        <v>4805</v>
      </c>
      <c r="I651">
        <v>17.989999999999998</v>
      </c>
      <c r="J651">
        <v>5</v>
      </c>
      <c r="K651">
        <v>2.4700000000000002</v>
      </c>
      <c r="L651">
        <v>0</v>
      </c>
      <c r="M651" t="s">
        <v>4811</v>
      </c>
      <c r="N651" t="s">
        <v>4900</v>
      </c>
      <c r="O651" t="s">
        <v>4911</v>
      </c>
    </row>
    <row r="652" spans="1:15" x14ac:dyDescent="0.35">
      <c r="A652" t="s">
        <v>661</v>
      </c>
      <c r="B652">
        <v>62</v>
      </c>
      <c r="C652" t="s">
        <v>4802</v>
      </c>
      <c r="D652" t="s">
        <v>13</v>
      </c>
      <c r="E652">
        <v>67</v>
      </c>
      <c r="F652">
        <v>24</v>
      </c>
      <c r="G652" t="s">
        <v>4798</v>
      </c>
      <c r="H652" t="s">
        <v>4804</v>
      </c>
      <c r="I652">
        <v>13.99</v>
      </c>
      <c r="J652">
        <v>2</v>
      </c>
      <c r="K652">
        <v>2.23</v>
      </c>
      <c r="L652">
        <v>0</v>
      </c>
      <c r="M652" t="s">
        <v>4808</v>
      </c>
      <c r="N652" t="s">
        <v>4900</v>
      </c>
      <c r="O652" t="s">
        <v>4911</v>
      </c>
    </row>
    <row r="653" spans="1:15" x14ac:dyDescent="0.35">
      <c r="A653" t="s">
        <v>662</v>
      </c>
      <c r="B653">
        <v>35</v>
      </c>
      <c r="C653" t="s">
        <v>4802</v>
      </c>
      <c r="D653" t="s">
        <v>13</v>
      </c>
      <c r="E653">
        <v>67</v>
      </c>
      <c r="F653">
        <v>60</v>
      </c>
      <c r="G653" t="s">
        <v>4797</v>
      </c>
      <c r="H653" t="s">
        <v>4807</v>
      </c>
      <c r="I653">
        <v>13.99</v>
      </c>
      <c r="J653">
        <v>2</v>
      </c>
      <c r="K653">
        <v>2.23</v>
      </c>
      <c r="L653">
        <v>1</v>
      </c>
      <c r="M653" t="s">
        <v>4812</v>
      </c>
      <c r="N653" t="s">
        <v>4899</v>
      </c>
      <c r="O653" t="s">
        <v>4910</v>
      </c>
    </row>
    <row r="654" spans="1:15" x14ac:dyDescent="0.35">
      <c r="A654" t="s">
        <v>663</v>
      </c>
      <c r="B654">
        <v>49</v>
      </c>
      <c r="C654" t="s">
        <v>4803</v>
      </c>
      <c r="D654" t="s">
        <v>15</v>
      </c>
      <c r="E654">
        <v>95</v>
      </c>
      <c r="F654">
        <v>0</v>
      </c>
      <c r="G654" t="s">
        <v>4799</v>
      </c>
      <c r="H654" t="s">
        <v>4804</v>
      </c>
      <c r="I654">
        <v>17.989999999999998</v>
      </c>
      <c r="J654">
        <v>2</v>
      </c>
      <c r="K654">
        <v>3.17</v>
      </c>
      <c r="L654">
        <v>0</v>
      </c>
      <c r="M654" t="s">
        <v>4811</v>
      </c>
      <c r="N654" t="s">
        <v>4900</v>
      </c>
      <c r="O654" t="s">
        <v>4910</v>
      </c>
    </row>
    <row r="655" spans="1:15" x14ac:dyDescent="0.35">
      <c r="A655" t="s">
        <v>664</v>
      </c>
      <c r="B655">
        <v>50</v>
      </c>
      <c r="C655" t="s">
        <v>4803</v>
      </c>
      <c r="D655" t="s">
        <v>15</v>
      </c>
      <c r="E655">
        <v>91</v>
      </c>
      <c r="F655">
        <v>53</v>
      </c>
      <c r="G655" t="s">
        <v>4799</v>
      </c>
      <c r="H655" t="s">
        <v>4805</v>
      </c>
      <c r="I655">
        <v>17.989999999999998</v>
      </c>
      <c r="J655">
        <v>2</v>
      </c>
      <c r="K655">
        <v>3.03</v>
      </c>
      <c r="L655">
        <v>0</v>
      </c>
      <c r="M655" t="s">
        <v>4811</v>
      </c>
      <c r="N655" t="s">
        <v>4900</v>
      </c>
      <c r="O655" t="s">
        <v>4910</v>
      </c>
    </row>
    <row r="656" spans="1:15" x14ac:dyDescent="0.35">
      <c r="A656" t="s">
        <v>665</v>
      </c>
      <c r="B656">
        <v>22</v>
      </c>
      <c r="C656" t="s">
        <v>4802</v>
      </c>
      <c r="D656" t="s">
        <v>13</v>
      </c>
      <c r="E656">
        <v>37</v>
      </c>
      <c r="F656">
        <v>32</v>
      </c>
      <c r="G656" t="s">
        <v>4797</v>
      </c>
      <c r="H656" t="s">
        <v>4805</v>
      </c>
      <c r="I656">
        <v>13.99</v>
      </c>
      <c r="J656">
        <v>4</v>
      </c>
      <c r="K656">
        <v>1.23</v>
      </c>
      <c r="L656">
        <v>0</v>
      </c>
      <c r="M656" t="s">
        <v>4808</v>
      </c>
      <c r="N656" t="s">
        <v>4900</v>
      </c>
      <c r="O656" t="s">
        <v>4912</v>
      </c>
    </row>
    <row r="657" spans="1:15" x14ac:dyDescent="0.35">
      <c r="A657" t="s">
        <v>666</v>
      </c>
      <c r="B657">
        <v>58</v>
      </c>
      <c r="C657" t="s">
        <v>4802</v>
      </c>
      <c r="D657" t="s">
        <v>13</v>
      </c>
      <c r="E657">
        <v>74</v>
      </c>
      <c r="F657">
        <v>17</v>
      </c>
      <c r="G657" t="s">
        <v>4799</v>
      </c>
      <c r="H657" t="s">
        <v>4804</v>
      </c>
      <c r="I657">
        <v>13.99</v>
      </c>
      <c r="J657">
        <v>2</v>
      </c>
      <c r="K657">
        <v>2.4700000000000002</v>
      </c>
      <c r="L657">
        <v>0</v>
      </c>
      <c r="M657" t="s">
        <v>4809</v>
      </c>
      <c r="N657" t="s">
        <v>4900</v>
      </c>
      <c r="O657" t="s">
        <v>4911</v>
      </c>
    </row>
    <row r="658" spans="1:15" x14ac:dyDescent="0.35">
      <c r="A658" t="s">
        <v>667</v>
      </c>
      <c r="B658">
        <v>50</v>
      </c>
      <c r="C658" t="s">
        <v>4802</v>
      </c>
      <c r="D658" t="s">
        <v>13</v>
      </c>
      <c r="E658">
        <v>51</v>
      </c>
      <c r="F658">
        <v>8</v>
      </c>
      <c r="G658" t="s">
        <v>4800</v>
      </c>
      <c r="H658" t="s">
        <v>4804</v>
      </c>
      <c r="I658">
        <v>13.99</v>
      </c>
      <c r="J658">
        <v>4</v>
      </c>
      <c r="K658">
        <v>1.7</v>
      </c>
      <c r="L658">
        <v>0</v>
      </c>
      <c r="M658" t="s">
        <v>4811</v>
      </c>
      <c r="N658" t="s">
        <v>4900</v>
      </c>
      <c r="O658" t="s">
        <v>4910</v>
      </c>
    </row>
    <row r="659" spans="1:15" x14ac:dyDescent="0.35">
      <c r="A659" t="s">
        <v>668</v>
      </c>
      <c r="B659">
        <v>27</v>
      </c>
      <c r="C659" t="s">
        <v>4802</v>
      </c>
      <c r="D659" t="s">
        <v>13</v>
      </c>
      <c r="E659">
        <v>60</v>
      </c>
      <c r="F659">
        <v>43</v>
      </c>
      <c r="G659" t="s">
        <v>4798</v>
      </c>
      <c r="H659" t="s">
        <v>4806</v>
      </c>
      <c r="I659">
        <v>13.99</v>
      </c>
      <c r="J659">
        <v>2</v>
      </c>
      <c r="K659">
        <v>2</v>
      </c>
      <c r="L659">
        <v>0</v>
      </c>
      <c r="M659" t="s">
        <v>4810</v>
      </c>
      <c r="N659" t="s">
        <v>4900</v>
      </c>
      <c r="O659" t="s">
        <v>4912</v>
      </c>
    </row>
    <row r="660" spans="1:15" x14ac:dyDescent="0.35">
      <c r="A660" t="s">
        <v>669</v>
      </c>
      <c r="B660">
        <v>18</v>
      </c>
      <c r="C660" t="s">
        <v>4802</v>
      </c>
      <c r="D660" t="s">
        <v>13</v>
      </c>
      <c r="E660">
        <v>40</v>
      </c>
      <c r="F660">
        <v>53</v>
      </c>
      <c r="G660" t="s">
        <v>4799</v>
      </c>
      <c r="H660" t="s">
        <v>4804</v>
      </c>
      <c r="I660">
        <v>13.99</v>
      </c>
      <c r="J660">
        <v>2</v>
      </c>
      <c r="K660">
        <v>1.33</v>
      </c>
      <c r="L660">
        <v>0</v>
      </c>
      <c r="M660" t="s">
        <v>4809</v>
      </c>
      <c r="N660" t="s">
        <v>4900</v>
      </c>
      <c r="O660" t="s">
        <v>4912</v>
      </c>
    </row>
    <row r="661" spans="1:15" x14ac:dyDescent="0.35">
      <c r="A661" t="s">
        <v>670</v>
      </c>
      <c r="B661">
        <v>22</v>
      </c>
      <c r="C661" t="s">
        <v>4803</v>
      </c>
      <c r="D661" t="s">
        <v>14</v>
      </c>
      <c r="E661">
        <v>44</v>
      </c>
      <c r="F661">
        <v>14</v>
      </c>
      <c r="G661" t="s">
        <v>4800</v>
      </c>
      <c r="H661" t="s">
        <v>4805</v>
      </c>
      <c r="I661">
        <v>8.99</v>
      </c>
      <c r="J661">
        <v>1</v>
      </c>
      <c r="K661">
        <v>1.47</v>
      </c>
      <c r="L661">
        <v>0</v>
      </c>
      <c r="M661" t="s">
        <v>4811</v>
      </c>
      <c r="N661" t="s">
        <v>4900</v>
      </c>
      <c r="O661" t="s">
        <v>4912</v>
      </c>
    </row>
    <row r="662" spans="1:15" x14ac:dyDescent="0.35">
      <c r="A662" t="s">
        <v>671</v>
      </c>
      <c r="B662">
        <v>30</v>
      </c>
      <c r="C662" t="s">
        <v>4803</v>
      </c>
      <c r="D662" t="s">
        <v>13</v>
      </c>
      <c r="E662">
        <v>31</v>
      </c>
      <c r="F662">
        <v>50</v>
      </c>
      <c r="G662" t="s">
        <v>4798</v>
      </c>
      <c r="H662" t="s">
        <v>4805</v>
      </c>
      <c r="I662">
        <v>13.99</v>
      </c>
      <c r="J662">
        <v>2</v>
      </c>
      <c r="K662">
        <v>1.03</v>
      </c>
      <c r="L662">
        <v>0</v>
      </c>
      <c r="M662" t="s">
        <v>4812</v>
      </c>
      <c r="N662" t="s">
        <v>4900</v>
      </c>
      <c r="O662" t="s">
        <v>4912</v>
      </c>
    </row>
    <row r="663" spans="1:15" x14ac:dyDescent="0.35">
      <c r="A663" t="s">
        <v>672</v>
      </c>
      <c r="B663">
        <v>50</v>
      </c>
      <c r="C663" t="s">
        <v>4803</v>
      </c>
      <c r="D663" t="s">
        <v>13</v>
      </c>
      <c r="E663">
        <v>38</v>
      </c>
      <c r="F663">
        <v>48</v>
      </c>
      <c r="G663" t="s">
        <v>4799</v>
      </c>
      <c r="H663" t="s">
        <v>4805</v>
      </c>
      <c r="I663">
        <v>13.99</v>
      </c>
      <c r="J663">
        <v>3</v>
      </c>
      <c r="K663">
        <v>5</v>
      </c>
      <c r="L663">
        <v>0</v>
      </c>
      <c r="M663" t="s">
        <v>4812</v>
      </c>
      <c r="N663" t="s">
        <v>4900</v>
      </c>
      <c r="O663" t="s">
        <v>4910</v>
      </c>
    </row>
    <row r="664" spans="1:15" x14ac:dyDescent="0.35">
      <c r="A664" t="s">
        <v>673</v>
      </c>
      <c r="B664">
        <v>52</v>
      </c>
      <c r="C664" t="s">
        <v>4803</v>
      </c>
      <c r="D664" t="s">
        <v>15</v>
      </c>
      <c r="E664">
        <v>113</v>
      </c>
      <c r="F664">
        <v>57</v>
      </c>
      <c r="G664" t="s">
        <v>4799</v>
      </c>
      <c r="H664" t="s">
        <v>4804</v>
      </c>
      <c r="I664">
        <v>17.989999999999998</v>
      </c>
      <c r="J664">
        <v>2</v>
      </c>
      <c r="K664">
        <v>3.77</v>
      </c>
      <c r="L664">
        <v>1</v>
      </c>
      <c r="M664" t="s">
        <v>4808</v>
      </c>
      <c r="N664" t="s">
        <v>4899</v>
      </c>
      <c r="O664" t="s">
        <v>4910</v>
      </c>
    </row>
    <row r="665" spans="1:15" x14ac:dyDescent="0.35">
      <c r="A665" t="s">
        <v>674</v>
      </c>
      <c r="B665">
        <v>46</v>
      </c>
      <c r="C665" t="s">
        <v>4802</v>
      </c>
      <c r="D665" t="s">
        <v>13</v>
      </c>
      <c r="E665">
        <v>65</v>
      </c>
      <c r="F665">
        <v>4</v>
      </c>
      <c r="G665" t="s">
        <v>4798</v>
      </c>
      <c r="H665" t="s">
        <v>4805</v>
      </c>
      <c r="I665">
        <v>13.99</v>
      </c>
      <c r="J665">
        <v>4</v>
      </c>
      <c r="K665">
        <v>2.17</v>
      </c>
      <c r="L665">
        <v>0</v>
      </c>
      <c r="M665" t="s">
        <v>4809</v>
      </c>
      <c r="N665" t="s">
        <v>4900</v>
      </c>
      <c r="O665" t="s">
        <v>4910</v>
      </c>
    </row>
    <row r="666" spans="1:15" x14ac:dyDescent="0.35">
      <c r="A666" t="s">
        <v>675</v>
      </c>
      <c r="B666">
        <v>30</v>
      </c>
      <c r="C666" t="s">
        <v>4802</v>
      </c>
      <c r="D666" t="s">
        <v>13</v>
      </c>
      <c r="E666">
        <v>68</v>
      </c>
      <c r="F666">
        <v>14</v>
      </c>
      <c r="G666" t="s">
        <v>4797</v>
      </c>
      <c r="H666" t="s">
        <v>4805</v>
      </c>
      <c r="I666">
        <v>13.99</v>
      </c>
      <c r="J666">
        <v>3</v>
      </c>
      <c r="K666">
        <v>2.27</v>
      </c>
      <c r="L666">
        <v>0</v>
      </c>
      <c r="M666" t="s">
        <v>4812</v>
      </c>
      <c r="N666" t="s">
        <v>4900</v>
      </c>
      <c r="O666" t="s">
        <v>4912</v>
      </c>
    </row>
    <row r="667" spans="1:15" x14ac:dyDescent="0.35">
      <c r="A667" t="s">
        <v>676</v>
      </c>
      <c r="B667">
        <v>26</v>
      </c>
      <c r="C667" t="s">
        <v>4803</v>
      </c>
      <c r="D667" t="s">
        <v>14</v>
      </c>
      <c r="E667">
        <v>75</v>
      </c>
      <c r="F667">
        <v>8</v>
      </c>
      <c r="G667" t="s">
        <v>4797</v>
      </c>
      <c r="H667" t="s">
        <v>4806</v>
      </c>
      <c r="I667">
        <v>8.99</v>
      </c>
      <c r="J667">
        <v>5</v>
      </c>
      <c r="K667">
        <v>2.5</v>
      </c>
      <c r="L667">
        <v>0</v>
      </c>
      <c r="M667" t="s">
        <v>4808</v>
      </c>
      <c r="N667" t="s">
        <v>4900</v>
      </c>
      <c r="O667" t="s">
        <v>4912</v>
      </c>
    </row>
    <row r="668" spans="1:15" x14ac:dyDescent="0.35">
      <c r="A668" t="s">
        <v>677</v>
      </c>
      <c r="B668">
        <v>36</v>
      </c>
      <c r="C668" t="s">
        <v>4802</v>
      </c>
      <c r="D668" t="s">
        <v>13</v>
      </c>
      <c r="E668">
        <v>64</v>
      </c>
      <c r="F668">
        <v>48</v>
      </c>
      <c r="G668" t="s">
        <v>4798</v>
      </c>
      <c r="H668" t="s">
        <v>4806</v>
      </c>
      <c r="I668">
        <v>13.99</v>
      </c>
      <c r="J668">
        <v>4</v>
      </c>
      <c r="K668">
        <v>2.13</v>
      </c>
      <c r="L668">
        <v>0</v>
      </c>
      <c r="M668" t="s">
        <v>4809</v>
      </c>
      <c r="N668" t="s">
        <v>4900</v>
      </c>
      <c r="O668" t="s">
        <v>4910</v>
      </c>
    </row>
    <row r="669" spans="1:15" x14ac:dyDescent="0.35">
      <c r="A669" t="s">
        <v>678</v>
      </c>
      <c r="B669">
        <v>23</v>
      </c>
      <c r="C669" t="s">
        <v>4802</v>
      </c>
      <c r="D669" t="s">
        <v>13</v>
      </c>
      <c r="E669">
        <v>63</v>
      </c>
      <c r="F669" t="s">
        <v>4814</v>
      </c>
      <c r="G669" t="s">
        <v>4799</v>
      </c>
      <c r="H669" t="s">
        <v>4805</v>
      </c>
      <c r="I669">
        <v>13.99</v>
      </c>
      <c r="J669">
        <v>3</v>
      </c>
      <c r="K669">
        <v>2.1</v>
      </c>
      <c r="L669">
        <v>0</v>
      </c>
      <c r="M669" t="s">
        <v>4808</v>
      </c>
      <c r="N669" t="s">
        <v>4900</v>
      </c>
      <c r="O669" t="s">
        <v>4912</v>
      </c>
    </row>
    <row r="670" spans="1:15" x14ac:dyDescent="0.35">
      <c r="A670" t="s">
        <v>679</v>
      </c>
      <c r="B670">
        <v>37</v>
      </c>
      <c r="C670" t="s">
        <v>4803</v>
      </c>
      <c r="D670" t="s">
        <v>13</v>
      </c>
      <c r="E670">
        <v>79</v>
      </c>
      <c r="F670">
        <v>26</v>
      </c>
      <c r="G670" t="s">
        <v>4798</v>
      </c>
      <c r="H670" t="s">
        <v>4806</v>
      </c>
      <c r="I670">
        <v>13.99</v>
      </c>
      <c r="J670">
        <v>2</v>
      </c>
      <c r="K670">
        <v>2.63</v>
      </c>
      <c r="L670">
        <v>1</v>
      </c>
      <c r="M670" t="s">
        <v>4810</v>
      </c>
      <c r="N670" t="s">
        <v>4899</v>
      </c>
      <c r="O670" t="s">
        <v>4910</v>
      </c>
    </row>
    <row r="671" spans="1:15" x14ac:dyDescent="0.35">
      <c r="A671" t="s">
        <v>680</v>
      </c>
      <c r="B671">
        <v>52</v>
      </c>
      <c r="C671" t="s">
        <v>4802</v>
      </c>
      <c r="D671" t="s">
        <v>15</v>
      </c>
      <c r="E671">
        <v>91</v>
      </c>
      <c r="F671">
        <v>37</v>
      </c>
      <c r="G671" t="s">
        <v>4797</v>
      </c>
      <c r="H671" t="s">
        <v>4804</v>
      </c>
      <c r="I671">
        <v>17.989999999999998</v>
      </c>
      <c r="J671">
        <v>2</v>
      </c>
      <c r="K671">
        <v>3.03</v>
      </c>
      <c r="L671">
        <v>0</v>
      </c>
      <c r="M671" t="s">
        <v>4810</v>
      </c>
      <c r="N671" t="s">
        <v>4900</v>
      </c>
      <c r="O671" t="s">
        <v>4910</v>
      </c>
    </row>
    <row r="672" spans="1:15" x14ac:dyDescent="0.35">
      <c r="A672" t="s">
        <v>681</v>
      </c>
      <c r="B672">
        <v>47</v>
      </c>
      <c r="C672" t="s">
        <v>4802</v>
      </c>
      <c r="D672" t="s">
        <v>13</v>
      </c>
      <c r="E672">
        <v>50</v>
      </c>
      <c r="F672">
        <v>36</v>
      </c>
      <c r="G672" t="s">
        <v>4800</v>
      </c>
      <c r="H672" t="s">
        <v>4806</v>
      </c>
      <c r="I672">
        <v>13.99</v>
      </c>
      <c r="J672">
        <v>3</v>
      </c>
      <c r="K672">
        <v>1.67</v>
      </c>
      <c r="L672">
        <v>0</v>
      </c>
      <c r="M672" t="s">
        <v>4810</v>
      </c>
      <c r="N672" t="s">
        <v>4900</v>
      </c>
      <c r="O672" t="s">
        <v>4910</v>
      </c>
    </row>
    <row r="673" spans="1:15" x14ac:dyDescent="0.35">
      <c r="A673" t="s">
        <v>682</v>
      </c>
      <c r="B673">
        <v>35</v>
      </c>
      <c r="C673" t="s">
        <v>4802</v>
      </c>
      <c r="D673" t="s">
        <v>13</v>
      </c>
      <c r="E673">
        <v>72</v>
      </c>
      <c r="F673">
        <v>34</v>
      </c>
      <c r="G673" t="s">
        <v>4799</v>
      </c>
      <c r="H673" t="s">
        <v>4807</v>
      </c>
      <c r="I673">
        <v>13.99</v>
      </c>
      <c r="J673">
        <v>2</v>
      </c>
      <c r="K673">
        <v>2.4</v>
      </c>
      <c r="L673">
        <v>0</v>
      </c>
      <c r="M673" t="s">
        <v>4810</v>
      </c>
      <c r="N673" t="s">
        <v>4900</v>
      </c>
      <c r="O673" t="s">
        <v>4910</v>
      </c>
    </row>
    <row r="674" spans="1:15" x14ac:dyDescent="0.35">
      <c r="A674" t="s">
        <v>683</v>
      </c>
      <c r="B674">
        <v>61</v>
      </c>
      <c r="C674" t="s">
        <v>4802</v>
      </c>
      <c r="D674" t="s">
        <v>13</v>
      </c>
      <c r="E674">
        <v>69</v>
      </c>
      <c r="F674">
        <v>18</v>
      </c>
      <c r="G674" t="s">
        <v>4798</v>
      </c>
      <c r="H674" t="s">
        <v>4805</v>
      </c>
      <c r="I674">
        <v>13.99</v>
      </c>
      <c r="J674">
        <v>1</v>
      </c>
      <c r="K674">
        <v>2.2999999999999998</v>
      </c>
      <c r="L674">
        <v>0</v>
      </c>
      <c r="M674" t="s">
        <v>4812</v>
      </c>
      <c r="N674" t="s">
        <v>4900</v>
      </c>
      <c r="O674" t="s">
        <v>4911</v>
      </c>
    </row>
    <row r="675" spans="1:15" x14ac:dyDescent="0.35">
      <c r="A675" t="s">
        <v>684</v>
      </c>
      <c r="B675">
        <v>49</v>
      </c>
      <c r="C675" t="s">
        <v>4803</v>
      </c>
      <c r="D675" t="s">
        <v>15</v>
      </c>
      <c r="E675">
        <v>73</v>
      </c>
      <c r="F675">
        <v>23</v>
      </c>
      <c r="G675" t="s">
        <v>4799</v>
      </c>
      <c r="H675" t="s">
        <v>4806</v>
      </c>
      <c r="I675">
        <v>17.989999999999998</v>
      </c>
      <c r="J675">
        <v>5</v>
      </c>
      <c r="K675">
        <v>2.4300000000000002</v>
      </c>
      <c r="L675">
        <v>1</v>
      </c>
      <c r="M675" t="s">
        <v>4812</v>
      </c>
      <c r="N675" t="s">
        <v>4899</v>
      </c>
      <c r="O675" t="s">
        <v>4910</v>
      </c>
    </row>
    <row r="676" spans="1:15" x14ac:dyDescent="0.35">
      <c r="A676" t="s">
        <v>685</v>
      </c>
      <c r="B676">
        <v>34</v>
      </c>
      <c r="C676" t="s">
        <v>4803</v>
      </c>
      <c r="D676" t="s">
        <v>13</v>
      </c>
      <c r="E676">
        <v>47</v>
      </c>
      <c r="F676">
        <v>19</v>
      </c>
      <c r="G676" t="s">
        <v>4798</v>
      </c>
      <c r="H676" t="s">
        <v>4806</v>
      </c>
      <c r="I676">
        <v>13.99</v>
      </c>
      <c r="J676">
        <v>2</v>
      </c>
      <c r="K676">
        <v>1.57</v>
      </c>
      <c r="L676">
        <v>0</v>
      </c>
      <c r="M676" t="s">
        <v>4809</v>
      </c>
      <c r="N676" t="s">
        <v>4900</v>
      </c>
      <c r="O676" t="s">
        <v>4912</v>
      </c>
    </row>
    <row r="677" spans="1:15" x14ac:dyDescent="0.35">
      <c r="A677" t="s">
        <v>686</v>
      </c>
      <c r="B677">
        <v>57</v>
      </c>
      <c r="C677" t="s">
        <v>4802</v>
      </c>
      <c r="D677" t="s">
        <v>15</v>
      </c>
      <c r="E677">
        <v>77</v>
      </c>
      <c r="F677">
        <v>22</v>
      </c>
      <c r="G677" t="s">
        <v>4797</v>
      </c>
      <c r="H677" t="s">
        <v>4805</v>
      </c>
      <c r="I677">
        <v>17.989999999999998</v>
      </c>
      <c r="J677">
        <v>3</v>
      </c>
      <c r="K677">
        <v>2.57</v>
      </c>
      <c r="L677">
        <v>0</v>
      </c>
      <c r="M677" t="s">
        <v>4808</v>
      </c>
      <c r="N677" t="s">
        <v>4900</v>
      </c>
      <c r="O677" t="s">
        <v>4911</v>
      </c>
    </row>
    <row r="678" spans="1:15" x14ac:dyDescent="0.35">
      <c r="A678" t="s">
        <v>687</v>
      </c>
      <c r="B678">
        <v>29</v>
      </c>
      <c r="C678" t="s">
        <v>4802</v>
      </c>
      <c r="D678" t="s">
        <v>13</v>
      </c>
      <c r="E678">
        <v>53</v>
      </c>
      <c r="F678">
        <v>56</v>
      </c>
      <c r="G678" t="s">
        <v>4797</v>
      </c>
      <c r="H678" t="s">
        <v>4805</v>
      </c>
      <c r="I678">
        <v>13.99</v>
      </c>
      <c r="J678">
        <v>3</v>
      </c>
      <c r="K678">
        <v>1.77</v>
      </c>
      <c r="L678">
        <v>0</v>
      </c>
      <c r="M678" t="s">
        <v>4808</v>
      </c>
      <c r="N678" t="s">
        <v>4900</v>
      </c>
      <c r="O678" t="s">
        <v>4912</v>
      </c>
    </row>
    <row r="679" spans="1:15" x14ac:dyDescent="0.35">
      <c r="A679" t="s">
        <v>688</v>
      </c>
      <c r="B679">
        <v>22</v>
      </c>
      <c r="C679" t="s">
        <v>4802</v>
      </c>
      <c r="D679" t="s">
        <v>14</v>
      </c>
      <c r="E679">
        <v>27</v>
      </c>
      <c r="F679">
        <v>40</v>
      </c>
      <c r="G679" t="s">
        <v>4798</v>
      </c>
      <c r="H679" t="s">
        <v>4804</v>
      </c>
      <c r="I679">
        <v>8.99</v>
      </c>
      <c r="J679">
        <v>1</v>
      </c>
      <c r="K679">
        <v>0.9</v>
      </c>
      <c r="L679">
        <v>1</v>
      </c>
      <c r="M679" t="s">
        <v>4810</v>
      </c>
      <c r="N679" t="s">
        <v>4899</v>
      </c>
      <c r="O679" t="s">
        <v>4912</v>
      </c>
    </row>
    <row r="680" spans="1:15" x14ac:dyDescent="0.35">
      <c r="A680" t="s">
        <v>4896</v>
      </c>
      <c r="B680">
        <v>54</v>
      </c>
      <c r="C680" t="s">
        <v>4803</v>
      </c>
      <c r="D680" t="s">
        <v>13</v>
      </c>
      <c r="E680">
        <v>72</v>
      </c>
      <c r="F680">
        <v>49</v>
      </c>
      <c r="G680" t="s">
        <v>4799</v>
      </c>
      <c r="H680" t="s">
        <v>4804</v>
      </c>
      <c r="I680">
        <v>13.99</v>
      </c>
      <c r="J680">
        <v>1</v>
      </c>
      <c r="K680">
        <v>2.4</v>
      </c>
      <c r="L680">
        <v>0</v>
      </c>
      <c r="M680" t="s">
        <v>4812</v>
      </c>
      <c r="N680" t="s">
        <v>4900</v>
      </c>
      <c r="O680" t="s">
        <v>4910</v>
      </c>
    </row>
    <row r="681" spans="1:15" x14ac:dyDescent="0.35">
      <c r="A681" t="s">
        <v>689</v>
      </c>
      <c r="B681">
        <v>44</v>
      </c>
      <c r="C681" t="s">
        <v>4803</v>
      </c>
      <c r="D681" t="s">
        <v>13</v>
      </c>
      <c r="E681">
        <v>35</v>
      </c>
      <c r="F681">
        <v>28</v>
      </c>
      <c r="G681" t="s">
        <v>4799</v>
      </c>
      <c r="H681" t="s">
        <v>4806</v>
      </c>
      <c r="I681">
        <v>13.99</v>
      </c>
      <c r="J681">
        <v>2</v>
      </c>
      <c r="K681">
        <v>1.17</v>
      </c>
      <c r="L681">
        <v>0</v>
      </c>
      <c r="M681" t="s">
        <v>4812</v>
      </c>
      <c r="N681" t="s">
        <v>4900</v>
      </c>
      <c r="O681" t="s">
        <v>4910</v>
      </c>
    </row>
    <row r="682" spans="1:15" x14ac:dyDescent="0.35">
      <c r="A682" t="s">
        <v>690</v>
      </c>
      <c r="B682">
        <v>29</v>
      </c>
      <c r="C682" t="s">
        <v>4802</v>
      </c>
      <c r="D682" t="s">
        <v>14</v>
      </c>
      <c r="E682">
        <v>25</v>
      </c>
      <c r="F682">
        <v>25</v>
      </c>
      <c r="G682" t="s">
        <v>4799</v>
      </c>
      <c r="H682" t="s">
        <v>4807</v>
      </c>
      <c r="I682">
        <v>8.99</v>
      </c>
      <c r="J682">
        <v>1</v>
      </c>
      <c r="K682">
        <v>0.83</v>
      </c>
      <c r="L682">
        <v>0</v>
      </c>
      <c r="M682" t="s">
        <v>4809</v>
      </c>
      <c r="N682" t="s">
        <v>4900</v>
      </c>
      <c r="O682" t="s">
        <v>4912</v>
      </c>
    </row>
    <row r="683" spans="1:15" x14ac:dyDescent="0.35">
      <c r="A683" t="s">
        <v>691</v>
      </c>
      <c r="B683">
        <v>57</v>
      </c>
      <c r="C683" t="s">
        <v>4803</v>
      </c>
      <c r="D683" t="s">
        <v>13</v>
      </c>
      <c r="E683">
        <v>68</v>
      </c>
      <c r="F683">
        <v>17</v>
      </c>
      <c r="G683" t="s">
        <v>4797</v>
      </c>
      <c r="H683" t="s">
        <v>4807</v>
      </c>
      <c r="I683">
        <v>13.99</v>
      </c>
      <c r="J683">
        <v>3</v>
      </c>
      <c r="K683">
        <v>2.27</v>
      </c>
      <c r="L683">
        <v>1</v>
      </c>
      <c r="M683" t="s">
        <v>4810</v>
      </c>
      <c r="N683" t="s">
        <v>4899</v>
      </c>
      <c r="O683" t="s">
        <v>4911</v>
      </c>
    </row>
    <row r="684" spans="1:15" x14ac:dyDescent="0.35">
      <c r="A684" t="s">
        <v>692</v>
      </c>
      <c r="B684">
        <v>45</v>
      </c>
      <c r="C684" t="s">
        <v>4802</v>
      </c>
      <c r="D684" t="s">
        <v>13</v>
      </c>
      <c r="E684">
        <v>79</v>
      </c>
      <c r="F684">
        <v>11</v>
      </c>
      <c r="G684" t="s">
        <v>4797</v>
      </c>
      <c r="H684" t="s">
        <v>4805</v>
      </c>
      <c r="I684">
        <v>13.99</v>
      </c>
      <c r="J684">
        <v>3</v>
      </c>
      <c r="K684">
        <v>2.63</v>
      </c>
      <c r="L684">
        <v>1</v>
      </c>
      <c r="M684" t="s">
        <v>4809</v>
      </c>
      <c r="N684" t="s">
        <v>4899</v>
      </c>
      <c r="O684" t="s">
        <v>4910</v>
      </c>
    </row>
    <row r="685" spans="1:15" x14ac:dyDescent="0.35">
      <c r="A685" t="s">
        <v>693</v>
      </c>
      <c r="B685">
        <v>36</v>
      </c>
      <c r="C685" t="s">
        <v>4803</v>
      </c>
      <c r="D685" t="s">
        <v>13</v>
      </c>
      <c r="E685">
        <v>49</v>
      </c>
      <c r="F685">
        <v>999</v>
      </c>
      <c r="G685" t="s">
        <v>4797</v>
      </c>
      <c r="H685" t="s">
        <v>4804</v>
      </c>
      <c r="I685">
        <v>13.99</v>
      </c>
      <c r="J685">
        <v>2</v>
      </c>
      <c r="K685">
        <v>1.63</v>
      </c>
      <c r="L685">
        <v>0</v>
      </c>
      <c r="M685" t="s">
        <v>4811</v>
      </c>
      <c r="N685" t="s">
        <v>4900</v>
      </c>
      <c r="O685" t="s">
        <v>4910</v>
      </c>
    </row>
    <row r="686" spans="1:15" x14ac:dyDescent="0.35">
      <c r="A686" t="s">
        <v>694</v>
      </c>
      <c r="B686">
        <v>54</v>
      </c>
      <c r="C686" t="s">
        <v>4802</v>
      </c>
      <c r="D686" t="s">
        <v>15</v>
      </c>
      <c r="E686">
        <v>59</v>
      </c>
      <c r="F686">
        <v>25</v>
      </c>
      <c r="G686" t="s">
        <v>4798</v>
      </c>
      <c r="H686" t="s">
        <v>4804</v>
      </c>
      <c r="I686">
        <v>17.989999999999998</v>
      </c>
      <c r="J686">
        <v>1</v>
      </c>
      <c r="K686">
        <v>1.97</v>
      </c>
      <c r="L686">
        <v>1</v>
      </c>
      <c r="M686" t="s">
        <v>4812</v>
      </c>
      <c r="N686" t="s">
        <v>4899</v>
      </c>
      <c r="O686" t="s">
        <v>4910</v>
      </c>
    </row>
    <row r="687" spans="1:15" x14ac:dyDescent="0.35">
      <c r="A687" t="s">
        <v>695</v>
      </c>
      <c r="B687">
        <v>50</v>
      </c>
      <c r="C687" t="s">
        <v>4803</v>
      </c>
      <c r="D687" t="s">
        <v>13</v>
      </c>
      <c r="E687">
        <v>57</v>
      </c>
      <c r="F687">
        <v>35</v>
      </c>
      <c r="G687" t="s">
        <v>4798</v>
      </c>
      <c r="H687" t="s">
        <v>4804</v>
      </c>
      <c r="I687">
        <v>13.99</v>
      </c>
      <c r="J687">
        <v>3</v>
      </c>
      <c r="K687">
        <v>1.9</v>
      </c>
      <c r="L687">
        <v>1</v>
      </c>
      <c r="M687" t="s">
        <v>4811</v>
      </c>
      <c r="N687" t="s">
        <v>4899</v>
      </c>
      <c r="O687" t="s">
        <v>4910</v>
      </c>
    </row>
    <row r="688" spans="1:15" x14ac:dyDescent="0.35">
      <c r="A688" t="s">
        <v>696</v>
      </c>
      <c r="B688">
        <v>56</v>
      </c>
      <c r="C688" t="s">
        <v>4802</v>
      </c>
      <c r="D688" t="s">
        <v>13</v>
      </c>
      <c r="E688">
        <v>76</v>
      </c>
      <c r="F688">
        <v>49</v>
      </c>
      <c r="G688" t="s">
        <v>4798</v>
      </c>
      <c r="H688" t="s">
        <v>4805</v>
      </c>
      <c r="I688">
        <v>13.99</v>
      </c>
      <c r="J688">
        <v>2</v>
      </c>
      <c r="K688">
        <v>2.5299999999999998</v>
      </c>
      <c r="L688">
        <v>0</v>
      </c>
      <c r="M688" t="s">
        <v>4810</v>
      </c>
      <c r="N688" t="s">
        <v>4900</v>
      </c>
      <c r="O688" t="s">
        <v>4911</v>
      </c>
    </row>
    <row r="689" spans="1:15" x14ac:dyDescent="0.35">
      <c r="A689" t="s">
        <v>697</v>
      </c>
      <c r="B689">
        <v>29</v>
      </c>
      <c r="C689" t="s">
        <v>4803</v>
      </c>
      <c r="D689" t="s">
        <v>13</v>
      </c>
      <c r="E689">
        <v>30</v>
      </c>
      <c r="F689">
        <v>10</v>
      </c>
      <c r="G689" t="s">
        <v>4799</v>
      </c>
      <c r="H689" t="s">
        <v>4804</v>
      </c>
      <c r="I689">
        <v>13.99</v>
      </c>
      <c r="J689">
        <v>3</v>
      </c>
      <c r="K689">
        <v>1</v>
      </c>
      <c r="L689">
        <v>0</v>
      </c>
      <c r="M689" t="s">
        <v>4809</v>
      </c>
      <c r="N689" t="s">
        <v>4900</v>
      </c>
      <c r="O689" t="s">
        <v>4912</v>
      </c>
    </row>
    <row r="690" spans="1:15" x14ac:dyDescent="0.35">
      <c r="A690" t="s">
        <v>698</v>
      </c>
      <c r="B690">
        <v>39</v>
      </c>
      <c r="C690" t="s">
        <v>4803</v>
      </c>
      <c r="D690" t="s">
        <v>13</v>
      </c>
      <c r="E690">
        <v>69</v>
      </c>
      <c r="F690">
        <v>47</v>
      </c>
      <c r="G690" t="s">
        <v>4799</v>
      </c>
      <c r="H690" t="s">
        <v>4804</v>
      </c>
      <c r="I690">
        <v>13.99</v>
      </c>
      <c r="J690">
        <v>1</v>
      </c>
      <c r="K690">
        <v>2.2999999999999998</v>
      </c>
      <c r="L690">
        <v>0</v>
      </c>
      <c r="M690" t="s">
        <v>4808</v>
      </c>
      <c r="N690" t="s">
        <v>4900</v>
      </c>
      <c r="O690" t="s">
        <v>4910</v>
      </c>
    </row>
    <row r="691" spans="1:15" x14ac:dyDescent="0.35">
      <c r="A691" t="s">
        <v>699</v>
      </c>
      <c r="B691">
        <v>65</v>
      </c>
      <c r="C691" t="s">
        <v>4802</v>
      </c>
      <c r="D691" t="s">
        <v>13</v>
      </c>
      <c r="E691">
        <v>64</v>
      </c>
      <c r="F691">
        <v>31</v>
      </c>
      <c r="G691" t="s">
        <v>4799</v>
      </c>
      <c r="H691" t="s">
        <v>4804</v>
      </c>
      <c r="I691">
        <v>13.99</v>
      </c>
      <c r="J691">
        <v>3</v>
      </c>
      <c r="K691">
        <v>2.13</v>
      </c>
      <c r="L691">
        <v>0</v>
      </c>
      <c r="M691" t="s">
        <v>4811</v>
      </c>
      <c r="N691" t="s">
        <v>4900</v>
      </c>
      <c r="O691" t="s">
        <v>4911</v>
      </c>
    </row>
    <row r="692" spans="1:15" x14ac:dyDescent="0.35">
      <c r="A692" t="s">
        <v>4816</v>
      </c>
      <c r="B692">
        <v>18</v>
      </c>
      <c r="C692" t="s">
        <v>4802</v>
      </c>
      <c r="D692" t="s">
        <v>13</v>
      </c>
      <c r="E692">
        <v>68</v>
      </c>
      <c r="F692">
        <v>999</v>
      </c>
      <c r="G692" t="s">
        <v>4797</v>
      </c>
      <c r="H692" t="s">
        <v>4806</v>
      </c>
      <c r="I692">
        <v>13.99</v>
      </c>
      <c r="J692">
        <v>1</v>
      </c>
      <c r="K692">
        <v>2.27</v>
      </c>
      <c r="L692">
        <v>0</v>
      </c>
      <c r="M692" t="s">
        <v>4812</v>
      </c>
      <c r="N692" t="s">
        <v>4900</v>
      </c>
      <c r="O692" t="s">
        <v>4912</v>
      </c>
    </row>
    <row r="693" spans="1:15" x14ac:dyDescent="0.35">
      <c r="A693" t="s">
        <v>700</v>
      </c>
      <c r="B693">
        <v>63</v>
      </c>
      <c r="C693" t="s">
        <v>4802</v>
      </c>
      <c r="D693" t="s">
        <v>15</v>
      </c>
      <c r="E693">
        <v>52</v>
      </c>
      <c r="F693">
        <v>43</v>
      </c>
      <c r="G693" t="s">
        <v>4797</v>
      </c>
      <c r="H693" t="s">
        <v>4805</v>
      </c>
      <c r="I693">
        <v>17.989999999999998</v>
      </c>
      <c r="J693">
        <v>3</v>
      </c>
      <c r="K693">
        <v>1.73</v>
      </c>
      <c r="L693">
        <v>1</v>
      </c>
      <c r="M693" t="s">
        <v>4811</v>
      </c>
      <c r="N693" t="s">
        <v>4899</v>
      </c>
      <c r="O693" t="s">
        <v>4911</v>
      </c>
    </row>
    <row r="694" spans="1:15" x14ac:dyDescent="0.35">
      <c r="A694" t="s">
        <v>701</v>
      </c>
      <c r="B694">
        <v>41</v>
      </c>
      <c r="C694" t="s">
        <v>4803</v>
      </c>
      <c r="D694" t="s">
        <v>14</v>
      </c>
      <c r="E694">
        <v>62</v>
      </c>
      <c r="F694">
        <v>16</v>
      </c>
      <c r="G694" t="s">
        <v>4798</v>
      </c>
      <c r="H694" t="s">
        <v>4805</v>
      </c>
      <c r="I694">
        <v>8.99</v>
      </c>
      <c r="J694">
        <v>3</v>
      </c>
      <c r="K694">
        <v>2.0699999999999998</v>
      </c>
      <c r="L694">
        <v>0</v>
      </c>
      <c r="M694" t="s">
        <v>4811</v>
      </c>
      <c r="N694" t="s">
        <v>4900</v>
      </c>
      <c r="O694" t="s">
        <v>4910</v>
      </c>
    </row>
    <row r="695" spans="1:15" x14ac:dyDescent="0.35">
      <c r="A695" t="s">
        <v>702</v>
      </c>
      <c r="B695">
        <v>25</v>
      </c>
      <c r="C695" t="s">
        <v>4803</v>
      </c>
      <c r="D695" t="s">
        <v>13</v>
      </c>
      <c r="E695">
        <v>38</v>
      </c>
      <c r="F695">
        <v>1</v>
      </c>
      <c r="G695" t="s">
        <v>4797</v>
      </c>
      <c r="H695" t="s">
        <v>4805</v>
      </c>
      <c r="I695">
        <v>13.99</v>
      </c>
      <c r="J695">
        <v>3</v>
      </c>
      <c r="K695">
        <v>1.27</v>
      </c>
      <c r="L695">
        <v>0</v>
      </c>
      <c r="M695" t="s">
        <v>4812</v>
      </c>
      <c r="N695" t="s">
        <v>4900</v>
      </c>
      <c r="O695" t="s">
        <v>4912</v>
      </c>
    </row>
    <row r="696" spans="1:15" x14ac:dyDescent="0.35">
      <c r="A696" t="s">
        <v>703</v>
      </c>
      <c r="B696">
        <v>18</v>
      </c>
      <c r="C696" t="s">
        <v>4803</v>
      </c>
      <c r="D696" t="s">
        <v>14</v>
      </c>
      <c r="E696">
        <v>27</v>
      </c>
      <c r="F696">
        <v>8</v>
      </c>
      <c r="G696" t="s">
        <v>4800</v>
      </c>
      <c r="H696" t="s">
        <v>4805</v>
      </c>
      <c r="I696">
        <v>8.99</v>
      </c>
      <c r="J696">
        <v>1</v>
      </c>
      <c r="K696">
        <v>0.9</v>
      </c>
      <c r="L696">
        <v>0</v>
      </c>
      <c r="M696" t="s">
        <v>4809</v>
      </c>
      <c r="N696" t="s">
        <v>4900</v>
      </c>
      <c r="O696" t="s">
        <v>4912</v>
      </c>
    </row>
    <row r="697" spans="1:15" x14ac:dyDescent="0.35">
      <c r="A697" t="s">
        <v>704</v>
      </c>
      <c r="B697">
        <v>61</v>
      </c>
      <c r="C697" t="s">
        <v>4803</v>
      </c>
      <c r="D697" t="s">
        <v>13</v>
      </c>
      <c r="E697">
        <v>73</v>
      </c>
      <c r="F697">
        <v>56</v>
      </c>
      <c r="G697" t="s">
        <v>4798</v>
      </c>
      <c r="H697" t="s">
        <v>4804</v>
      </c>
      <c r="I697">
        <v>13.99</v>
      </c>
      <c r="J697">
        <v>3</v>
      </c>
      <c r="K697">
        <v>2.0299999999999998</v>
      </c>
      <c r="L697">
        <v>0</v>
      </c>
      <c r="M697" t="s">
        <v>4811</v>
      </c>
      <c r="N697" t="s">
        <v>4900</v>
      </c>
      <c r="O697" t="s">
        <v>4911</v>
      </c>
    </row>
    <row r="698" spans="1:15" x14ac:dyDescent="0.35">
      <c r="A698" t="s">
        <v>705</v>
      </c>
      <c r="B698">
        <v>44</v>
      </c>
      <c r="C698" t="s">
        <v>4803</v>
      </c>
      <c r="D698" t="s">
        <v>13</v>
      </c>
      <c r="E698">
        <v>77</v>
      </c>
      <c r="F698">
        <v>34</v>
      </c>
      <c r="G698" t="s">
        <v>4799</v>
      </c>
      <c r="H698" t="s">
        <v>4804</v>
      </c>
      <c r="I698">
        <v>13.99</v>
      </c>
      <c r="J698">
        <v>4</v>
      </c>
      <c r="K698">
        <v>2.57</v>
      </c>
      <c r="L698">
        <v>0</v>
      </c>
      <c r="M698" t="s">
        <v>4809</v>
      </c>
      <c r="N698" t="s">
        <v>4900</v>
      </c>
      <c r="O698" t="s">
        <v>4910</v>
      </c>
    </row>
    <row r="699" spans="1:15" x14ac:dyDescent="0.35">
      <c r="A699" t="s">
        <v>4897</v>
      </c>
      <c r="B699">
        <v>44</v>
      </c>
      <c r="C699" t="s">
        <v>4802</v>
      </c>
      <c r="D699" t="s">
        <v>15</v>
      </c>
      <c r="E699">
        <v>120</v>
      </c>
      <c r="F699">
        <v>38</v>
      </c>
      <c r="G699" t="s">
        <v>4799</v>
      </c>
      <c r="H699" t="s">
        <v>4804</v>
      </c>
      <c r="I699">
        <v>17.989999999999998</v>
      </c>
      <c r="J699">
        <v>2</v>
      </c>
      <c r="K699">
        <v>4</v>
      </c>
      <c r="L699">
        <v>0</v>
      </c>
      <c r="M699" t="s">
        <v>4812</v>
      </c>
      <c r="N699" t="s">
        <v>4900</v>
      </c>
      <c r="O699" t="s">
        <v>4910</v>
      </c>
    </row>
    <row r="700" spans="1:15" x14ac:dyDescent="0.35">
      <c r="A700" t="s">
        <v>706</v>
      </c>
      <c r="B700">
        <v>21</v>
      </c>
      <c r="C700" t="s">
        <v>4803</v>
      </c>
      <c r="D700" t="s">
        <v>13</v>
      </c>
      <c r="E700">
        <v>66</v>
      </c>
      <c r="F700">
        <v>15</v>
      </c>
      <c r="G700" t="s">
        <v>4798</v>
      </c>
      <c r="H700" t="s">
        <v>4804</v>
      </c>
      <c r="I700">
        <v>13.99</v>
      </c>
      <c r="J700">
        <v>4</v>
      </c>
      <c r="K700">
        <v>2.2000000000000002</v>
      </c>
      <c r="L700">
        <v>0</v>
      </c>
      <c r="M700" t="s">
        <v>4812</v>
      </c>
      <c r="N700" t="s">
        <v>4900</v>
      </c>
      <c r="O700" t="s">
        <v>4912</v>
      </c>
    </row>
    <row r="701" spans="1:15" x14ac:dyDescent="0.35">
      <c r="A701" t="s">
        <v>707</v>
      </c>
      <c r="B701">
        <v>65</v>
      </c>
      <c r="C701" t="s">
        <v>4802</v>
      </c>
      <c r="D701" t="s">
        <v>13</v>
      </c>
      <c r="E701">
        <v>49</v>
      </c>
      <c r="F701">
        <v>50</v>
      </c>
      <c r="G701" t="s">
        <v>4798</v>
      </c>
      <c r="H701" t="s">
        <v>4805</v>
      </c>
      <c r="I701">
        <v>13.99</v>
      </c>
      <c r="J701">
        <v>4</v>
      </c>
      <c r="K701">
        <v>1.63</v>
      </c>
      <c r="L701">
        <v>0</v>
      </c>
      <c r="M701" t="s">
        <v>4808</v>
      </c>
      <c r="N701" t="s">
        <v>4900</v>
      </c>
      <c r="O701" t="s">
        <v>4911</v>
      </c>
    </row>
    <row r="702" spans="1:15" x14ac:dyDescent="0.35">
      <c r="A702" t="s">
        <v>708</v>
      </c>
      <c r="B702">
        <v>27</v>
      </c>
      <c r="C702" t="s">
        <v>4803</v>
      </c>
      <c r="D702" t="s">
        <v>13</v>
      </c>
      <c r="E702">
        <v>32</v>
      </c>
      <c r="F702" t="s">
        <v>4814</v>
      </c>
      <c r="G702" t="s">
        <v>4797</v>
      </c>
      <c r="H702" t="s">
        <v>4804</v>
      </c>
      <c r="I702">
        <v>13.99</v>
      </c>
      <c r="J702">
        <v>2</v>
      </c>
      <c r="K702">
        <v>1.07</v>
      </c>
      <c r="L702">
        <v>0</v>
      </c>
      <c r="M702" t="s">
        <v>4811</v>
      </c>
      <c r="N702" t="s">
        <v>4900</v>
      </c>
      <c r="O702" t="s">
        <v>4912</v>
      </c>
    </row>
    <row r="703" spans="1:15" x14ac:dyDescent="0.35">
      <c r="A703" t="s">
        <v>709</v>
      </c>
      <c r="B703">
        <v>61</v>
      </c>
      <c r="C703" t="s">
        <v>4802</v>
      </c>
      <c r="D703" t="s">
        <v>14</v>
      </c>
      <c r="E703">
        <v>48</v>
      </c>
      <c r="F703">
        <v>9</v>
      </c>
      <c r="G703" t="s">
        <v>4797</v>
      </c>
      <c r="H703" t="s">
        <v>4805</v>
      </c>
      <c r="I703">
        <v>8.99</v>
      </c>
      <c r="J703">
        <v>1</v>
      </c>
      <c r="K703">
        <v>1.6</v>
      </c>
      <c r="L703">
        <v>0</v>
      </c>
      <c r="M703" t="s">
        <v>4809</v>
      </c>
      <c r="N703" t="s">
        <v>4900</v>
      </c>
      <c r="O703" t="s">
        <v>4911</v>
      </c>
    </row>
    <row r="704" spans="1:15" x14ac:dyDescent="0.35">
      <c r="A704" t="s">
        <v>710</v>
      </c>
      <c r="B704">
        <v>61</v>
      </c>
      <c r="C704" t="s">
        <v>4803</v>
      </c>
      <c r="D704" t="s">
        <v>14</v>
      </c>
      <c r="E704">
        <v>16</v>
      </c>
      <c r="F704">
        <v>32</v>
      </c>
      <c r="G704" t="s">
        <v>4798</v>
      </c>
      <c r="H704" t="s">
        <v>4807</v>
      </c>
      <c r="I704">
        <v>8.99</v>
      </c>
      <c r="J704">
        <v>2</v>
      </c>
      <c r="K704">
        <v>0.53</v>
      </c>
      <c r="L704">
        <v>0</v>
      </c>
      <c r="M704" t="s">
        <v>4811</v>
      </c>
      <c r="N704" t="s">
        <v>4900</v>
      </c>
      <c r="O704" t="s">
        <v>4911</v>
      </c>
    </row>
    <row r="705" spans="1:15" x14ac:dyDescent="0.35">
      <c r="A705" t="s">
        <v>711</v>
      </c>
      <c r="B705">
        <v>55</v>
      </c>
      <c r="C705" t="s">
        <v>4802</v>
      </c>
      <c r="D705" t="s">
        <v>13</v>
      </c>
      <c r="E705">
        <v>65</v>
      </c>
      <c r="F705">
        <v>32</v>
      </c>
      <c r="G705" t="s">
        <v>4799</v>
      </c>
      <c r="H705" t="s">
        <v>4804</v>
      </c>
      <c r="I705">
        <v>13.99</v>
      </c>
      <c r="J705">
        <v>2</v>
      </c>
      <c r="K705">
        <v>2.17</v>
      </c>
      <c r="L705">
        <v>0</v>
      </c>
      <c r="M705" t="s">
        <v>4810</v>
      </c>
      <c r="N705" t="s">
        <v>4900</v>
      </c>
      <c r="O705" t="s">
        <v>4911</v>
      </c>
    </row>
    <row r="706" spans="1:15" x14ac:dyDescent="0.35">
      <c r="A706" t="s">
        <v>712</v>
      </c>
      <c r="B706">
        <v>23</v>
      </c>
      <c r="C706" t="s">
        <v>4803</v>
      </c>
      <c r="D706" t="s">
        <v>13</v>
      </c>
      <c r="E706">
        <v>48</v>
      </c>
      <c r="F706">
        <v>1</v>
      </c>
      <c r="G706" t="s">
        <v>4798</v>
      </c>
      <c r="H706" t="s">
        <v>4806</v>
      </c>
      <c r="I706">
        <v>13.99</v>
      </c>
      <c r="J706">
        <v>1</v>
      </c>
      <c r="K706">
        <v>1.6</v>
      </c>
      <c r="L706">
        <v>0</v>
      </c>
      <c r="M706" t="s">
        <v>4809</v>
      </c>
      <c r="N706" t="s">
        <v>4900</v>
      </c>
      <c r="O706" t="s">
        <v>4912</v>
      </c>
    </row>
    <row r="707" spans="1:15" x14ac:dyDescent="0.35">
      <c r="A707" t="s">
        <v>713</v>
      </c>
      <c r="B707">
        <v>39</v>
      </c>
      <c r="C707" t="s">
        <v>4803</v>
      </c>
      <c r="D707" t="s">
        <v>13</v>
      </c>
      <c r="E707">
        <v>72</v>
      </c>
      <c r="F707">
        <v>27</v>
      </c>
      <c r="G707" t="s">
        <v>4799</v>
      </c>
      <c r="H707" t="s">
        <v>4806</v>
      </c>
      <c r="I707">
        <v>13.99</v>
      </c>
      <c r="J707">
        <v>4</v>
      </c>
      <c r="K707">
        <v>2.4</v>
      </c>
      <c r="L707">
        <v>0</v>
      </c>
      <c r="M707" t="s">
        <v>4812</v>
      </c>
      <c r="N707" t="s">
        <v>4900</v>
      </c>
      <c r="O707" t="s">
        <v>4910</v>
      </c>
    </row>
    <row r="708" spans="1:15" x14ac:dyDescent="0.35">
      <c r="A708" t="s">
        <v>714</v>
      </c>
      <c r="B708">
        <v>44</v>
      </c>
      <c r="C708" t="s">
        <v>4802</v>
      </c>
      <c r="D708" t="s">
        <v>13</v>
      </c>
      <c r="E708">
        <v>71</v>
      </c>
      <c r="F708">
        <v>36</v>
      </c>
      <c r="G708" t="s">
        <v>4798</v>
      </c>
      <c r="H708" t="s">
        <v>4805</v>
      </c>
      <c r="I708">
        <v>13.99</v>
      </c>
      <c r="J708">
        <v>3</v>
      </c>
      <c r="K708">
        <v>2.37</v>
      </c>
      <c r="L708">
        <v>1</v>
      </c>
      <c r="M708" t="s">
        <v>4810</v>
      </c>
      <c r="N708" t="s">
        <v>4899</v>
      </c>
      <c r="O708" t="s">
        <v>4910</v>
      </c>
    </row>
    <row r="709" spans="1:15" x14ac:dyDescent="0.35">
      <c r="A709" t="s">
        <v>715</v>
      </c>
      <c r="B709">
        <v>52</v>
      </c>
      <c r="C709" t="s">
        <v>4802</v>
      </c>
      <c r="D709" t="s">
        <v>13</v>
      </c>
      <c r="E709">
        <v>79</v>
      </c>
      <c r="F709">
        <v>56</v>
      </c>
      <c r="G709" t="s">
        <v>4797</v>
      </c>
      <c r="H709" t="s">
        <v>4805</v>
      </c>
      <c r="I709">
        <v>13.99</v>
      </c>
      <c r="J709">
        <v>3</v>
      </c>
      <c r="K709">
        <v>2.63</v>
      </c>
      <c r="L709">
        <v>0</v>
      </c>
      <c r="M709" t="s">
        <v>4809</v>
      </c>
      <c r="N709" t="s">
        <v>4900</v>
      </c>
      <c r="O709" t="s">
        <v>4910</v>
      </c>
    </row>
    <row r="710" spans="1:15" x14ac:dyDescent="0.35">
      <c r="A710" t="s">
        <v>716</v>
      </c>
      <c r="B710">
        <v>25</v>
      </c>
      <c r="C710" t="s">
        <v>4802</v>
      </c>
      <c r="D710" t="s">
        <v>15</v>
      </c>
      <c r="E710">
        <v>92</v>
      </c>
      <c r="F710">
        <v>39</v>
      </c>
      <c r="G710" t="s">
        <v>4798</v>
      </c>
      <c r="H710" t="s">
        <v>4805</v>
      </c>
      <c r="I710">
        <v>17.989999999999998</v>
      </c>
      <c r="J710">
        <v>2</v>
      </c>
      <c r="K710">
        <v>3.07</v>
      </c>
      <c r="L710">
        <v>0</v>
      </c>
      <c r="M710" t="s">
        <v>4808</v>
      </c>
      <c r="N710" t="s">
        <v>4900</v>
      </c>
      <c r="O710" t="s">
        <v>4912</v>
      </c>
    </row>
    <row r="711" spans="1:15" x14ac:dyDescent="0.35">
      <c r="A711" t="s">
        <v>717</v>
      </c>
      <c r="B711">
        <v>23</v>
      </c>
      <c r="C711" t="s">
        <v>4803</v>
      </c>
      <c r="D711" t="s">
        <v>13</v>
      </c>
      <c r="E711">
        <v>61</v>
      </c>
      <c r="F711">
        <v>17</v>
      </c>
      <c r="G711" t="s">
        <v>4798</v>
      </c>
      <c r="H711" t="s">
        <v>4805</v>
      </c>
      <c r="I711">
        <v>13.99</v>
      </c>
      <c r="J711">
        <v>2</v>
      </c>
      <c r="K711">
        <v>2.0299999999999998</v>
      </c>
      <c r="L711">
        <v>1</v>
      </c>
      <c r="M711" t="s">
        <v>4812</v>
      </c>
      <c r="N711" t="s">
        <v>4899</v>
      </c>
      <c r="O711" t="s">
        <v>4912</v>
      </c>
    </row>
    <row r="712" spans="1:15" x14ac:dyDescent="0.35">
      <c r="A712" t="s">
        <v>718</v>
      </c>
      <c r="B712">
        <v>24</v>
      </c>
      <c r="C712" t="s">
        <v>4803</v>
      </c>
      <c r="D712" t="s">
        <v>15</v>
      </c>
      <c r="E712">
        <v>88</v>
      </c>
      <c r="F712">
        <v>22</v>
      </c>
      <c r="G712" t="s">
        <v>4798</v>
      </c>
      <c r="H712" t="s">
        <v>4807</v>
      </c>
      <c r="I712">
        <v>17.989999999999998</v>
      </c>
      <c r="J712">
        <v>4</v>
      </c>
      <c r="K712">
        <v>2.93</v>
      </c>
      <c r="L712">
        <v>0</v>
      </c>
      <c r="M712" t="s">
        <v>4809</v>
      </c>
      <c r="N712" t="s">
        <v>4900</v>
      </c>
      <c r="O712" t="s">
        <v>4912</v>
      </c>
    </row>
    <row r="713" spans="1:15" x14ac:dyDescent="0.35">
      <c r="A713" t="s">
        <v>4898</v>
      </c>
      <c r="B713">
        <v>45</v>
      </c>
      <c r="C713" t="s">
        <v>4803</v>
      </c>
      <c r="D713" t="s">
        <v>15</v>
      </c>
      <c r="E713">
        <v>109</v>
      </c>
      <c r="F713">
        <v>31</v>
      </c>
      <c r="G713" t="s">
        <v>4798</v>
      </c>
      <c r="H713" t="s">
        <v>4805</v>
      </c>
      <c r="I713">
        <v>17.989999999999998</v>
      </c>
      <c r="J713">
        <v>3</v>
      </c>
      <c r="K713">
        <v>3.63</v>
      </c>
      <c r="L713">
        <v>0</v>
      </c>
      <c r="M713" t="s">
        <v>4810</v>
      </c>
      <c r="N713" t="s">
        <v>4900</v>
      </c>
      <c r="O713" t="s">
        <v>4910</v>
      </c>
    </row>
    <row r="714" spans="1:15" x14ac:dyDescent="0.35">
      <c r="A714" t="s">
        <v>719</v>
      </c>
      <c r="B714">
        <v>53</v>
      </c>
      <c r="C714" t="s">
        <v>4803</v>
      </c>
      <c r="D714" t="s">
        <v>13</v>
      </c>
      <c r="E714">
        <v>46</v>
      </c>
      <c r="F714">
        <v>2</v>
      </c>
      <c r="G714" t="s">
        <v>4798</v>
      </c>
      <c r="H714" t="s">
        <v>4805</v>
      </c>
      <c r="I714">
        <v>13.99</v>
      </c>
      <c r="J714">
        <v>2</v>
      </c>
      <c r="K714">
        <v>1.53</v>
      </c>
      <c r="L714">
        <v>1</v>
      </c>
      <c r="M714" t="s">
        <v>4810</v>
      </c>
      <c r="N714" t="s">
        <v>4899</v>
      </c>
      <c r="O714" t="s">
        <v>4910</v>
      </c>
    </row>
    <row r="715" spans="1:15" x14ac:dyDescent="0.35">
      <c r="A715" t="s">
        <v>720</v>
      </c>
      <c r="B715">
        <v>39</v>
      </c>
      <c r="C715" t="s">
        <v>4803</v>
      </c>
      <c r="D715" t="s">
        <v>13</v>
      </c>
      <c r="E715">
        <v>77</v>
      </c>
      <c r="F715">
        <v>21</v>
      </c>
      <c r="G715" t="s">
        <v>4798</v>
      </c>
      <c r="H715" t="s">
        <v>4804</v>
      </c>
      <c r="I715">
        <v>13.99</v>
      </c>
      <c r="J715">
        <v>2</v>
      </c>
      <c r="K715">
        <v>2.57</v>
      </c>
      <c r="L715">
        <v>1</v>
      </c>
      <c r="M715" t="s">
        <v>4812</v>
      </c>
      <c r="N715" t="s">
        <v>4899</v>
      </c>
      <c r="O715" t="s">
        <v>4910</v>
      </c>
    </row>
    <row r="716" spans="1:15" x14ac:dyDescent="0.35">
      <c r="A716" t="s">
        <v>721</v>
      </c>
      <c r="B716">
        <v>24</v>
      </c>
      <c r="C716" t="s">
        <v>4802</v>
      </c>
      <c r="D716" t="s">
        <v>13</v>
      </c>
      <c r="E716">
        <v>45</v>
      </c>
      <c r="F716">
        <v>0</v>
      </c>
      <c r="G716" t="s">
        <v>4797</v>
      </c>
      <c r="H716" t="s">
        <v>4805</v>
      </c>
      <c r="I716">
        <v>13.99</v>
      </c>
      <c r="J716">
        <v>4</v>
      </c>
      <c r="K716">
        <v>1.5</v>
      </c>
      <c r="L716">
        <v>0</v>
      </c>
      <c r="M716" t="s">
        <v>4812</v>
      </c>
      <c r="N716" t="s">
        <v>4900</v>
      </c>
      <c r="O716" t="s">
        <v>4912</v>
      </c>
    </row>
    <row r="717" spans="1:15" x14ac:dyDescent="0.35">
      <c r="A717" t="s">
        <v>722</v>
      </c>
      <c r="B717">
        <v>33</v>
      </c>
      <c r="C717" t="s">
        <v>4802</v>
      </c>
      <c r="D717" t="s">
        <v>13</v>
      </c>
      <c r="E717">
        <v>49</v>
      </c>
      <c r="F717">
        <v>1</v>
      </c>
      <c r="G717" t="s">
        <v>4799</v>
      </c>
      <c r="H717" t="s">
        <v>4804</v>
      </c>
      <c r="I717">
        <v>13.99</v>
      </c>
      <c r="J717">
        <v>3</v>
      </c>
      <c r="K717">
        <v>1.63</v>
      </c>
      <c r="L717">
        <v>0</v>
      </c>
      <c r="M717" t="s">
        <v>4808</v>
      </c>
      <c r="N717" t="s">
        <v>4900</v>
      </c>
      <c r="O717" t="s">
        <v>4912</v>
      </c>
    </row>
    <row r="718" spans="1:15" x14ac:dyDescent="0.35">
      <c r="A718" t="s">
        <v>723</v>
      </c>
      <c r="B718">
        <v>25</v>
      </c>
      <c r="C718" t="s">
        <v>4802</v>
      </c>
      <c r="D718" t="s">
        <v>15</v>
      </c>
      <c r="E718">
        <v>78</v>
      </c>
      <c r="F718">
        <v>15</v>
      </c>
      <c r="G718" t="s">
        <v>4798</v>
      </c>
      <c r="H718" t="s">
        <v>4804</v>
      </c>
      <c r="I718">
        <v>17.989999999999998</v>
      </c>
      <c r="J718">
        <v>5</v>
      </c>
      <c r="K718">
        <v>2.6</v>
      </c>
      <c r="L718">
        <v>0</v>
      </c>
      <c r="M718" t="s">
        <v>4812</v>
      </c>
      <c r="N718" t="s">
        <v>4900</v>
      </c>
      <c r="O718" t="s">
        <v>4912</v>
      </c>
    </row>
    <row r="719" spans="1:15" x14ac:dyDescent="0.35">
      <c r="A719" t="s">
        <v>724</v>
      </c>
      <c r="B719">
        <v>48</v>
      </c>
      <c r="C719" t="s">
        <v>4803</v>
      </c>
      <c r="D719" t="s">
        <v>15</v>
      </c>
      <c r="E719">
        <v>116</v>
      </c>
      <c r="F719">
        <v>5</v>
      </c>
      <c r="G719" t="s">
        <v>4798</v>
      </c>
      <c r="H719" t="s">
        <v>4806</v>
      </c>
      <c r="I719">
        <v>17.989999999999998</v>
      </c>
      <c r="J719">
        <v>2</v>
      </c>
      <c r="K719">
        <v>3.87</v>
      </c>
      <c r="L719">
        <v>0</v>
      </c>
      <c r="M719" t="s">
        <v>4812</v>
      </c>
      <c r="N719" t="s">
        <v>4900</v>
      </c>
      <c r="O719" t="s">
        <v>4910</v>
      </c>
    </row>
    <row r="720" spans="1:15" x14ac:dyDescent="0.35">
      <c r="A720" t="s">
        <v>725</v>
      </c>
      <c r="B720">
        <v>36</v>
      </c>
      <c r="C720" t="s">
        <v>4803</v>
      </c>
      <c r="D720" t="s">
        <v>13</v>
      </c>
      <c r="E720">
        <v>33</v>
      </c>
      <c r="F720">
        <v>45</v>
      </c>
      <c r="G720" t="s">
        <v>4797</v>
      </c>
      <c r="H720" t="s">
        <v>4805</v>
      </c>
      <c r="I720">
        <v>13.99</v>
      </c>
      <c r="J720">
        <v>4</v>
      </c>
      <c r="K720">
        <v>1.1000000000000001</v>
      </c>
      <c r="L720">
        <v>0</v>
      </c>
      <c r="M720" t="s">
        <v>4810</v>
      </c>
      <c r="N720" t="s">
        <v>4900</v>
      </c>
      <c r="O720" t="s">
        <v>4910</v>
      </c>
    </row>
    <row r="721" spans="1:15" x14ac:dyDescent="0.35">
      <c r="A721" t="s">
        <v>726</v>
      </c>
      <c r="B721">
        <v>23</v>
      </c>
      <c r="C721" t="s">
        <v>4803</v>
      </c>
      <c r="D721" t="s">
        <v>14</v>
      </c>
      <c r="E721">
        <v>36</v>
      </c>
      <c r="F721">
        <v>32</v>
      </c>
      <c r="G721" t="s">
        <v>4799</v>
      </c>
      <c r="H721" t="s">
        <v>4804</v>
      </c>
      <c r="I721">
        <v>8.99</v>
      </c>
      <c r="J721">
        <v>1</v>
      </c>
      <c r="K721">
        <v>1.2</v>
      </c>
      <c r="L721">
        <v>1</v>
      </c>
      <c r="M721" t="s">
        <v>4810</v>
      </c>
      <c r="N721" t="s">
        <v>4899</v>
      </c>
      <c r="O721" t="s">
        <v>4912</v>
      </c>
    </row>
    <row r="722" spans="1:15" x14ac:dyDescent="0.35">
      <c r="A722" t="s">
        <v>727</v>
      </c>
      <c r="B722">
        <v>31</v>
      </c>
      <c r="C722" t="s">
        <v>4802</v>
      </c>
      <c r="D722" t="s">
        <v>13</v>
      </c>
      <c r="E722">
        <v>65</v>
      </c>
      <c r="F722">
        <v>36</v>
      </c>
      <c r="G722" t="s">
        <v>4798</v>
      </c>
      <c r="H722" t="s">
        <v>4804</v>
      </c>
      <c r="I722">
        <v>13.99</v>
      </c>
      <c r="J722">
        <v>3</v>
      </c>
      <c r="K722">
        <v>2.17</v>
      </c>
      <c r="L722">
        <v>1</v>
      </c>
      <c r="M722" t="s">
        <v>4812</v>
      </c>
      <c r="N722" t="s">
        <v>4899</v>
      </c>
      <c r="O722" t="s">
        <v>4912</v>
      </c>
    </row>
    <row r="723" spans="1:15" x14ac:dyDescent="0.35">
      <c r="A723" t="s">
        <v>728</v>
      </c>
      <c r="B723">
        <v>33</v>
      </c>
      <c r="C723" t="s">
        <v>4803</v>
      </c>
      <c r="D723" t="s">
        <v>13</v>
      </c>
      <c r="E723">
        <v>62</v>
      </c>
      <c r="F723">
        <v>18</v>
      </c>
      <c r="G723" t="s">
        <v>4798</v>
      </c>
      <c r="H723" t="s">
        <v>4804</v>
      </c>
      <c r="I723">
        <v>13.99</v>
      </c>
      <c r="J723">
        <v>2</v>
      </c>
      <c r="K723">
        <v>2.0699999999999998</v>
      </c>
      <c r="L723">
        <v>0</v>
      </c>
      <c r="M723" t="s">
        <v>4809</v>
      </c>
      <c r="N723" t="s">
        <v>4900</v>
      </c>
      <c r="O723" t="s">
        <v>4912</v>
      </c>
    </row>
    <row r="724" spans="1:15" x14ac:dyDescent="0.35">
      <c r="A724" t="s">
        <v>729</v>
      </c>
      <c r="B724">
        <v>60</v>
      </c>
      <c r="C724" t="s">
        <v>4803</v>
      </c>
      <c r="D724" t="s">
        <v>13</v>
      </c>
      <c r="E724">
        <v>51</v>
      </c>
      <c r="F724">
        <v>47</v>
      </c>
      <c r="G724" t="s">
        <v>4799</v>
      </c>
      <c r="H724" t="s">
        <v>4806</v>
      </c>
      <c r="I724">
        <v>13.99</v>
      </c>
      <c r="J724">
        <v>3</v>
      </c>
      <c r="K724">
        <v>1.7</v>
      </c>
      <c r="L724">
        <v>1</v>
      </c>
      <c r="M724" t="s">
        <v>4809</v>
      </c>
      <c r="N724" t="s">
        <v>4899</v>
      </c>
      <c r="O724" t="s">
        <v>4911</v>
      </c>
    </row>
    <row r="725" spans="1:15" x14ac:dyDescent="0.35">
      <c r="A725" t="s">
        <v>730</v>
      </c>
      <c r="B725">
        <v>45</v>
      </c>
      <c r="C725" t="s">
        <v>4803</v>
      </c>
      <c r="D725" t="s">
        <v>13</v>
      </c>
      <c r="E725">
        <v>36</v>
      </c>
      <c r="F725">
        <v>13</v>
      </c>
      <c r="G725" t="s">
        <v>4798</v>
      </c>
      <c r="H725" t="s">
        <v>4804</v>
      </c>
      <c r="I725">
        <v>13.99</v>
      </c>
      <c r="J725">
        <v>2</v>
      </c>
      <c r="K725">
        <v>1.2</v>
      </c>
      <c r="L725">
        <v>0</v>
      </c>
      <c r="M725" t="s">
        <v>4810</v>
      </c>
      <c r="N725" t="s">
        <v>4900</v>
      </c>
      <c r="O725" t="s">
        <v>4910</v>
      </c>
    </row>
    <row r="726" spans="1:15" x14ac:dyDescent="0.35">
      <c r="A726" t="s">
        <v>731</v>
      </c>
      <c r="B726">
        <v>23</v>
      </c>
      <c r="C726" t="s">
        <v>4802</v>
      </c>
      <c r="D726" t="s">
        <v>13</v>
      </c>
      <c r="E726">
        <v>37</v>
      </c>
      <c r="F726">
        <v>8</v>
      </c>
      <c r="G726" t="s">
        <v>4799</v>
      </c>
      <c r="H726" t="s">
        <v>4806</v>
      </c>
      <c r="I726">
        <v>13.99</v>
      </c>
      <c r="J726">
        <v>2</v>
      </c>
      <c r="K726">
        <v>1.23</v>
      </c>
      <c r="L726">
        <v>0</v>
      </c>
      <c r="M726" t="s">
        <v>4811</v>
      </c>
      <c r="N726" t="s">
        <v>4900</v>
      </c>
      <c r="O726" t="s">
        <v>4912</v>
      </c>
    </row>
    <row r="727" spans="1:15" x14ac:dyDescent="0.35">
      <c r="A727" t="s">
        <v>732</v>
      </c>
      <c r="B727">
        <v>47</v>
      </c>
      <c r="C727" t="s">
        <v>4802</v>
      </c>
      <c r="D727" t="s">
        <v>13</v>
      </c>
      <c r="E727">
        <v>78</v>
      </c>
      <c r="F727">
        <v>14</v>
      </c>
      <c r="G727" t="s">
        <v>4798</v>
      </c>
      <c r="H727" t="s">
        <v>4806</v>
      </c>
      <c r="I727">
        <v>13.99</v>
      </c>
      <c r="J727">
        <v>1</v>
      </c>
      <c r="K727">
        <v>2.0299999999999998</v>
      </c>
      <c r="L727">
        <v>0</v>
      </c>
      <c r="M727" t="s">
        <v>4810</v>
      </c>
      <c r="N727" t="s">
        <v>4900</v>
      </c>
      <c r="O727" t="s">
        <v>4910</v>
      </c>
    </row>
    <row r="728" spans="1:15" x14ac:dyDescent="0.35">
      <c r="A728" t="s">
        <v>733</v>
      </c>
      <c r="B728">
        <v>56</v>
      </c>
      <c r="C728" t="s">
        <v>4803</v>
      </c>
      <c r="D728" t="s">
        <v>13</v>
      </c>
      <c r="E728">
        <v>67</v>
      </c>
      <c r="F728">
        <v>22</v>
      </c>
      <c r="G728" t="s">
        <v>4799</v>
      </c>
      <c r="H728" t="s">
        <v>4805</v>
      </c>
      <c r="I728">
        <v>13.99</v>
      </c>
      <c r="J728">
        <v>1</v>
      </c>
      <c r="K728">
        <v>2.23</v>
      </c>
      <c r="L728">
        <v>0</v>
      </c>
      <c r="M728" t="s">
        <v>4810</v>
      </c>
      <c r="N728" t="s">
        <v>4900</v>
      </c>
      <c r="O728" t="s">
        <v>4911</v>
      </c>
    </row>
    <row r="729" spans="1:15" x14ac:dyDescent="0.35">
      <c r="A729" t="s">
        <v>734</v>
      </c>
      <c r="B729">
        <v>56</v>
      </c>
      <c r="C729" t="s">
        <v>4803</v>
      </c>
      <c r="D729" t="s">
        <v>14</v>
      </c>
      <c r="E729">
        <v>46</v>
      </c>
      <c r="F729">
        <v>53</v>
      </c>
      <c r="G729" t="s">
        <v>4798</v>
      </c>
      <c r="H729" t="s">
        <v>4806</v>
      </c>
      <c r="I729">
        <v>8.99</v>
      </c>
      <c r="J729">
        <v>2</v>
      </c>
      <c r="K729">
        <v>1.53</v>
      </c>
      <c r="L729">
        <v>0</v>
      </c>
      <c r="M729" t="s">
        <v>4811</v>
      </c>
      <c r="N729" t="s">
        <v>4900</v>
      </c>
      <c r="O729" t="s">
        <v>4911</v>
      </c>
    </row>
    <row r="730" spans="1:15" x14ac:dyDescent="0.35">
      <c r="A730" t="s">
        <v>735</v>
      </c>
      <c r="B730">
        <v>18</v>
      </c>
      <c r="C730" t="s">
        <v>4802</v>
      </c>
      <c r="D730" t="s">
        <v>13</v>
      </c>
      <c r="E730">
        <v>30</v>
      </c>
      <c r="F730">
        <v>37</v>
      </c>
      <c r="G730" t="s">
        <v>4799</v>
      </c>
      <c r="H730" t="s">
        <v>4804</v>
      </c>
      <c r="I730">
        <v>13.99</v>
      </c>
      <c r="J730">
        <v>3</v>
      </c>
      <c r="K730">
        <v>1</v>
      </c>
      <c r="L730">
        <v>0</v>
      </c>
      <c r="M730" t="s">
        <v>4809</v>
      </c>
      <c r="N730" t="s">
        <v>4900</v>
      </c>
      <c r="O730" t="s">
        <v>4912</v>
      </c>
    </row>
    <row r="731" spans="1:15" x14ac:dyDescent="0.35">
      <c r="A731" t="s">
        <v>736</v>
      </c>
      <c r="B731">
        <v>59</v>
      </c>
      <c r="C731" t="s">
        <v>4802</v>
      </c>
      <c r="D731" t="s">
        <v>13</v>
      </c>
      <c r="E731">
        <v>40</v>
      </c>
      <c r="F731">
        <v>1</v>
      </c>
      <c r="G731" t="s">
        <v>4799</v>
      </c>
      <c r="H731" t="s">
        <v>4805</v>
      </c>
      <c r="I731">
        <v>13.99</v>
      </c>
      <c r="J731">
        <v>2</v>
      </c>
      <c r="K731">
        <v>1.33</v>
      </c>
      <c r="L731">
        <v>0</v>
      </c>
      <c r="M731" t="s">
        <v>4811</v>
      </c>
      <c r="N731" t="s">
        <v>4900</v>
      </c>
      <c r="O731" t="s">
        <v>4911</v>
      </c>
    </row>
    <row r="732" spans="1:15" x14ac:dyDescent="0.35">
      <c r="A732" t="s">
        <v>737</v>
      </c>
      <c r="B732">
        <v>25</v>
      </c>
      <c r="C732" t="s">
        <v>4803</v>
      </c>
      <c r="D732" t="s">
        <v>13</v>
      </c>
      <c r="E732">
        <v>73</v>
      </c>
      <c r="F732">
        <v>53</v>
      </c>
      <c r="G732" t="s">
        <v>4797</v>
      </c>
      <c r="H732" t="s">
        <v>4804</v>
      </c>
      <c r="I732">
        <v>13.99</v>
      </c>
      <c r="J732">
        <v>2</v>
      </c>
      <c r="K732">
        <v>2.4300000000000002</v>
      </c>
      <c r="L732">
        <v>0</v>
      </c>
      <c r="M732" t="s">
        <v>4810</v>
      </c>
      <c r="N732" t="s">
        <v>4900</v>
      </c>
      <c r="O732" t="s">
        <v>4912</v>
      </c>
    </row>
    <row r="733" spans="1:15" x14ac:dyDescent="0.35">
      <c r="A733" t="s">
        <v>738</v>
      </c>
      <c r="B733">
        <v>23</v>
      </c>
      <c r="C733" t="s">
        <v>4803</v>
      </c>
      <c r="D733" t="s">
        <v>13</v>
      </c>
      <c r="E733">
        <v>55</v>
      </c>
      <c r="F733">
        <v>49</v>
      </c>
      <c r="G733" t="s">
        <v>4797</v>
      </c>
      <c r="H733" t="s">
        <v>4805</v>
      </c>
      <c r="I733">
        <v>13.99</v>
      </c>
      <c r="J733">
        <v>4</v>
      </c>
      <c r="K733">
        <v>1.83</v>
      </c>
      <c r="L733">
        <v>0</v>
      </c>
      <c r="M733" t="s">
        <v>4812</v>
      </c>
      <c r="N733" t="s">
        <v>4900</v>
      </c>
      <c r="O733" t="s">
        <v>4912</v>
      </c>
    </row>
    <row r="734" spans="1:15" x14ac:dyDescent="0.35">
      <c r="A734" t="s">
        <v>739</v>
      </c>
      <c r="B734">
        <v>57</v>
      </c>
      <c r="C734" t="s">
        <v>4802</v>
      </c>
      <c r="D734" t="s">
        <v>15</v>
      </c>
      <c r="E734">
        <v>88</v>
      </c>
      <c r="F734">
        <v>7</v>
      </c>
      <c r="G734" t="s">
        <v>4798</v>
      </c>
      <c r="H734" t="s">
        <v>4804</v>
      </c>
      <c r="I734">
        <v>17.989999999999998</v>
      </c>
      <c r="J734">
        <v>5</v>
      </c>
      <c r="K734">
        <v>2.93</v>
      </c>
      <c r="L734">
        <v>0</v>
      </c>
      <c r="M734" t="s">
        <v>4809</v>
      </c>
      <c r="N734" t="s">
        <v>4900</v>
      </c>
      <c r="O734" t="s">
        <v>4911</v>
      </c>
    </row>
    <row r="735" spans="1:15" x14ac:dyDescent="0.35">
      <c r="A735" t="s">
        <v>740</v>
      </c>
      <c r="B735">
        <v>34</v>
      </c>
      <c r="C735" t="s">
        <v>4803</v>
      </c>
      <c r="D735" t="s">
        <v>13</v>
      </c>
      <c r="E735">
        <v>62</v>
      </c>
      <c r="F735">
        <v>1</v>
      </c>
      <c r="G735" t="s">
        <v>4799</v>
      </c>
      <c r="H735" t="s">
        <v>4805</v>
      </c>
      <c r="I735">
        <v>13.99</v>
      </c>
      <c r="J735">
        <v>1</v>
      </c>
      <c r="K735">
        <v>2.0699999999999998</v>
      </c>
      <c r="L735">
        <v>0</v>
      </c>
      <c r="M735" t="s">
        <v>4810</v>
      </c>
      <c r="N735" t="s">
        <v>4900</v>
      </c>
      <c r="O735" t="s">
        <v>4912</v>
      </c>
    </row>
    <row r="736" spans="1:15" x14ac:dyDescent="0.35">
      <c r="A736" t="s">
        <v>741</v>
      </c>
      <c r="B736">
        <v>50</v>
      </c>
      <c r="C736" t="s">
        <v>4803</v>
      </c>
      <c r="D736" t="s">
        <v>13</v>
      </c>
      <c r="E736">
        <v>39</v>
      </c>
      <c r="F736">
        <v>13</v>
      </c>
      <c r="G736" t="s">
        <v>4801</v>
      </c>
      <c r="H736" t="s">
        <v>4805</v>
      </c>
      <c r="I736">
        <v>13.99</v>
      </c>
      <c r="J736">
        <v>1</v>
      </c>
      <c r="K736">
        <v>1.3</v>
      </c>
      <c r="L736">
        <v>0</v>
      </c>
      <c r="M736" t="s">
        <v>4812</v>
      </c>
      <c r="N736" t="s">
        <v>4900</v>
      </c>
      <c r="O736" t="s">
        <v>4910</v>
      </c>
    </row>
    <row r="737" spans="1:15" x14ac:dyDescent="0.35">
      <c r="A737" t="s">
        <v>742</v>
      </c>
      <c r="B737">
        <v>51</v>
      </c>
      <c r="C737" t="s">
        <v>4802</v>
      </c>
      <c r="D737" t="s">
        <v>13</v>
      </c>
      <c r="E737">
        <v>54</v>
      </c>
      <c r="F737">
        <v>10</v>
      </c>
      <c r="G737" t="s">
        <v>4799</v>
      </c>
      <c r="H737" t="s">
        <v>4807</v>
      </c>
      <c r="I737">
        <v>13.99</v>
      </c>
      <c r="J737">
        <v>4</v>
      </c>
      <c r="K737">
        <v>1.8</v>
      </c>
      <c r="L737">
        <v>0</v>
      </c>
      <c r="M737" t="s">
        <v>4810</v>
      </c>
      <c r="N737" t="s">
        <v>4900</v>
      </c>
      <c r="O737" t="s">
        <v>4910</v>
      </c>
    </row>
    <row r="738" spans="1:15" x14ac:dyDescent="0.35">
      <c r="A738" t="s">
        <v>743</v>
      </c>
      <c r="B738">
        <v>20</v>
      </c>
      <c r="C738" t="s">
        <v>4803</v>
      </c>
      <c r="D738" t="s">
        <v>15</v>
      </c>
      <c r="E738">
        <v>103</v>
      </c>
      <c r="F738">
        <v>48</v>
      </c>
      <c r="G738" t="s">
        <v>4798</v>
      </c>
      <c r="H738" t="s">
        <v>4805</v>
      </c>
      <c r="I738">
        <v>17.989999999999998</v>
      </c>
      <c r="J738">
        <v>5</v>
      </c>
      <c r="K738">
        <v>3.43</v>
      </c>
      <c r="L738">
        <v>0</v>
      </c>
      <c r="M738" t="s">
        <v>4808</v>
      </c>
      <c r="N738" t="s">
        <v>4900</v>
      </c>
      <c r="O738" t="s">
        <v>4912</v>
      </c>
    </row>
    <row r="739" spans="1:15" x14ac:dyDescent="0.35">
      <c r="A739" t="s">
        <v>744</v>
      </c>
      <c r="B739">
        <v>39</v>
      </c>
      <c r="C739" t="s">
        <v>4803</v>
      </c>
      <c r="D739" t="s">
        <v>13</v>
      </c>
      <c r="E739">
        <v>63</v>
      </c>
      <c r="F739">
        <v>34</v>
      </c>
      <c r="G739" t="s">
        <v>4800</v>
      </c>
      <c r="H739" t="s">
        <v>4804</v>
      </c>
      <c r="I739">
        <v>13.99</v>
      </c>
      <c r="J739">
        <v>2</v>
      </c>
      <c r="K739">
        <v>2.1</v>
      </c>
      <c r="L739">
        <v>1</v>
      </c>
      <c r="M739" t="s">
        <v>4811</v>
      </c>
      <c r="N739" t="s">
        <v>4899</v>
      </c>
      <c r="O739" t="s">
        <v>4910</v>
      </c>
    </row>
    <row r="740" spans="1:15" x14ac:dyDescent="0.35">
      <c r="A740" t="s">
        <v>745</v>
      </c>
      <c r="B740">
        <v>20</v>
      </c>
      <c r="C740" t="s">
        <v>4802</v>
      </c>
      <c r="D740" t="s">
        <v>13</v>
      </c>
      <c r="E740">
        <v>46</v>
      </c>
      <c r="F740">
        <v>9</v>
      </c>
      <c r="G740" t="s">
        <v>4800</v>
      </c>
      <c r="H740" t="s">
        <v>4804</v>
      </c>
      <c r="I740">
        <v>13.99</v>
      </c>
      <c r="J740">
        <v>1</v>
      </c>
      <c r="K740">
        <v>1.53</v>
      </c>
      <c r="L740">
        <v>0</v>
      </c>
      <c r="M740" t="s">
        <v>4810</v>
      </c>
      <c r="N740" t="s">
        <v>4900</v>
      </c>
      <c r="O740" t="s">
        <v>4912</v>
      </c>
    </row>
    <row r="741" spans="1:15" x14ac:dyDescent="0.35">
      <c r="A741" t="s">
        <v>746</v>
      </c>
      <c r="B741">
        <v>42</v>
      </c>
      <c r="C741" t="s">
        <v>4802</v>
      </c>
      <c r="D741" t="s">
        <v>13</v>
      </c>
      <c r="E741">
        <v>71</v>
      </c>
      <c r="F741">
        <v>32</v>
      </c>
      <c r="G741" t="s">
        <v>4798</v>
      </c>
      <c r="H741" t="s">
        <v>4804</v>
      </c>
      <c r="I741">
        <v>13.99</v>
      </c>
      <c r="J741">
        <v>3</v>
      </c>
      <c r="K741">
        <v>2.37</v>
      </c>
      <c r="L741">
        <v>0</v>
      </c>
      <c r="M741" t="s">
        <v>4811</v>
      </c>
      <c r="N741" t="s">
        <v>4900</v>
      </c>
      <c r="O741" t="s">
        <v>4910</v>
      </c>
    </row>
    <row r="742" spans="1:15" x14ac:dyDescent="0.35">
      <c r="A742" t="s">
        <v>747</v>
      </c>
      <c r="B742">
        <v>42</v>
      </c>
      <c r="C742" t="s">
        <v>4803</v>
      </c>
      <c r="D742" t="s">
        <v>15</v>
      </c>
      <c r="E742">
        <v>108</v>
      </c>
      <c r="F742">
        <v>2</v>
      </c>
      <c r="G742" t="s">
        <v>4798</v>
      </c>
      <c r="H742" t="s">
        <v>4804</v>
      </c>
      <c r="I742">
        <v>17.989999999999998</v>
      </c>
      <c r="J742">
        <v>5</v>
      </c>
      <c r="K742">
        <v>3.6</v>
      </c>
      <c r="L742">
        <v>0</v>
      </c>
      <c r="M742" t="s">
        <v>4812</v>
      </c>
      <c r="N742" t="s">
        <v>4900</v>
      </c>
      <c r="O742" t="s">
        <v>4910</v>
      </c>
    </row>
    <row r="743" spans="1:15" x14ac:dyDescent="0.35">
      <c r="A743" t="s">
        <v>748</v>
      </c>
      <c r="B743">
        <v>63</v>
      </c>
      <c r="C743" t="s">
        <v>4803</v>
      </c>
      <c r="D743" t="s">
        <v>13</v>
      </c>
      <c r="E743">
        <v>35</v>
      </c>
      <c r="F743">
        <v>33</v>
      </c>
      <c r="G743" t="s">
        <v>4799</v>
      </c>
      <c r="H743" t="s">
        <v>4804</v>
      </c>
      <c r="I743">
        <v>13.99</v>
      </c>
      <c r="J743">
        <v>3</v>
      </c>
      <c r="K743">
        <v>1.17</v>
      </c>
      <c r="L743">
        <v>0</v>
      </c>
      <c r="M743" t="s">
        <v>4812</v>
      </c>
      <c r="N743" t="s">
        <v>4900</v>
      </c>
      <c r="O743" t="s">
        <v>4911</v>
      </c>
    </row>
    <row r="744" spans="1:15" x14ac:dyDescent="0.35">
      <c r="A744" t="s">
        <v>749</v>
      </c>
      <c r="B744">
        <v>61</v>
      </c>
      <c r="C744" t="s">
        <v>4803</v>
      </c>
      <c r="D744" t="s">
        <v>13</v>
      </c>
      <c r="E744">
        <v>41</v>
      </c>
      <c r="F744">
        <v>40</v>
      </c>
      <c r="G744" t="s">
        <v>4799</v>
      </c>
      <c r="H744" t="s">
        <v>4806</v>
      </c>
      <c r="I744">
        <v>13.99</v>
      </c>
      <c r="J744">
        <v>3</v>
      </c>
      <c r="K744">
        <v>1.37</v>
      </c>
      <c r="L744">
        <v>0</v>
      </c>
      <c r="M744" t="s">
        <v>4808</v>
      </c>
      <c r="N744" t="s">
        <v>4900</v>
      </c>
      <c r="O744" t="s">
        <v>4911</v>
      </c>
    </row>
    <row r="745" spans="1:15" x14ac:dyDescent="0.35">
      <c r="A745" t="s">
        <v>750</v>
      </c>
      <c r="B745">
        <v>24</v>
      </c>
      <c r="C745" t="s">
        <v>4803</v>
      </c>
      <c r="D745" t="s">
        <v>13</v>
      </c>
      <c r="E745">
        <v>61</v>
      </c>
      <c r="F745">
        <v>57</v>
      </c>
      <c r="G745" t="s">
        <v>4799</v>
      </c>
      <c r="H745" t="s">
        <v>4806</v>
      </c>
      <c r="I745">
        <v>13.99</v>
      </c>
      <c r="J745">
        <v>3</v>
      </c>
      <c r="K745">
        <v>2.0299999999999998</v>
      </c>
      <c r="L745">
        <v>1</v>
      </c>
      <c r="M745" t="s">
        <v>4809</v>
      </c>
      <c r="N745" t="s">
        <v>4899</v>
      </c>
      <c r="O745" t="s">
        <v>4912</v>
      </c>
    </row>
    <row r="746" spans="1:15" x14ac:dyDescent="0.35">
      <c r="A746" t="s">
        <v>751</v>
      </c>
      <c r="B746">
        <v>55</v>
      </c>
      <c r="C746" t="s">
        <v>4803</v>
      </c>
      <c r="D746" t="s">
        <v>15</v>
      </c>
      <c r="E746">
        <v>60</v>
      </c>
      <c r="F746">
        <v>60</v>
      </c>
      <c r="G746" t="s">
        <v>4797</v>
      </c>
      <c r="H746" t="s">
        <v>4804</v>
      </c>
      <c r="I746">
        <v>17.989999999999998</v>
      </c>
      <c r="J746">
        <v>4</v>
      </c>
      <c r="K746">
        <v>2</v>
      </c>
      <c r="L746">
        <v>0</v>
      </c>
      <c r="M746" t="s">
        <v>4809</v>
      </c>
      <c r="N746" t="s">
        <v>4900</v>
      </c>
      <c r="O746" t="s">
        <v>4911</v>
      </c>
    </row>
    <row r="747" spans="1:15" x14ac:dyDescent="0.35">
      <c r="A747" t="s">
        <v>752</v>
      </c>
      <c r="B747">
        <v>43</v>
      </c>
      <c r="C747" t="s">
        <v>4802</v>
      </c>
      <c r="D747" t="s">
        <v>13</v>
      </c>
      <c r="E747">
        <v>49</v>
      </c>
      <c r="F747">
        <v>60</v>
      </c>
      <c r="G747" t="s">
        <v>4797</v>
      </c>
      <c r="H747" t="s">
        <v>4805</v>
      </c>
      <c r="I747">
        <v>13.99</v>
      </c>
      <c r="J747">
        <v>1</v>
      </c>
      <c r="K747">
        <v>1.63</v>
      </c>
      <c r="L747">
        <v>0</v>
      </c>
      <c r="M747" t="s">
        <v>4812</v>
      </c>
      <c r="N747" t="s">
        <v>4900</v>
      </c>
      <c r="O747" t="s">
        <v>4910</v>
      </c>
    </row>
    <row r="748" spans="1:15" x14ac:dyDescent="0.35">
      <c r="A748" t="s">
        <v>753</v>
      </c>
      <c r="B748">
        <v>33</v>
      </c>
      <c r="C748" t="s">
        <v>4803</v>
      </c>
      <c r="D748" t="s">
        <v>13</v>
      </c>
      <c r="E748">
        <v>33</v>
      </c>
      <c r="F748">
        <v>27</v>
      </c>
      <c r="G748" t="s">
        <v>4797</v>
      </c>
      <c r="H748" t="s">
        <v>4805</v>
      </c>
      <c r="I748">
        <v>13.99</v>
      </c>
      <c r="J748">
        <v>1</v>
      </c>
      <c r="K748">
        <v>1.1000000000000001</v>
      </c>
      <c r="L748">
        <v>0</v>
      </c>
      <c r="M748" t="s">
        <v>4811</v>
      </c>
      <c r="N748" t="s">
        <v>4900</v>
      </c>
      <c r="O748" t="s">
        <v>4912</v>
      </c>
    </row>
    <row r="749" spans="1:15" x14ac:dyDescent="0.35">
      <c r="A749" t="s">
        <v>754</v>
      </c>
      <c r="B749">
        <v>25</v>
      </c>
      <c r="C749" t="s">
        <v>4802</v>
      </c>
      <c r="D749" t="s">
        <v>13</v>
      </c>
      <c r="E749">
        <v>30</v>
      </c>
      <c r="F749">
        <v>3</v>
      </c>
      <c r="G749" t="s">
        <v>4797</v>
      </c>
      <c r="H749" t="s">
        <v>4805</v>
      </c>
      <c r="I749">
        <v>13.99</v>
      </c>
      <c r="J749">
        <v>3</v>
      </c>
      <c r="K749">
        <v>1</v>
      </c>
      <c r="L749">
        <v>0</v>
      </c>
      <c r="M749" t="s">
        <v>4811</v>
      </c>
      <c r="N749" t="s">
        <v>4900</v>
      </c>
      <c r="O749" t="s">
        <v>4912</v>
      </c>
    </row>
    <row r="750" spans="1:15" x14ac:dyDescent="0.35">
      <c r="A750" t="s">
        <v>755</v>
      </c>
      <c r="B750">
        <v>39</v>
      </c>
      <c r="C750" t="s">
        <v>4803</v>
      </c>
      <c r="D750" t="s">
        <v>15</v>
      </c>
      <c r="E750">
        <v>98</v>
      </c>
      <c r="F750">
        <v>35</v>
      </c>
      <c r="G750" t="s">
        <v>4797</v>
      </c>
      <c r="H750" t="s">
        <v>4804</v>
      </c>
      <c r="I750">
        <v>17.989999999999998</v>
      </c>
      <c r="J750">
        <v>3</v>
      </c>
      <c r="K750">
        <v>3.27</v>
      </c>
      <c r="L750">
        <v>1</v>
      </c>
      <c r="M750" t="s">
        <v>4810</v>
      </c>
      <c r="N750" t="s">
        <v>4899</v>
      </c>
      <c r="O750" t="s">
        <v>4910</v>
      </c>
    </row>
    <row r="751" spans="1:15" x14ac:dyDescent="0.35">
      <c r="A751" t="s">
        <v>756</v>
      </c>
      <c r="B751">
        <v>39</v>
      </c>
      <c r="C751" t="s">
        <v>4802</v>
      </c>
      <c r="D751" t="s">
        <v>13</v>
      </c>
      <c r="E751">
        <v>46</v>
      </c>
      <c r="F751">
        <v>16</v>
      </c>
      <c r="G751" t="s">
        <v>4797</v>
      </c>
      <c r="H751" t="s">
        <v>4805</v>
      </c>
      <c r="I751">
        <v>13.99</v>
      </c>
      <c r="J751">
        <v>1</v>
      </c>
      <c r="K751">
        <v>1.53</v>
      </c>
      <c r="L751">
        <v>0</v>
      </c>
      <c r="M751" t="s">
        <v>4812</v>
      </c>
      <c r="N751" t="s">
        <v>4900</v>
      </c>
      <c r="O751" t="s">
        <v>4910</v>
      </c>
    </row>
    <row r="752" spans="1:15" x14ac:dyDescent="0.35">
      <c r="A752" t="s">
        <v>757</v>
      </c>
      <c r="B752">
        <v>56</v>
      </c>
      <c r="C752" t="s">
        <v>4803</v>
      </c>
      <c r="D752" t="s">
        <v>15</v>
      </c>
      <c r="E752">
        <v>54</v>
      </c>
      <c r="F752">
        <v>23</v>
      </c>
      <c r="G752" t="s">
        <v>4799</v>
      </c>
      <c r="H752" t="s">
        <v>4807</v>
      </c>
      <c r="I752">
        <v>17.989999999999998</v>
      </c>
      <c r="J752">
        <v>5</v>
      </c>
      <c r="K752">
        <v>1.8</v>
      </c>
      <c r="L752">
        <v>1</v>
      </c>
      <c r="M752" t="s">
        <v>4810</v>
      </c>
      <c r="N752" t="s">
        <v>4899</v>
      </c>
      <c r="O752" t="s">
        <v>4911</v>
      </c>
    </row>
    <row r="753" spans="1:15" x14ac:dyDescent="0.35">
      <c r="A753" t="s">
        <v>758</v>
      </c>
      <c r="B753">
        <v>20</v>
      </c>
      <c r="C753" t="s">
        <v>4803</v>
      </c>
      <c r="D753" t="s">
        <v>13</v>
      </c>
      <c r="E753">
        <v>62</v>
      </c>
      <c r="F753">
        <v>41</v>
      </c>
      <c r="G753" t="s">
        <v>4797</v>
      </c>
      <c r="H753" t="s">
        <v>4805</v>
      </c>
      <c r="I753">
        <v>13.99</v>
      </c>
      <c r="J753">
        <v>1</v>
      </c>
      <c r="K753">
        <v>2.0699999999999998</v>
      </c>
      <c r="L753">
        <v>0</v>
      </c>
      <c r="M753" t="s">
        <v>4812</v>
      </c>
      <c r="N753" t="s">
        <v>4900</v>
      </c>
      <c r="O753" t="s">
        <v>4912</v>
      </c>
    </row>
    <row r="754" spans="1:15" x14ac:dyDescent="0.35">
      <c r="A754" t="s">
        <v>759</v>
      </c>
      <c r="B754">
        <v>27</v>
      </c>
      <c r="C754" t="s">
        <v>4802</v>
      </c>
      <c r="D754" t="s">
        <v>13</v>
      </c>
      <c r="E754">
        <v>50</v>
      </c>
      <c r="F754">
        <v>5</v>
      </c>
      <c r="G754" t="s">
        <v>4798</v>
      </c>
      <c r="H754" t="s">
        <v>4804</v>
      </c>
      <c r="I754">
        <v>13.99</v>
      </c>
      <c r="J754">
        <v>3</v>
      </c>
      <c r="K754">
        <v>5</v>
      </c>
      <c r="L754">
        <v>0</v>
      </c>
      <c r="M754" t="s">
        <v>4809</v>
      </c>
      <c r="N754" t="s">
        <v>4900</v>
      </c>
      <c r="O754" t="s">
        <v>4912</v>
      </c>
    </row>
    <row r="755" spans="1:15" x14ac:dyDescent="0.35">
      <c r="A755" t="s">
        <v>760</v>
      </c>
      <c r="B755">
        <v>49</v>
      </c>
      <c r="C755" t="s">
        <v>4803</v>
      </c>
      <c r="D755" t="s">
        <v>13</v>
      </c>
      <c r="E755">
        <v>44</v>
      </c>
      <c r="F755">
        <v>39</v>
      </c>
      <c r="G755" t="s">
        <v>4798</v>
      </c>
      <c r="H755" t="s">
        <v>4806</v>
      </c>
      <c r="I755">
        <v>13.99</v>
      </c>
      <c r="J755">
        <v>4</v>
      </c>
      <c r="K755">
        <v>1.47</v>
      </c>
      <c r="L755">
        <v>1</v>
      </c>
      <c r="M755" t="s">
        <v>4811</v>
      </c>
      <c r="N755" t="s">
        <v>4899</v>
      </c>
      <c r="O755" t="s">
        <v>4910</v>
      </c>
    </row>
    <row r="756" spans="1:15" x14ac:dyDescent="0.35">
      <c r="A756" t="s">
        <v>761</v>
      </c>
      <c r="B756">
        <v>26</v>
      </c>
      <c r="C756" t="s">
        <v>4802</v>
      </c>
      <c r="D756" t="s">
        <v>13</v>
      </c>
      <c r="E756">
        <v>74</v>
      </c>
      <c r="F756">
        <v>5</v>
      </c>
      <c r="G756" t="s">
        <v>4798</v>
      </c>
      <c r="H756" t="s">
        <v>4804</v>
      </c>
      <c r="I756">
        <v>13.99</v>
      </c>
      <c r="J756">
        <v>3</v>
      </c>
      <c r="K756">
        <v>2.4700000000000002</v>
      </c>
      <c r="L756">
        <v>0</v>
      </c>
      <c r="M756" t="s">
        <v>4809</v>
      </c>
      <c r="N756" t="s">
        <v>4900</v>
      </c>
      <c r="O756" t="s">
        <v>4912</v>
      </c>
    </row>
    <row r="757" spans="1:15" x14ac:dyDescent="0.35">
      <c r="A757" t="s">
        <v>762</v>
      </c>
      <c r="B757">
        <v>56</v>
      </c>
      <c r="C757" t="s">
        <v>4802</v>
      </c>
      <c r="D757" t="s">
        <v>15</v>
      </c>
      <c r="E757">
        <v>76</v>
      </c>
      <c r="F757">
        <v>50</v>
      </c>
      <c r="G757" t="s">
        <v>4800</v>
      </c>
      <c r="H757" t="s">
        <v>4806</v>
      </c>
      <c r="I757">
        <v>17.989999999999998</v>
      </c>
      <c r="J757">
        <v>3</v>
      </c>
      <c r="K757">
        <v>5</v>
      </c>
      <c r="L757">
        <v>0</v>
      </c>
      <c r="M757" t="s">
        <v>4810</v>
      </c>
      <c r="N757" t="s">
        <v>4900</v>
      </c>
      <c r="O757" t="s">
        <v>4911</v>
      </c>
    </row>
    <row r="758" spans="1:15" x14ac:dyDescent="0.35">
      <c r="A758" t="s">
        <v>763</v>
      </c>
      <c r="B758">
        <v>19</v>
      </c>
      <c r="C758" t="s">
        <v>4803</v>
      </c>
      <c r="D758" t="s">
        <v>13</v>
      </c>
      <c r="E758">
        <v>33</v>
      </c>
      <c r="F758">
        <v>58</v>
      </c>
      <c r="G758" t="s">
        <v>4798</v>
      </c>
      <c r="H758" t="s">
        <v>4804</v>
      </c>
      <c r="I758">
        <v>13.99</v>
      </c>
      <c r="J758">
        <v>4</v>
      </c>
      <c r="K758">
        <v>1.1000000000000001</v>
      </c>
      <c r="L758">
        <v>0</v>
      </c>
      <c r="M758" t="s">
        <v>4810</v>
      </c>
      <c r="N758" t="s">
        <v>4900</v>
      </c>
      <c r="O758" t="s">
        <v>4912</v>
      </c>
    </row>
    <row r="759" spans="1:15" x14ac:dyDescent="0.35">
      <c r="A759" t="s">
        <v>764</v>
      </c>
      <c r="B759">
        <v>44</v>
      </c>
      <c r="C759" t="s">
        <v>4802</v>
      </c>
      <c r="D759" t="s">
        <v>13</v>
      </c>
      <c r="E759">
        <v>53</v>
      </c>
      <c r="F759">
        <v>51</v>
      </c>
      <c r="G759" t="s">
        <v>4799</v>
      </c>
      <c r="H759" t="s">
        <v>4805</v>
      </c>
      <c r="I759">
        <v>13.99</v>
      </c>
      <c r="J759">
        <v>3</v>
      </c>
      <c r="K759">
        <v>1.77</v>
      </c>
      <c r="L759">
        <v>0</v>
      </c>
      <c r="M759" t="s">
        <v>4809</v>
      </c>
      <c r="N759" t="s">
        <v>4900</v>
      </c>
      <c r="O759" t="s">
        <v>4910</v>
      </c>
    </row>
    <row r="760" spans="1:15" x14ac:dyDescent="0.35">
      <c r="A760" t="s">
        <v>765</v>
      </c>
      <c r="B760">
        <v>61</v>
      </c>
      <c r="C760" t="s">
        <v>4802</v>
      </c>
      <c r="D760" t="s">
        <v>15</v>
      </c>
      <c r="E760">
        <v>108</v>
      </c>
      <c r="F760">
        <v>41</v>
      </c>
      <c r="G760" t="s">
        <v>4799</v>
      </c>
      <c r="H760" t="s">
        <v>4805</v>
      </c>
      <c r="I760">
        <v>17.989999999999998</v>
      </c>
      <c r="J760">
        <v>4</v>
      </c>
      <c r="K760">
        <v>3.6</v>
      </c>
      <c r="L760">
        <v>0</v>
      </c>
      <c r="M760" t="s">
        <v>4812</v>
      </c>
      <c r="N760" t="s">
        <v>4900</v>
      </c>
      <c r="O760" t="s">
        <v>4911</v>
      </c>
    </row>
    <row r="761" spans="1:15" x14ac:dyDescent="0.35">
      <c r="A761" t="s">
        <v>766</v>
      </c>
      <c r="B761">
        <v>60</v>
      </c>
      <c r="C761" t="s">
        <v>4802</v>
      </c>
      <c r="D761" t="s">
        <v>15</v>
      </c>
      <c r="E761">
        <v>66</v>
      </c>
      <c r="F761">
        <v>28</v>
      </c>
      <c r="G761" t="s">
        <v>4798</v>
      </c>
      <c r="H761" t="s">
        <v>4804</v>
      </c>
      <c r="I761">
        <v>17.989999999999998</v>
      </c>
      <c r="J761">
        <v>2</v>
      </c>
      <c r="K761">
        <v>2.2000000000000002</v>
      </c>
      <c r="L761">
        <v>1</v>
      </c>
      <c r="M761" t="s">
        <v>4811</v>
      </c>
      <c r="N761" t="s">
        <v>4899</v>
      </c>
      <c r="O761" t="s">
        <v>4911</v>
      </c>
    </row>
    <row r="762" spans="1:15" x14ac:dyDescent="0.35">
      <c r="A762" t="s">
        <v>767</v>
      </c>
      <c r="B762">
        <v>30</v>
      </c>
      <c r="C762" t="s">
        <v>4803</v>
      </c>
      <c r="D762" t="s">
        <v>15</v>
      </c>
      <c r="E762">
        <v>96</v>
      </c>
      <c r="F762">
        <v>52</v>
      </c>
      <c r="G762" t="s">
        <v>4797</v>
      </c>
      <c r="H762" t="s">
        <v>4806</v>
      </c>
      <c r="I762">
        <v>17.989999999999998</v>
      </c>
      <c r="J762">
        <v>5</v>
      </c>
      <c r="K762">
        <v>3.2</v>
      </c>
      <c r="L762">
        <v>0</v>
      </c>
      <c r="M762" t="s">
        <v>4808</v>
      </c>
      <c r="N762" t="s">
        <v>4900</v>
      </c>
      <c r="O762" t="s">
        <v>4912</v>
      </c>
    </row>
    <row r="763" spans="1:15" x14ac:dyDescent="0.35">
      <c r="A763" t="s">
        <v>768</v>
      </c>
      <c r="B763">
        <v>46</v>
      </c>
      <c r="C763" t="s">
        <v>4803</v>
      </c>
      <c r="D763" t="s">
        <v>13</v>
      </c>
      <c r="E763">
        <v>37</v>
      </c>
      <c r="F763">
        <v>24</v>
      </c>
      <c r="G763" t="s">
        <v>4799</v>
      </c>
      <c r="H763" t="s">
        <v>4805</v>
      </c>
      <c r="I763">
        <v>13.99</v>
      </c>
      <c r="J763">
        <v>2</v>
      </c>
      <c r="K763">
        <v>1.23</v>
      </c>
      <c r="L763">
        <v>1</v>
      </c>
      <c r="M763" t="s">
        <v>4810</v>
      </c>
      <c r="N763" t="s">
        <v>4899</v>
      </c>
      <c r="O763" t="s">
        <v>4910</v>
      </c>
    </row>
    <row r="764" spans="1:15" x14ac:dyDescent="0.35">
      <c r="A764" t="s">
        <v>769</v>
      </c>
      <c r="B764">
        <v>60</v>
      </c>
      <c r="C764" t="s">
        <v>4802</v>
      </c>
      <c r="D764" t="s">
        <v>13</v>
      </c>
      <c r="E764">
        <v>34</v>
      </c>
      <c r="F764">
        <v>49</v>
      </c>
      <c r="G764" t="s">
        <v>4798</v>
      </c>
      <c r="H764" t="s">
        <v>4805</v>
      </c>
      <c r="I764">
        <v>13.99</v>
      </c>
      <c r="J764">
        <v>1</v>
      </c>
      <c r="K764">
        <v>1.1299999999999999</v>
      </c>
      <c r="L764">
        <v>1</v>
      </c>
      <c r="M764" t="s">
        <v>4809</v>
      </c>
      <c r="N764" t="s">
        <v>4899</v>
      </c>
      <c r="O764" t="s">
        <v>4911</v>
      </c>
    </row>
    <row r="765" spans="1:15" x14ac:dyDescent="0.35">
      <c r="A765" t="s">
        <v>770</v>
      </c>
      <c r="B765">
        <v>60</v>
      </c>
      <c r="C765" t="s">
        <v>4802</v>
      </c>
      <c r="D765" t="s">
        <v>15</v>
      </c>
      <c r="E765">
        <v>108</v>
      </c>
      <c r="F765">
        <v>43</v>
      </c>
      <c r="G765" t="s">
        <v>4799</v>
      </c>
      <c r="H765" t="s">
        <v>4804</v>
      </c>
      <c r="I765">
        <v>17.989999999999998</v>
      </c>
      <c r="J765">
        <v>4</v>
      </c>
      <c r="K765">
        <v>3.6</v>
      </c>
      <c r="L765">
        <v>0</v>
      </c>
      <c r="M765" t="s">
        <v>4812</v>
      </c>
      <c r="N765" t="s">
        <v>4900</v>
      </c>
      <c r="O765" t="s">
        <v>4911</v>
      </c>
    </row>
    <row r="766" spans="1:15" x14ac:dyDescent="0.35">
      <c r="A766" t="s">
        <v>771</v>
      </c>
      <c r="B766">
        <v>18</v>
      </c>
      <c r="C766" t="s">
        <v>4802</v>
      </c>
      <c r="D766" t="s">
        <v>13</v>
      </c>
      <c r="E766">
        <v>59</v>
      </c>
      <c r="F766">
        <v>48</v>
      </c>
      <c r="G766" t="s">
        <v>4797</v>
      </c>
      <c r="H766" t="s">
        <v>4805</v>
      </c>
      <c r="I766">
        <v>13.99</v>
      </c>
      <c r="J766">
        <v>4</v>
      </c>
      <c r="K766">
        <v>1.97</v>
      </c>
      <c r="L766">
        <v>0</v>
      </c>
      <c r="M766" t="s">
        <v>4810</v>
      </c>
      <c r="N766" t="s">
        <v>4900</v>
      </c>
      <c r="O766" t="s">
        <v>4912</v>
      </c>
    </row>
    <row r="767" spans="1:15" x14ac:dyDescent="0.35">
      <c r="A767" t="s">
        <v>772</v>
      </c>
      <c r="B767">
        <v>37</v>
      </c>
      <c r="C767" t="s">
        <v>4802</v>
      </c>
      <c r="D767" t="s">
        <v>13</v>
      </c>
      <c r="E767">
        <v>30</v>
      </c>
      <c r="F767">
        <v>25</v>
      </c>
      <c r="G767" t="s">
        <v>4799</v>
      </c>
      <c r="H767" t="s">
        <v>4806</v>
      </c>
      <c r="I767">
        <v>13.99</v>
      </c>
      <c r="J767">
        <v>4</v>
      </c>
      <c r="K767">
        <v>1</v>
      </c>
      <c r="L767">
        <v>1</v>
      </c>
      <c r="M767" t="s">
        <v>4812</v>
      </c>
      <c r="N767" t="s">
        <v>4899</v>
      </c>
      <c r="O767" t="s">
        <v>4910</v>
      </c>
    </row>
    <row r="768" spans="1:15" x14ac:dyDescent="0.35">
      <c r="A768" t="s">
        <v>773</v>
      </c>
      <c r="B768">
        <v>34</v>
      </c>
      <c r="C768" t="s">
        <v>4803</v>
      </c>
      <c r="D768" t="s">
        <v>15</v>
      </c>
      <c r="E768">
        <v>76</v>
      </c>
      <c r="F768">
        <v>53</v>
      </c>
      <c r="G768" t="s">
        <v>4799</v>
      </c>
      <c r="H768" t="s">
        <v>4805</v>
      </c>
      <c r="I768">
        <v>17.989999999999998</v>
      </c>
      <c r="J768">
        <v>5</v>
      </c>
      <c r="K768">
        <v>2.5299999999999998</v>
      </c>
      <c r="L768">
        <v>0</v>
      </c>
      <c r="M768" t="s">
        <v>4812</v>
      </c>
      <c r="N768" t="s">
        <v>4900</v>
      </c>
      <c r="O768" t="s">
        <v>4912</v>
      </c>
    </row>
    <row r="769" spans="1:15" x14ac:dyDescent="0.35">
      <c r="A769" t="s">
        <v>774</v>
      </c>
      <c r="B769">
        <v>48</v>
      </c>
      <c r="C769" t="s">
        <v>4803</v>
      </c>
      <c r="D769" t="s">
        <v>13</v>
      </c>
      <c r="E769">
        <v>65</v>
      </c>
      <c r="F769">
        <v>53</v>
      </c>
      <c r="G769" t="s">
        <v>4800</v>
      </c>
      <c r="H769" t="s">
        <v>4805</v>
      </c>
      <c r="I769">
        <v>13.99</v>
      </c>
      <c r="J769">
        <v>4</v>
      </c>
      <c r="K769">
        <v>2.17</v>
      </c>
      <c r="L769">
        <v>0</v>
      </c>
      <c r="M769" t="s">
        <v>4808</v>
      </c>
      <c r="N769" t="s">
        <v>4900</v>
      </c>
      <c r="O769" t="s">
        <v>4910</v>
      </c>
    </row>
    <row r="770" spans="1:15" x14ac:dyDescent="0.35">
      <c r="A770" t="s">
        <v>775</v>
      </c>
      <c r="B770">
        <v>22</v>
      </c>
      <c r="C770" t="s">
        <v>4802</v>
      </c>
      <c r="D770" t="s">
        <v>15</v>
      </c>
      <c r="E770">
        <v>40</v>
      </c>
      <c r="F770">
        <v>31</v>
      </c>
      <c r="G770" t="s">
        <v>4799</v>
      </c>
      <c r="H770" t="s">
        <v>4806</v>
      </c>
      <c r="I770">
        <v>17.989999999999998</v>
      </c>
      <c r="J770">
        <v>1</v>
      </c>
      <c r="K770">
        <v>1.33</v>
      </c>
      <c r="L770">
        <v>1</v>
      </c>
      <c r="M770" t="s">
        <v>4809</v>
      </c>
      <c r="N770" t="s">
        <v>4899</v>
      </c>
      <c r="O770" t="s">
        <v>4912</v>
      </c>
    </row>
    <row r="771" spans="1:15" x14ac:dyDescent="0.35">
      <c r="A771" t="s">
        <v>776</v>
      </c>
      <c r="B771">
        <v>35</v>
      </c>
      <c r="C771" t="s">
        <v>4803</v>
      </c>
      <c r="D771" t="s">
        <v>13</v>
      </c>
      <c r="E771">
        <v>67</v>
      </c>
      <c r="F771">
        <v>46</v>
      </c>
      <c r="G771" t="s">
        <v>4798</v>
      </c>
      <c r="H771" t="s">
        <v>4805</v>
      </c>
      <c r="I771">
        <v>13.99</v>
      </c>
      <c r="J771">
        <v>4</v>
      </c>
      <c r="K771">
        <v>2.23</v>
      </c>
      <c r="L771">
        <v>0</v>
      </c>
      <c r="M771" t="s">
        <v>4808</v>
      </c>
      <c r="N771" t="s">
        <v>4900</v>
      </c>
      <c r="O771" t="s">
        <v>4910</v>
      </c>
    </row>
    <row r="772" spans="1:15" x14ac:dyDescent="0.35">
      <c r="A772" t="s">
        <v>777</v>
      </c>
      <c r="B772">
        <v>23</v>
      </c>
      <c r="C772" t="s">
        <v>4802</v>
      </c>
      <c r="D772" t="s">
        <v>15</v>
      </c>
      <c r="E772">
        <v>71</v>
      </c>
      <c r="F772">
        <v>27</v>
      </c>
      <c r="G772" t="s">
        <v>4799</v>
      </c>
      <c r="H772" t="s">
        <v>4805</v>
      </c>
      <c r="I772">
        <v>17.989999999999998</v>
      </c>
      <c r="J772">
        <v>4</v>
      </c>
      <c r="K772">
        <v>2.37</v>
      </c>
      <c r="L772">
        <v>1</v>
      </c>
      <c r="M772" t="s">
        <v>4811</v>
      </c>
      <c r="N772" t="s">
        <v>4899</v>
      </c>
      <c r="O772" t="s">
        <v>4912</v>
      </c>
    </row>
    <row r="773" spans="1:15" x14ac:dyDescent="0.35">
      <c r="A773" t="s">
        <v>778</v>
      </c>
      <c r="B773">
        <v>27</v>
      </c>
      <c r="C773" t="s">
        <v>4803</v>
      </c>
      <c r="D773" t="s">
        <v>13</v>
      </c>
      <c r="E773">
        <v>72</v>
      </c>
      <c r="F773">
        <v>51</v>
      </c>
      <c r="G773" t="s">
        <v>4800</v>
      </c>
      <c r="H773" t="s">
        <v>4805</v>
      </c>
      <c r="I773">
        <v>13.99</v>
      </c>
      <c r="J773">
        <v>4</v>
      </c>
      <c r="K773">
        <v>2.4</v>
      </c>
      <c r="L773">
        <v>0</v>
      </c>
      <c r="M773" t="s">
        <v>4809</v>
      </c>
      <c r="N773" t="s">
        <v>4900</v>
      </c>
      <c r="O773" t="s">
        <v>4912</v>
      </c>
    </row>
    <row r="774" spans="1:15" x14ac:dyDescent="0.35">
      <c r="A774" t="s">
        <v>779</v>
      </c>
      <c r="B774">
        <v>39</v>
      </c>
      <c r="C774" t="s">
        <v>4802</v>
      </c>
      <c r="D774" t="s">
        <v>13</v>
      </c>
      <c r="E774">
        <v>74</v>
      </c>
      <c r="F774">
        <v>51</v>
      </c>
      <c r="G774" t="s">
        <v>4798</v>
      </c>
      <c r="H774" t="s">
        <v>4806</v>
      </c>
      <c r="I774">
        <v>13.99</v>
      </c>
      <c r="J774">
        <v>4</v>
      </c>
      <c r="K774">
        <v>2.4700000000000002</v>
      </c>
      <c r="L774">
        <v>0</v>
      </c>
      <c r="M774" t="s">
        <v>4810</v>
      </c>
      <c r="N774" t="s">
        <v>4900</v>
      </c>
      <c r="O774" t="s">
        <v>4910</v>
      </c>
    </row>
    <row r="775" spans="1:15" x14ac:dyDescent="0.35">
      <c r="A775" t="s">
        <v>780</v>
      </c>
      <c r="B775">
        <v>41</v>
      </c>
      <c r="C775" t="s">
        <v>4803</v>
      </c>
      <c r="D775" t="s">
        <v>15</v>
      </c>
      <c r="E775">
        <v>57</v>
      </c>
      <c r="F775">
        <v>46</v>
      </c>
      <c r="G775" t="s">
        <v>4797</v>
      </c>
      <c r="H775" t="s">
        <v>4806</v>
      </c>
      <c r="I775">
        <v>17.989999999999998</v>
      </c>
      <c r="J775">
        <v>5</v>
      </c>
      <c r="K775">
        <v>1.9</v>
      </c>
      <c r="L775">
        <v>1</v>
      </c>
      <c r="M775" t="s">
        <v>4810</v>
      </c>
      <c r="N775" t="s">
        <v>4899</v>
      </c>
      <c r="O775" t="s">
        <v>4910</v>
      </c>
    </row>
    <row r="776" spans="1:15" x14ac:dyDescent="0.35">
      <c r="A776" t="s">
        <v>781</v>
      </c>
      <c r="B776">
        <v>46</v>
      </c>
      <c r="C776" t="s">
        <v>4803</v>
      </c>
      <c r="D776" t="s">
        <v>13</v>
      </c>
      <c r="E776">
        <v>39</v>
      </c>
      <c r="F776">
        <v>21</v>
      </c>
      <c r="G776" t="s">
        <v>4798</v>
      </c>
      <c r="H776" t="s">
        <v>4804</v>
      </c>
      <c r="I776">
        <v>13.99</v>
      </c>
      <c r="J776">
        <v>1</v>
      </c>
      <c r="K776">
        <v>2.0299999999999998</v>
      </c>
      <c r="L776">
        <v>0</v>
      </c>
      <c r="M776" t="s">
        <v>4808</v>
      </c>
      <c r="N776" t="s">
        <v>4900</v>
      </c>
      <c r="O776" t="s">
        <v>4910</v>
      </c>
    </row>
    <row r="777" spans="1:15" x14ac:dyDescent="0.35">
      <c r="A777" t="s">
        <v>782</v>
      </c>
      <c r="B777">
        <v>62</v>
      </c>
      <c r="C777" t="s">
        <v>4802</v>
      </c>
      <c r="D777" t="s">
        <v>13</v>
      </c>
      <c r="E777">
        <v>57</v>
      </c>
      <c r="F777">
        <v>15</v>
      </c>
      <c r="G777" t="s">
        <v>4799</v>
      </c>
      <c r="H777" t="s">
        <v>4805</v>
      </c>
      <c r="I777">
        <v>13.99</v>
      </c>
      <c r="J777">
        <v>2</v>
      </c>
      <c r="K777">
        <v>1.9</v>
      </c>
      <c r="L777">
        <v>0</v>
      </c>
      <c r="M777" t="s">
        <v>4811</v>
      </c>
      <c r="N777" t="s">
        <v>4900</v>
      </c>
      <c r="O777" t="s">
        <v>4911</v>
      </c>
    </row>
    <row r="778" spans="1:15" x14ac:dyDescent="0.35">
      <c r="A778" t="s">
        <v>783</v>
      </c>
      <c r="B778">
        <v>23</v>
      </c>
      <c r="C778" t="s">
        <v>4803</v>
      </c>
      <c r="D778" t="s">
        <v>15</v>
      </c>
      <c r="E778">
        <v>61</v>
      </c>
      <c r="F778">
        <v>20</v>
      </c>
      <c r="G778" t="s">
        <v>4798</v>
      </c>
      <c r="H778" t="s">
        <v>4804</v>
      </c>
      <c r="I778">
        <v>17.989999999999998</v>
      </c>
      <c r="J778">
        <v>2</v>
      </c>
      <c r="K778">
        <v>5</v>
      </c>
      <c r="L778">
        <v>0</v>
      </c>
      <c r="M778" t="s">
        <v>4812</v>
      </c>
      <c r="N778" t="s">
        <v>4900</v>
      </c>
      <c r="O778" t="s">
        <v>4912</v>
      </c>
    </row>
    <row r="779" spans="1:15" x14ac:dyDescent="0.35">
      <c r="A779" t="s">
        <v>784</v>
      </c>
      <c r="B779">
        <v>27</v>
      </c>
      <c r="C779" t="s">
        <v>4802</v>
      </c>
      <c r="D779" t="s">
        <v>15</v>
      </c>
      <c r="E779">
        <v>112</v>
      </c>
      <c r="F779">
        <v>0</v>
      </c>
      <c r="G779" t="s">
        <v>4800</v>
      </c>
      <c r="H779" t="s">
        <v>4805</v>
      </c>
      <c r="I779">
        <v>17.989999999999998</v>
      </c>
      <c r="J779">
        <v>2</v>
      </c>
      <c r="K779">
        <v>3.73</v>
      </c>
      <c r="L779">
        <v>0</v>
      </c>
      <c r="M779" t="s">
        <v>4809</v>
      </c>
      <c r="N779" t="s">
        <v>4900</v>
      </c>
      <c r="O779" t="s">
        <v>4912</v>
      </c>
    </row>
    <row r="780" spans="1:15" x14ac:dyDescent="0.35">
      <c r="A780" t="s">
        <v>785</v>
      </c>
      <c r="B780">
        <v>53</v>
      </c>
      <c r="C780" t="s">
        <v>4802</v>
      </c>
      <c r="D780" t="s">
        <v>13</v>
      </c>
      <c r="E780">
        <v>63</v>
      </c>
      <c r="F780">
        <v>23</v>
      </c>
      <c r="G780" t="s">
        <v>4797</v>
      </c>
      <c r="H780" t="s">
        <v>4804</v>
      </c>
      <c r="I780">
        <v>13.99</v>
      </c>
      <c r="J780">
        <v>1</v>
      </c>
      <c r="K780">
        <v>5</v>
      </c>
      <c r="L780">
        <v>0</v>
      </c>
      <c r="M780" t="s">
        <v>4809</v>
      </c>
      <c r="N780" t="s">
        <v>4900</v>
      </c>
      <c r="O780" t="s">
        <v>4910</v>
      </c>
    </row>
    <row r="781" spans="1:15" x14ac:dyDescent="0.35">
      <c r="A781" t="s">
        <v>786</v>
      </c>
      <c r="B781">
        <v>56</v>
      </c>
      <c r="C781" t="s">
        <v>4802</v>
      </c>
      <c r="D781" t="s">
        <v>13</v>
      </c>
      <c r="E781">
        <v>71</v>
      </c>
      <c r="F781">
        <v>19</v>
      </c>
      <c r="G781" t="s">
        <v>4799</v>
      </c>
      <c r="H781" t="s">
        <v>4807</v>
      </c>
      <c r="I781">
        <v>13.99</v>
      </c>
      <c r="J781">
        <v>3</v>
      </c>
      <c r="K781">
        <v>2.37</v>
      </c>
      <c r="L781">
        <v>0</v>
      </c>
      <c r="M781" t="s">
        <v>4808</v>
      </c>
      <c r="N781" t="s">
        <v>4900</v>
      </c>
      <c r="O781" t="s">
        <v>4911</v>
      </c>
    </row>
    <row r="782" spans="1:15" x14ac:dyDescent="0.35">
      <c r="A782" t="s">
        <v>787</v>
      </c>
      <c r="B782">
        <v>62</v>
      </c>
      <c r="C782" t="s">
        <v>4803</v>
      </c>
      <c r="D782" t="s">
        <v>13</v>
      </c>
      <c r="E782">
        <v>57</v>
      </c>
      <c r="F782">
        <v>14</v>
      </c>
      <c r="G782" t="s">
        <v>4799</v>
      </c>
      <c r="H782" t="s">
        <v>4807</v>
      </c>
      <c r="I782">
        <v>13.99</v>
      </c>
      <c r="J782">
        <v>1</v>
      </c>
      <c r="K782">
        <v>1.9</v>
      </c>
      <c r="L782">
        <v>0</v>
      </c>
      <c r="M782" t="s">
        <v>4810</v>
      </c>
      <c r="N782" t="s">
        <v>4900</v>
      </c>
      <c r="O782" t="s">
        <v>4911</v>
      </c>
    </row>
    <row r="783" spans="1:15" x14ac:dyDescent="0.35">
      <c r="A783" t="s">
        <v>788</v>
      </c>
      <c r="B783">
        <v>49</v>
      </c>
      <c r="C783" t="s">
        <v>4802</v>
      </c>
      <c r="D783" t="s">
        <v>13</v>
      </c>
      <c r="E783">
        <v>77</v>
      </c>
      <c r="F783">
        <v>48</v>
      </c>
      <c r="G783" t="s">
        <v>4799</v>
      </c>
      <c r="H783" t="s">
        <v>4805</v>
      </c>
      <c r="I783">
        <v>13.99</v>
      </c>
      <c r="J783">
        <v>1</v>
      </c>
      <c r="K783">
        <v>2.57</v>
      </c>
      <c r="L783">
        <v>0</v>
      </c>
      <c r="M783" t="s">
        <v>4812</v>
      </c>
      <c r="N783" t="s">
        <v>4900</v>
      </c>
      <c r="O783" t="s">
        <v>4910</v>
      </c>
    </row>
    <row r="784" spans="1:15" x14ac:dyDescent="0.35">
      <c r="A784" t="s">
        <v>789</v>
      </c>
      <c r="B784">
        <v>57</v>
      </c>
      <c r="C784" t="s">
        <v>4803</v>
      </c>
      <c r="D784" t="s">
        <v>13</v>
      </c>
      <c r="E784">
        <v>39</v>
      </c>
      <c r="F784">
        <v>43</v>
      </c>
      <c r="G784" t="s">
        <v>4799</v>
      </c>
      <c r="H784" t="s">
        <v>4807</v>
      </c>
      <c r="I784">
        <v>13.99</v>
      </c>
      <c r="J784">
        <v>3</v>
      </c>
      <c r="K784">
        <v>1.3</v>
      </c>
      <c r="L784">
        <v>0</v>
      </c>
      <c r="M784" t="s">
        <v>4812</v>
      </c>
      <c r="N784" t="s">
        <v>4900</v>
      </c>
      <c r="O784" t="s">
        <v>4911</v>
      </c>
    </row>
    <row r="785" spans="1:15" x14ac:dyDescent="0.35">
      <c r="A785" t="s">
        <v>790</v>
      </c>
      <c r="B785">
        <v>42</v>
      </c>
      <c r="C785" t="s">
        <v>4802</v>
      </c>
      <c r="D785" t="s">
        <v>13</v>
      </c>
      <c r="E785">
        <v>37</v>
      </c>
      <c r="F785">
        <v>29</v>
      </c>
      <c r="G785" t="s">
        <v>4797</v>
      </c>
      <c r="H785" t="s">
        <v>4805</v>
      </c>
      <c r="I785">
        <v>13.99</v>
      </c>
      <c r="J785">
        <v>2</v>
      </c>
      <c r="K785">
        <v>1.23</v>
      </c>
      <c r="L785">
        <v>0</v>
      </c>
      <c r="M785" t="s">
        <v>4808</v>
      </c>
      <c r="N785" t="s">
        <v>4900</v>
      </c>
      <c r="O785" t="s">
        <v>4910</v>
      </c>
    </row>
    <row r="786" spans="1:15" x14ac:dyDescent="0.35">
      <c r="A786" t="s">
        <v>791</v>
      </c>
      <c r="B786">
        <v>50</v>
      </c>
      <c r="C786" t="s">
        <v>4803</v>
      </c>
      <c r="D786" t="s">
        <v>13</v>
      </c>
      <c r="E786">
        <v>67</v>
      </c>
      <c r="F786">
        <v>1</v>
      </c>
      <c r="G786" t="s">
        <v>4797</v>
      </c>
      <c r="H786" t="s">
        <v>4804</v>
      </c>
      <c r="I786">
        <v>13.99</v>
      </c>
      <c r="J786">
        <v>2</v>
      </c>
      <c r="K786">
        <v>2.23</v>
      </c>
      <c r="L786">
        <v>0</v>
      </c>
      <c r="M786" t="s">
        <v>4808</v>
      </c>
      <c r="N786" t="s">
        <v>4900</v>
      </c>
      <c r="O786" t="s">
        <v>4910</v>
      </c>
    </row>
    <row r="787" spans="1:15" x14ac:dyDescent="0.35">
      <c r="A787" t="s">
        <v>792</v>
      </c>
      <c r="B787">
        <v>21</v>
      </c>
      <c r="C787" t="s">
        <v>4803</v>
      </c>
      <c r="D787" t="s">
        <v>13</v>
      </c>
      <c r="E787">
        <v>49</v>
      </c>
      <c r="F787">
        <v>12</v>
      </c>
      <c r="G787" t="s">
        <v>4801</v>
      </c>
      <c r="H787" t="s">
        <v>4804</v>
      </c>
      <c r="I787">
        <v>13.99</v>
      </c>
      <c r="J787">
        <v>2</v>
      </c>
      <c r="K787">
        <v>1.63</v>
      </c>
      <c r="L787">
        <v>0</v>
      </c>
      <c r="M787" t="s">
        <v>4811</v>
      </c>
      <c r="N787" t="s">
        <v>4900</v>
      </c>
      <c r="O787" t="s">
        <v>4912</v>
      </c>
    </row>
    <row r="788" spans="1:15" x14ac:dyDescent="0.35">
      <c r="A788" t="s">
        <v>793</v>
      </c>
      <c r="B788">
        <v>36</v>
      </c>
      <c r="C788" t="s">
        <v>4803</v>
      </c>
      <c r="D788" t="s">
        <v>15</v>
      </c>
      <c r="E788">
        <v>92</v>
      </c>
      <c r="F788">
        <v>5</v>
      </c>
      <c r="G788" t="s">
        <v>4799</v>
      </c>
      <c r="H788" t="s">
        <v>4805</v>
      </c>
      <c r="I788">
        <v>17.989999999999998</v>
      </c>
      <c r="J788">
        <v>4</v>
      </c>
      <c r="K788">
        <v>3.07</v>
      </c>
      <c r="L788">
        <v>0</v>
      </c>
      <c r="M788" t="s">
        <v>4811</v>
      </c>
      <c r="N788" t="s">
        <v>4900</v>
      </c>
      <c r="O788" t="s">
        <v>4910</v>
      </c>
    </row>
    <row r="789" spans="1:15" x14ac:dyDescent="0.35">
      <c r="A789" t="s">
        <v>794</v>
      </c>
      <c r="B789">
        <v>39</v>
      </c>
      <c r="C789" t="s">
        <v>4803</v>
      </c>
      <c r="D789" t="s">
        <v>13</v>
      </c>
      <c r="E789">
        <v>56</v>
      </c>
      <c r="F789">
        <v>9</v>
      </c>
      <c r="G789" t="s">
        <v>4799</v>
      </c>
      <c r="H789" t="s">
        <v>4805</v>
      </c>
      <c r="I789">
        <v>13.99</v>
      </c>
      <c r="J789">
        <v>4</v>
      </c>
      <c r="K789">
        <v>1.87</v>
      </c>
      <c r="L789">
        <v>0</v>
      </c>
      <c r="M789" t="s">
        <v>4810</v>
      </c>
      <c r="N789" t="s">
        <v>4900</v>
      </c>
      <c r="O789" t="s">
        <v>4910</v>
      </c>
    </row>
    <row r="790" spans="1:15" x14ac:dyDescent="0.35">
      <c r="A790" t="s">
        <v>795</v>
      </c>
      <c r="B790">
        <v>59</v>
      </c>
      <c r="C790" t="s">
        <v>4802</v>
      </c>
      <c r="D790" t="s">
        <v>15</v>
      </c>
      <c r="E790">
        <v>108</v>
      </c>
      <c r="F790">
        <v>21</v>
      </c>
      <c r="G790" t="s">
        <v>4798</v>
      </c>
      <c r="H790" t="s">
        <v>4805</v>
      </c>
      <c r="I790">
        <v>17.989999999999998</v>
      </c>
      <c r="J790">
        <v>5</v>
      </c>
      <c r="K790">
        <v>3.6</v>
      </c>
      <c r="L790">
        <v>1</v>
      </c>
      <c r="M790" t="s">
        <v>4808</v>
      </c>
      <c r="N790" t="s">
        <v>4899</v>
      </c>
      <c r="O790" t="s">
        <v>4911</v>
      </c>
    </row>
    <row r="791" spans="1:15" x14ac:dyDescent="0.35">
      <c r="A791" t="s">
        <v>796</v>
      </c>
      <c r="B791">
        <v>48</v>
      </c>
      <c r="C791" t="s">
        <v>4803</v>
      </c>
      <c r="D791" t="s">
        <v>13</v>
      </c>
      <c r="E791">
        <v>66</v>
      </c>
      <c r="F791">
        <v>16</v>
      </c>
      <c r="G791" t="s">
        <v>4798</v>
      </c>
      <c r="H791" t="s">
        <v>4804</v>
      </c>
      <c r="I791">
        <v>13.99</v>
      </c>
      <c r="J791">
        <v>2</v>
      </c>
      <c r="K791">
        <v>2.2000000000000002</v>
      </c>
      <c r="L791">
        <v>0</v>
      </c>
      <c r="M791" t="s">
        <v>4811</v>
      </c>
      <c r="N791" t="s">
        <v>4900</v>
      </c>
      <c r="O791" t="s">
        <v>4910</v>
      </c>
    </row>
    <row r="792" spans="1:15" x14ac:dyDescent="0.35">
      <c r="A792" t="s">
        <v>797</v>
      </c>
      <c r="B792">
        <v>30</v>
      </c>
      <c r="C792" t="s">
        <v>4803</v>
      </c>
      <c r="D792" t="s">
        <v>13</v>
      </c>
      <c r="E792">
        <v>65</v>
      </c>
      <c r="F792">
        <v>30</v>
      </c>
      <c r="G792" t="s">
        <v>4798</v>
      </c>
      <c r="H792" t="s">
        <v>4805</v>
      </c>
      <c r="I792">
        <v>13.99</v>
      </c>
      <c r="J792">
        <v>4</v>
      </c>
      <c r="K792">
        <v>2.17</v>
      </c>
      <c r="L792">
        <v>0</v>
      </c>
      <c r="M792" t="s">
        <v>4812</v>
      </c>
      <c r="N792" t="s">
        <v>4900</v>
      </c>
      <c r="O792" t="s">
        <v>4912</v>
      </c>
    </row>
    <row r="793" spans="1:15" x14ac:dyDescent="0.35">
      <c r="A793" t="s">
        <v>798</v>
      </c>
      <c r="B793">
        <v>53</v>
      </c>
      <c r="C793" t="s">
        <v>4803</v>
      </c>
      <c r="D793" t="s">
        <v>13</v>
      </c>
      <c r="E793">
        <v>32</v>
      </c>
      <c r="F793">
        <v>56</v>
      </c>
      <c r="G793" t="s">
        <v>4799</v>
      </c>
      <c r="H793" t="s">
        <v>4806</v>
      </c>
      <c r="I793">
        <v>13.99</v>
      </c>
      <c r="J793">
        <v>1</v>
      </c>
      <c r="K793">
        <v>1.07</v>
      </c>
      <c r="L793">
        <v>0</v>
      </c>
      <c r="M793" t="s">
        <v>4808</v>
      </c>
      <c r="N793" t="s">
        <v>4900</v>
      </c>
      <c r="O793" t="s">
        <v>4910</v>
      </c>
    </row>
    <row r="794" spans="1:15" x14ac:dyDescent="0.35">
      <c r="A794" t="s">
        <v>799</v>
      </c>
      <c r="B794">
        <v>38</v>
      </c>
      <c r="C794" t="s">
        <v>4803</v>
      </c>
      <c r="D794" t="s">
        <v>15</v>
      </c>
      <c r="E794">
        <v>60</v>
      </c>
      <c r="F794">
        <v>45</v>
      </c>
      <c r="G794" t="s">
        <v>4799</v>
      </c>
      <c r="H794" t="s">
        <v>4804</v>
      </c>
      <c r="I794">
        <v>17.989999999999998</v>
      </c>
      <c r="J794">
        <v>5</v>
      </c>
      <c r="K794">
        <v>2</v>
      </c>
      <c r="L794">
        <v>0</v>
      </c>
      <c r="M794" t="s">
        <v>4808</v>
      </c>
      <c r="N794" t="s">
        <v>4900</v>
      </c>
      <c r="O794" t="s">
        <v>4910</v>
      </c>
    </row>
    <row r="795" spans="1:15" x14ac:dyDescent="0.35">
      <c r="A795" t="s">
        <v>800</v>
      </c>
      <c r="B795">
        <v>22</v>
      </c>
      <c r="C795" t="s">
        <v>4803</v>
      </c>
      <c r="D795" t="s">
        <v>13</v>
      </c>
      <c r="E795">
        <v>34</v>
      </c>
      <c r="F795">
        <v>56</v>
      </c>
      <c r="G795" t="s">
        <v>4799</v>
      </c>
      <c r="H795" t="s">
        <v>4805</v>
      </c>
      <c r="I795">
        <v>13.99</v>
      </c>
      <c r="J795">
        <v>4</v>
      </c>
      <c r="K795">
        <v>1.1299999999999999</v>
      </c>
      <c r="L795">
        <v>0</v>
      </c>
      <c r="M795" t="s">
        <v>4811</v>
      </c>
      <c r="N795" t="s">
        <v>4900</v>
      </c>
      <c r="O795" t="s">
        <v>4912</v>
      </c>
    </row>
    <row r="796" spans="1:15" x14ac:dyDescent="0.35">
      <c r="A796" t="s">
        <v>801</v>
      </c>
      <c r="B796">
        <v>30</v>
      </c>
      <c r="C796" t="s">
        <v>4803</v>
      </c>
      <c r="D796" t="s">
        <v>13</v>
      </c>
      <c r="E796">
        <v>42</v>
      </c>
      <c r="F796">
        <v>11</v>
      </c>
      <c r="G796" t="s">
        <v>4797</v>
      </c>
      <c r="H796" t="s">
        <v>4804</v>
      </c>
      <c r="I796">
        <v>13.99</v>
      </c>
      <c r="J796">
        <v>2</v>
      </c>
      <c r="K796">
        <v>1.4</v>
      </c>
      <c r="L796">
        <v>0</v>
      </c>
      <c r="M796" t="s">
        <v>4808</v>
      </c>
      <c r="N796" t="s">
        <v>4900</v>
      </c>
      <c r="O796" t="s">
        <v>4912</v>
      </c>
    </row>
    <row r="797" spans="1:15" x14ac:dyDescent="0.35">
      <c r="A797" t="s">
        <v>802</v>
      </c>
      <c r="B797">
        <v>24</v>
      </c>
      <c r="C797" t="s">
        <v>4802</v>
      </c>
      <c r="D797" t="s">
        <v>15</v>
      </c>
      <c r="E797">
        <v>62</v>
      </c>
      <c r="F797">
        <v>60</v>
      </c>
      <c r="G797" t="s">
        <v>4798</v>
      </c>
      <c r="H797" t="s">
        <v>4806</v>
      </c>
      <c r="I797">
        <v>17.989999999999998</v>
      </c>
      <c r="J797">
        <v>2</v>
      </c>
      <c r="K797">
        <v>2.0699999999999998</v>
      </c>
      <c r="L797">
        <v>0</v>
      </c>
      <c r="M797" t="s">
        <v>4809</v>
      </c>
      <c r="N797" t="s">
        <v>4900</v>
      </c>
      <c r="O797" t="s">
        <v>4912</v>
      </c>
    </row>
    <row r="798" spans="1:15" x14ac:dyDescent="0.35">
      <c r="A798" t="s">
        <v>803</v>
      </c>
      <c r="B798">
        <v>28</v>
      </c>
      <c r="C798" t="s">
        <v>4803</v>
      </c>
      <c r="D798" t="s">
        <v>13</v>
      </c>
      <c r="E798">
        <v>41</v>
      </c>
      <c r="F798">
        <v>59</v>
      </c>
      <c r="G798" t="s">
        <v>4799</v>
      </c>
      <c r="H798" t="s">
        <v>4804</v>
      </c>
      <c r="I798">
        <v>13.99</v>
      </c>
      <c r="J798">
        <v>3</v>
      </c>
      <c r="K798">
        <v>1.37</v>
      </c>
      <c r="L798">
        <v>0</v>
      </c>
      <c r="M798" t="s">
        <v>4812</v>
      </c>
      <c r="N798" t="s">
        <v>4900</v>
      </c>
      <c r="O798" t="s">
        <v>4912</v>
      </c>
    </row>
    <row r="799" spans="1:15" x14ac:dyDescent="0.35">
      <c r="A799" t="s">
        <v>804</v>
      </c>
      <c r="B799">
        <v>39</v>
      </c>
      <c r="C799" t="s">
        <v>4803</v>
      </c>
      <c r="D799" t="s">
        <v>13</v>
      </c>
      <c r="E799">
        <v>48</v>
      </c>
      <c r="F799">
        <v>17</v>
      </c>
      <c r="G799" t="s">
        <v>4799</v>
      </c>
      <c r="H799" t="s">
        <v>4805</v>
      </c>
      <c r="I799">
        <v>13.99</v>
      </c>
      <c r="J799">
        <v>4</v>
      </c>
      <c r="K799">
        <v>1.6</v>
      </c>
      <c r="L799">
        <v>0</v>
      </c>
      <c r="M799" t="s">
        <v>4808</v>
      </c>
      <c r="N799" t="s">
        <v>4900</v>
      </c>
      <c r="O799" t="s">
        <v>4910</v>
      </c>
    </row>
    <row r="800" spans="1:15" x14ac:dyDescent="0.35">
      <c r="A800" t="s">
        <v>805</v>
      </c>
      <c r="B800">
        <v>51</v>
      </c>
      <c r="C800" t="s">
        <v>4802</v>
      </c>
      <c r="D800" t="s">
        <v>15</v>
      </c>
      <c r="E800">
        <v>64</v>
      </c>
      <c r="F800">
        <v>14</v>
      </c>
      <c r="G800" t="s">
        <v>4799</v>
      </c>
      <c r="H800" t="s">
        <v>4805</v>
      </c>
      <c r="I800">
        <v>17.989999999999998</v>
      </c>
      <c r="J800">
        <v>4</v>
      </c>
      <c r="K800">
        <v>2.13</v>
      </c>
      <c r="L800">
        <v>0</v>
      </c>
      <c r="M800" t="s">
        <v>4808</v>
      </c>
      <c r="N800" t="s">
        <v>4900</v>
      </c>
      <c r="O800" t="s">
        <v>4910</v>
      </c>
    </row>
    <row r="801" spans="1:15" x14ac:dyDescent="0.35">
      <c r="A801" t="s">
        <v>806</v>
      </c>
      <c r="B801">
        <v>19</v>
      </c>
      <c r="C801" t="s">
        <v>4802</v>
      </c>
      <c r="D801" t="s">
        <v>13</v>
      </c>
      <c r="E801">
        <v>64</v>
      </c>
      <c r="F801">
        <v>28</v>
      </c>
      <c r="G801" t="s">
        <v>4797</v>
      </c>
      <c r="H801" t="s">
        <v>4805</v>
      </c>
      <c r="I801">
        <v>13.99</v>
      </c>
      <c r="J801">
        <v>2</v>
      </c>
      <c r="K801">
        <v>2.13</v>
      </c>
      <c r="L801">
        <v>0</v>
      </c>
      <c r="M801" t="s">
        <v>4809</v>
      </c>
      <c r="N801" t="s">
        <v>4900</v>
      </c>
      <c r="O801" t="s">
        <v>4912</v>
      </c>
    </row>
    <row r="802" spans="1:15" x14ac:dyDescent="0.35">
      <c r="A802" t="s">
        <v>807</v>
      </c>
      <c r="B802">
        <v>18</v>
      </c>
      <c r="C802" t="s">
        <v>4803</v>
      </c>
      <c r="D802" t="s">
        <v>15</v>
      </c>
      <c r="E802">
        <v>61</v>
      </c>
      <c r="F802">
        <v>59</v>
      </c>
      <c r="G802" t="s">
        <v>4798</v>
      </c>
      <c r="H802" t="s">
        <v>4806</v>
      </c>
      <c r="I802">
        <v>17.989999999999998</v>
      </c>
      <c r="J802">
        <v>1</v>
      </c>
      <c r="K802">
        <v>2.0299999999999998</v>
      </c>
      <c r="L802">
        <v>0</v>
      </c>
      <c r="M802" t="s">
        <v>4811</v>
      </c>
      <c r="N802" t="s">
        <v>4900</v>
      </c>
      <c r="O802" t="s">
        <v>4912</v>
      </c>
    </row>
    <row r="803" spans="1:15" x14ac:dyDescent="0.35">
      <c r="A803" t="s">
        <v>808</v>
      </c>
      <c r="B803">
        <v>32</v>
      </c>
      <c r="C803" t="s">
        <v>4803</v>
      </c>
      <c r="D803" t="s">
        <v>15</v>
      </c>
      <c r="E803">
        <v>79</v>
      </c>
      <c r="F803">
        <v>32</v>
      </c>
      <c r="G803" t="s">
        <v>4797</v>
      </c>
      <c r="H803" t="s">
        <v>4804</v>
      </c>
      <c r="I803">
        <v>17.989999999999998</v>
      </c>
      <c r="J803">
        <v>5</v>
      </c>
      <c r="K803">
        <v>2.63</v>
      </c>
      <c r="L803">
        <v>0</v>
      </c>
      <c r="M803" t="s">
        <v>4808</v>
      </c>
      <c r="N803" t="s">
        <v>4900</v>
      </c>
      <c r="O803" t="s">
        <v>4912</v>
      </c>
    </row>
    <row r="804" spans="1:15" x14ac:dyDescent="0.35">
      <c r="A804" t="s">
        <v>809</v>
      </c>
      <c r="B804">
        <v>25</v>
      </c>
      <c r="C804" t="s">
        <v>4803</v>
      </c>
      <c r="D804" t="s">
        <v>15</v>
      </c>
      <c r="E804">
        <v>55</v>
      </c>
      <c r="F804">
        <v>46</v>
      </c>
      <c r="G804" t="s">
        <v>4799</v>
      </c>
      <c r="H804" t="s">
        <v>4805</v>
      </c>
      <c r="I804">
        <v>17.989999999999998</v>
      </c>
      <c r="J804">
        <v>3</v>
      </c>
      <c r="K804">
        <v>1.83</v>
      </c>
      <c r="L804">
        <v>0</v>
      </c>
      <c r="M804" t="s">
        <v>4808</v>
      </c>
      <c r="N804" t="s">
        <v>4900</v>
      </c>
      <c r="O804" t="s">
        <v>4912</v>
      </c>
    </row>
    <row r="805" spans="1:15" x14ac:dyDescent="0.35">
      <c r="A805" t="s">
        <v>810</v>
      </c>
      <c r="B805">
        <v>63</v>
      </c>
      <c r="C805" t="s">
        <v>4802</v>
      </c>
      <c r="D805" t="s">
        <v>14</v>
      </c>
      <c r="E805">
        <v>33</v>
      </c>
      <c r="F805">
        <v>18</v>
      </c>
      <c r="G805" t="s">
        <v>4797</v>
      </c>
      <c r="H805" t="s">
        <v>4804</v>
      </c>
      <c r="I805">
        <v>8.99</v>
      </c>
      <c r="J805">
        <v>2</v>
      </c>
      <c r="K805">
        <v>1.1000000000000001</v>
      </c>
      <c r="L805">
        <v>0</v>
      </c>
      <c r="M805" t="s">
        <v>4809</v>
      </c>
      <c r="N805" t="s">
        <v>4900</v>
      </c>
      <c r="O805" t="s">
        <v>4911</v>
      </c>
    </row>
    <row r="806" spans="1:15" x14ac:dyDescent="0.35">
      <c r="A806" t="s">
        <v>811</v>
      </c>
      <c r="B806">
        <v>54</v>
      </c>
      <c r="C806" t="s">
        <v>4803</v>
      </c>
      <c r="D806" t="s">
        <v>15</v>
      </c>
      <c r="E806">
        <v>93</v>
      </c>
      <c r="F806">
        <v>30</v>
      </c>
      <c r="G806" t="s">
        <v>4800</v>
      </c>
      <c r="H806" t="s">
        <v>4806</v>
      </c>
      <c r="I806">
        <v>17.989999999999998</v>
      </c>
      <c r="J806">
        <v>5</v>
      </c>
      <c r="K806">
        <v>3.1</v>
      </c>
      <c r="L806">
        <v>0</v>
      </c>
      <c r="M806" t="s">
        <v>4809</v>
      </c>
      <c r="N806" t="s">
        <v>4900</v>
      </c>
      <c r="O806" t="s">
        <v>4910</v>
      </c>
    </row>
    <row r="807" spans="1:15" x14ac:dyDescent="0.35">
      <c r="A807" t="s">
        <v>812</v>
      </c>
      <c r="B807">
        <v>45</v>
      </c>
      <c r="C807" t="s">
        <v>4802</v>
      </c>
      <c r="D807" t="s">
        <v>13</v>
      </c>
      <c r="E807">
        <v>36</v>
      </c>
      <c r="F807">
        <v>52</v>
      </c>
      <c r="G807" t="s">
        <v>4799</v>
      </c>
      <c r="H807" t="s">
        <v>4804</v>
      </c>
      <c r="I807">
        <v>13.99</v>
      </c>
      <c r="J807">
        <v>2</v>
      </c>
      <c r="K807">
        <v>1.2</v>
      </c>
      <c r="L807">
        <v>1</v>
      </c>
      <c r="M807" t="s">
        <v>4812</v>
      </c>
      <c r="N807" t="s">
        <v>4899</v>
      </c>
      <c r="O807" t="s">
        <v>4910</v>
      </c>
    </row>
    <row r="808" spans="1:15" x14ac:dyDescent="0.35">
      <c r="A808" t="s">
        <v>813</v>
      </c>
      <c r="B808">
        <v>35</v>
      </c>
      <c r="C808" t="s">
        <v>4803</v>
      </c>
      <c r="D808" t="s">
        <v>13</v>
      </c>
      <c r="E808">
        <v>67</v>
      </c>
      <c r="F808">
        <v>14</v>
      </c>
      <c r="G808" t="s">
        <v>4798</v>
      </c>
      <c r="H808" t="s">
        <v>4804</v>
      </c>
      <c r="I808">
        <v>13.99</v>
      </c>
      <c r="J808">
        <v>4</v>
      </c>
      <c r="K808">
        <v>2.23</v>
      </c>
      <c r="L808">
        <v>0</v>
      </c>
      <c r="M808" t="s">
        <v>4809</v>
      </c>
      <c r="N808" t="s">
        <v>4900</v>
      </c>
      <c r="O808" t="s">
        <v>4910</v>
      </c>
    </row>
    <row r="809" spans="1:15" x14ac:dyDescent="0.35">
      <c r="A809" t="s">
        <v>814</v>
      </c>
      <c r="B809">
        <v>42</v>
      </c>
      <c r="C809" t="s">
        <v>4802</v>
      </c>
      <c r="D809" t="s">
        <v>15</v>
      </c>
      <c r="E809">
        <v>109</v>
      </c>
      <c r="F809">
        <v>20</v>
      </c>
      <c r="G809" t="s">
        <v>4797</v>
      </c>
      <c r="H809" t="s">
        <v>4805</v>
      </c>
      <c r="I809">
        <v>17.989999999999998</v>
      </c>
      <c r="J809">
        <v>5</v>
      </c>
      <c r="K809">
        <v>3.63</v>
      </c>
      <c r="L809">
        <v>0</v>
      </c>
      <c r="M809" t="s">
        <v>4811</v>
      </c>
      <c r="N809" t="s">
        <v>4900</v>
      </c>
      <c r="O809" t="s">
        <v>4910</v>
      </c>
    </row>
    <row r="810" spans="1:15" x14ac:dyDescent="0.35">
      <c r="A810" t="s">
        <v>815</v>
      </c>
      <c r="B810">
        <v>47</v>
      </c>
      <c r="C810" t="s">
        <v>4802</v>
      </c>
      <c r="D810" t="s">
        <v>13</v>
      </c>
      <c r="E810">
        <v>36</v>
      </c>
      <c r="F810">
        <v>32</v>
      </c>
      <c r="G810" t="s">
        <v>4798</v>
      </c>
      <c r="H810" t="s">
        <v>4806</v>
      </c>
      <c r="I810">
        <v>13.99</v>
      </c>
      <c r="J810">
        <v>4</v>
      </c>
      <c r="K810">
        <v>1.2</v>
      </c>
      <c r="L810">
        <v>0</v>
      </c>
      <c r="M810" t="s">
        <v>4809</v>
      </c>
      <c r="N810" t="s">
        <v>4900</v>
      </c>
      <c r="O810" t="s">
        <v>4910</v>
      </c>
    </row>
    <row r="811" spans="1:15" x14ac:dyDescent="0.35">
      <c r="A811" t="s">
        <v>816</v>
      </c>
      <c r="B811">
        <v>32</v>
      </c>
      <c r="C811" t="s">
        <v>4802</v>
      </c>
      <c r="D811" t="s">
        <v>13</v>
      </c>
      <c r="E811">
        <v>70</v>
      </c>
      <c r="F811">
        <v>38</v>
      </c>
      <c r="G811" t="s">
        <v>4798</v>
      </c>
      <c r="H811" t="s">
        <v>4804</v>
      </c>
      <c r="I811">
        <v>13.99</v>
      </c>
      <c r="J811">
        <v>4</v>
      </c>
      <c r="K811">
        <v>2.33</v>
      </c>
      <c r="L811">
        <v>0</v>
      </c>
      <c r="M811" t="s">
        <v>4812</v>
      </c>
      <c r="N811" t="s">
        <v>4900</v>
      </c>
      <c r="O811" t="s">
        <v>4912</v>
      </c>
    </row>
    <row r="812" spans="1:15" x14ac:dyDescent="0.35">
      <c r="A812" t="s">
        <v>817</v>
      </c>
      <c r="B812">
        <v>22</v>
      </c>
      <c r="C812" t="s">
        <v>4803</v>
      </c>
      <c r="D812" t="s">
        <v>13</v>
      </c>
      <c r="E812">
        <v>44</v>
      </c>
      <c r="F812">
        <v>27</v>
      </c>
      <c r="G812" t="s">
        <v>4798</v>
      </c>
      <c r="H812" t="s">
        <v>4804</v>
      </c>
      <c r="I812">
        <v>13.99</v>
      </c>
      <c r="J812">
        <v>2</v>
      </c>
      <c r="K812">
        <v>1.47</v>
      </c>
      <c r="L812">
        <v>0</v>
      </c>
      <c r="M812" t="s">
        <v>4809</v>
      </c>
      <c r="N812" t="s">
        <v>4900</v>
      </c>
      <c r="O812" t="s">
        <v>4912</v>
      </c>
    </row>
    <row r="813" spans="1:15" x14ac:dyDescent="0.35">
      <c r="A813" t="s">
        <v>818</v>
      </c>
      <c r="B813">
        <v>27</v>
      </c>
      <c r="C813" t="s">
        <v>4802</v>
      </c>
      <c r="D813" t="s">
        <v>13</v>
      </c>
      <c r="E813">
        <v>31</v>
      </c>
      <c r="F813">
        <v>49</v>
      </c>
      <c r="G813" t="s">
        <v>4799</v>
      </c>
      <c r="H813" t="s">
        <v>4804</v>
      </c>
      <c r="I813">
        <v>13.99</v>
      </c>
      <c r="J813">
        <v>3</v>
      </c>
      <c r="K813">
        <v>1.03</v>
      </c>
      <c r="L813">
        <v>0</v>
      </c>
      <c r="M813" t="s">
        <v>4808</v>
      </c>
      <c r="N813" t="s">
        <v>4900</v>
      </c>
      <c r="O813" t="s">
        <v>4912</v>
      </c>
    </row>
    <row r="814" spans="1:15" x14ac:dyDescent="0.35">
      <c r="A814" t="s">
        <v>819</v>
      </c>
      <c r="B814">
        <v>34</v>
      </c>
      <c r="C814" t="s">
        <v>4803</v>
      </c>
      <c r="D814" t="s">
        <v>15</v>
      </c>
      <c r="E814">
        <v>72</v>
      </c>
      <c r="F814">
        <v>36</v>
      </c>
      <c r="G814" t="s">
        <v>4797</v>
      </c>
      <c r="H814" t="s">
        <v>4804</v>
      </c>
      <c r="I814">
        <v>17.989999999999998</v>
      </c>
      <c r="J814">
        <v>3</v>
      </c>
      <c r="K814">
        <v>2.0299999999999998</v>
      </c>
      <c r="L814">
        <v>1</v>
      </c>
      <c r="M814" t="s">
        <v>4809</v>
      </c>
      <c r="N814" t="s">
        <v>4899</v>
      </c>
      <c r="O814" t="s">
        <v>4912</v>
      </c>
    </row>
    <row r="815" spans="1:15" x14ac:dyDescent="0.35">
      <c r="A815" t="s">
        <v>820</v>
      </c>
      <c r="B815">
        <v>18</v>
      </c>
      <c r="C815" t="s">
        <v>4802</v>
      </c>
      <c r="D815" t="s">
        <v>15</v>
      </c>
      <c r="E815">
        <v>51</v>
      </c>
      <c r="F815">
        <v>38</v>
      </c>
      <c r="G815" t="s">
        <v>4798</v>
      </c>
      <c r="H815" t="s">
        <v>4804</v>
      </c>
      <c r="I815">
        <v>17.989999999999998</v>
      </c>
      <c r="J815">
        <v>3</v>
      </c>
      <c r="K815">
        <v>1.7</v>
      </c>
      <c r="L815">
        <v>1</v>
      </c>
      <c r="M815" t="s">
        <v>4810</v>
      </c>
      <c r="N815" t="s">
        <v>4899</v>
      </c>
      <c r="O815" t="s">
        <v>4912</v>
      </c>
    </row>
    <row r="816" spans="1:15" x14ac:dyDescent="0.35">
      <c r="A816" t="s">
        <v>821</v>
      </c>
      <c r="B816">
        <v>24</v>
      </c>
      <c r="C816" t="s">
        <v>4803</v>
      </c>
      <c r="D816" t="s">
        <v>15</v>
      </c>
      <c r="E816">
        <v>114</v>
      </c>
      <c r="F816">
        <v>999</v>
      </c>
      <c r="G816" t="s">
        <v>4797</v>
      </c>
      <c r="H816" t="s">
        <v>4806</v>
      </c>
      <c r="I816">
        <v>17.989999999999998</v>
      </c>
      <c r="J816">
        <v>5</v>
      </c>
      <c r="K816">
        <v>2.0299999999999998</v>
      </c>
      <c r="L816">
        <v>1</v>
      </c>
      <c r="M816" t="s">
        <v>4810</v>
      </c>
      <c r="N816" t="s">
        <v>4899</v>
      </c>
      <c r="O816" t="s">
        <v>4912</v>
      </c>
    </row>
    <row r="817" spans="1:15" x14ac:dyDescent="0.35">
      <c r="A817" t="s">
        <v>822</v>
      </c>
      <c r="B817">
        <v>61</v>
      </c>
      <c r="C817" t="s">
        <v>4803</v>
      </c>
      <c r="D817" t="s">
        <v>13</v>
      </c>
      <c r="E817">
        <v>30</v>
      </c>
      <c r="F817">
        <v>43</v>
      </c>
      <c r="G817" t="s">
        <v>4798</v>
      </c>
      <c r="H817" t="s">
        <v>4805</v>
      </c>
      <c r="I817">
        <v>13.99</v>
      </c>
      <c r="J817">
        <v>4</v>
      </c>
      <c r="K817">
        <v>1</v>
      </c>
      <c r="L817">
        <v>0</v>
      </c>
      <c r="M817" t="s">
        <v>4811</v>
      </c>
      <c r="N817" t="s">
        <v>4900</v>
      </c>
      <c r="O817" t="s">
        <v>4911</v>
      </c>
    </row>
    <row r="818" spans="1:15" x14ac:dyDescent="0.35">
      <c r="A818" t="s">
        <v>823</v>
      </c>
      <c r="B818">
        <v>34</v>
      </c>
      <c r="C818" t="s">
        <v>4802</v>
      </c>
      <c r="D818" t="s">
        <v>13</v>
      </c>
      <c r="E818">
        <v>76</v>
      </c>
      <c r="F818">
        <v>19</v>
      </c>
      <c r="G818" t="s">
        <v>4798</v>
      </c>
      <c r="H818" t="s">
        <v>4805</v>
      </c>
      <c r="I818">
        <v>13.99</v>
      </c>
      <c r="J818">
        <v>3</v>
      </c>
      <c r="K818">
        <v>2.5299999999999998</v>
      </c>
      <c r="L818">
        <v>0</v>
      </c>
      <c r="M818" t="s">
        <v>4811</v>
      </c>
      <c r="N818" t="s">
        <v>4900</v>
      </c>
      <c r="O818" t="s">
        <v>4912</v>
      </c>
    </row>
    <row r="819" spans="1:15" x14ac:dyDescent="0.35">
      <c r="A819" t="s">
        <v>824</v>
      </c>
      <c r="B819">
        <v>62</v>
      </c>
      <c r="C819" t="s">
        <v>4802</v>
      </c>
      <c r="D819" t="s">
        <v>13</v>
      </c>
      <c r="E819">
        <v>40</v>
      </c>
      <c r="F819">
        <v>10</v>
      </c>
      <c r="G819" t="s">
        <v>4798</v>
      </c>
      <c r="H819" t="s">
        <v>4805</v>
      </c>
      <c r="I819">
        <v>13.99</v>
      </c>
      <c r="J819">
        <v>2</v>
      </c>
      <c r="K819">
        <v>1.33</v>
      </c>
      <c r="L819">
        <v>0</v>
      </c>
      <c r="M819" t="s">
        <v>4810</v>
      </c>
      <c r="N819" t="s">
        <v>4900</v>
      </c>
      <c r="O819" t="s">
        <v>4911</v>
      </c>
    </row>
    <row r="820" spans="1:15" x14ac:dyDescent="0.35">
      <c r="A820" t="s">
        <v>825</v>
      </c>
      <c r="B820">
        <v>32</v>
      </c>
      <c r="C820" t="s">
        <v>4802</v>
      </c>
      <c r="D820" t="s">
        <v>13</v>
      </c>
      <c r="E820">
        <v>71</v>
      </c>
      <c r="F820">
        <v>41</v>
      </c>
      <c r="G820" t="s">
        <v>4798</v>
      </c>
      <c r="H820" t="s">
        <v>4806</v>
      </c>
      <c r="I820">
        <v>13.99</v>
      </c>
      <c r="J820">
        <v>4</v>
      </c>
      <c r="K820">
        <v>2.37</v>
      </c>
      <c r="L820">
        <v>0</v>
      </c>
      <c r="M820" t="s">
        <v>4811</v>
      </c>
      <c r="N820" t="s">
        <v>4900</v>
      </c>
      <c r="O820" t="s">
        <v>4912</v>
      </c>
    </row>
    <row r="821" spans="1:15" x14ac:dyDescent="0.35">
      <c r="A821" t="s">
        <v>826</v>
      </c>
      <c r="B821">
        <v>58</v>
      </c>
      <c r="C821" t="s">
        <v>4803</v>
      </c>
      <c r="D821" t="s">
        <v>13</v>
      </c>
      <c r="E821">
        <v>54</v>
      </c>
      <c r="F821">
        <v>30</v>
      </c>
      <c r="G821" t="s">
        <v>4797</v>
      </c>
      <c r="H821" t="s">
        <v>4806</v>
      </c>
      <c r="I821">
        <v>13.99</v>
      </c>
      <c r="J821">
        <v>3</v>
      </c>
      <c r="K821">
        <v>1.8</v>
      </c>
      <c r="L821">
        <v>0</v>
      </c>
      <c r="M821" t="s">
        <v>4810</v>
      </c>
      <c r="N821" t="s">
        <v>4900</v>
      </c>
      <c r="O821" t="s">
        <v>4911</v>
      </c>
    </row>
    <row r="822" spans="1:15" x14ac:dyDescent="0.35">
      <c r="A822" t="s">
        <v>827</v>
      </c>
      <c r="B822">
        <v>19</v>
      </c>
      <c r="C822" t="s">
        <v>4803</v>
      </c>
      <c r="D822" t="s">
        <v>15</v>
      </c>
      <c r="E822">
        <v>53</v>
      </c>
      <c r="F822">
        <v>60</v>
      </c>
      <c r="G822" t="s">
        <v>4799</v>
      </c>
      <c r="H822" t="s">
        <v>4806</v>
      </c>
      <c r="I822">
        <v>17.989999999999998</v>
      </c>
      <c r="J822">
        <v>3</v>
      </c>
      <c r="K822">
        <v>1.77</v>
      </c>
      <c r="L822">
        <v>0</v>
      </c>
      <c r="M822" t="s">
        <v>4811</v>
      </c>
      <c r="N822" t="s">
        <v>4900</v>
      </c>
      <c r="O822" t="s">
        <v>4912</v>
      </c>
    </row>
    <row r="823" spans="1:15" x14ac:dyDescent="0.35">
      <c r="A823" t="s">
        <v>828</v>
      </c>
      <c r="B823">
        <v>52</v>
      </c>
      <c r="C823" t="s">
        <v>4802</v>
      </c>
      <c r="D823" t="s">
        <v>13</v>
      </c>
      <c r="E823">
        <v>59</v>
      </c>
      <c r="F823">
        <v>11</v>
      </c>
      <c r="G823" t="s">
        <v>4799</v>
      </c>
      <c r="H823" t="s">
        <v>4804</v>
      </c>
      <c r="I823">
        <v>13.99</v>
      </c>
      <c r="J823">
        <v>3</v>
      </c>
      <c r="K823">
        <v>1.97</v>
      </c>
      <c r="L823">
        <v>0</v>
      </c>
      <c r="M823" t="s">
        <v>4811</v>
      </c>
      <c r="N823" t="s">
        <v>4900</v>
      </c>
      <c r="O823" t="s">
        <v>4910</v>
      </c>
    </row>
    <row r="824" spans="1:15" x14ac:dyDescent="0.35">
      <c r="A824" t="s">
        <v>829</v>
      </c>
      <c r="B824">
        <v>59</v>
      </c>
      <c r="C824" t="s">
        <v>4803</v>
      </c>
      <c r="D824" t="s">
        <v>13</v>
      </c>
      <c r="E824">
        <v>64</v>
      </c>
      <c r="F824" t="s">
        <v>4814</v>
      </c>
      <c r="G824" t="s">
        <v>4800</v>
      </c>
      <c r="H824" t="s">
        <v>4806</v>
      </c>
      <c r="I824">
        <v>13.99</v>
      </c>
      <c r="J824">
        <v>2</v>
      </c>
      <c r="K824">
        <v>2.13</v>
      </c>
      <c r="L824">
        <v>1</v>
      </c>
      <c r="M824" t="s">
        <v>4810</v>
      </c>
      <c r="N824" t="s">
        <v>4899</v>
      </c>
      <c r="O824" t="s">
        <v>4911</v>
      </c>
    </row>
    <row r="825" spans="1:15" x14ac:dyDescent="0.35">
      <c r="A825" t="s">
        <v>830</v>
      </c>
      <c r="B825">
        <v>58</v>
      </c>
      <c r="C825" t="s">
        <v>4802</v>
      </c>
      <c r="D825" t="s">
        <v>13</v>
      </c>
      <c r="E825">
        <v>39</v>
      </c>
      <c r="F825">
        <v>10</v>
      </c>
      <c r="G825" t="s">
        <v>4799</v>
      </c>
      <c r="H825" t="s">
        <v>4805</v>
      </c>
      <c r="I825">
        <v>13.99</v>
      </c>
      <c r="J825">
        <v>4</v>
      </c>
      <c r="K825">
        <v>1.3</v>
      </c>
      <c r="L825">
        <v>0</v>
      </c>
      <c r="M825" t="s">
        <v>4810</v>
      </c>
      <c r="N825" t="s">
        <v>4900</v>
      </c>
      <c r="O825" t="s">
        <v>4911</v>
      </c>
    </row>
    <row r="826" spans="1:15" x14ac:dyDescent="0.35">
      <c r="A826" t="s">
        <v>831</v>
      </c>
      <c r="B826">
        <v>60</v>
      </c>
      <c r="C826" t="s">
        <v>4803</v>
      </c>
      <c r="D826" t="s">
        <v>13</v>
      </c>
      <c r="E826">
        <v>33</v>
      </c>
      <c r="F826">
        <v>27</v>
      </c>
      <c r="G826" t="s">
        <v>4799</v>
      </c>
      <c r="H826" t="s">
        <v>4804</v>
      </c>
      <c r="I826">
        <v>13.99</v>
      </c>
      <c r="J826">
        <v>2</v>
      </c>
      <c r="K826">
        <v>1.1000000000000001</v>
      </c>
      <c r="L826">
        <v>0</v>
      </c>
      <c r="M826" t="s">
        <v>4812</v>
      </c>
      <c r="N826" t="s">
        <v>4900</v>
      </c>
      <c r="O826" t="s">
        <v>4911</v>
      </c>
    </row>
    <row r="827" spans="1:15" x14ac:dyDescent="0.35">
      <c r="A827" t="s">
        <v>832</v>
      </c>
      <c r="B827">
        <v>21</v>
      </c>
      <c r="C827" t="s">
        <v>4802</v>
      </c>
      <c r="D827" t="s">
        <v>15</v>
      </c>
      <c r="E827">
        <v>57</v>
      </c>
      <c r="F827">
        <v>22</v>
      </c>
      <c r="G827" t="s">
        <v>4798</v>
      </c>
      <c r="H827" t="s">
        <v>4805</v>
      </c>
      <c r="I827">
        <v>17.989999999999998</v>
      </c>
      <c r="J827">
        <v>3</v>
      </c>
      <c r="K827">
        <v>1.9</v>
      </c>
      <c r="L827">
        <v>0</v>
      </c>
      <c r="M827" t="s">
        <v>4810</v>
      </c>
      <c r="N827" t="s">
        <v>4900</v>
      </c>
      <c r="O827" t="s">
        <v>4912</v>
      </c>
    </row>
    <row r="828" spans="1:15" x14ac:dyDescent="0.35">
      <c r="A828" t="s">
        <v>833</v>
      </c>
      <c r="B828">
        <v>24</v>
      </c>
      <c r="C828" t="s">
        <v>4803</v>
      </c>
      <c r="D828" t="s">
        <v>13</v>
      </c>
      <c r="E828">
        <v>57</v>
      </c>
      <c r="F828">
        <v>56</v>
      </c>
      <c r="G828" t="s">
        <v>4798</v>
      </c>
      <c r="H828" t="s">
        <v>4804</v>
      </c>
      <c r="I828">
        <v>13.99</v>
      </c>
      <c r="J828">
        <v>1</v>
      </c>
      <c r="K828">
        <v>1.9</v>
      </c>
      <c r="L828">
        <v>0</v>
      </c>
      <c r="M828" t="s">
        <v>4808</v>
      </c>
      <c r="N828" t="s">
        <v>4900</v>
      </c>
      <c r="O828" t="s">
        <v>4912</v>
      </c>
    </row>
    <row r="829" spans="1:15" x14ac:dyDescent="0.35">
      <c r="A829" t="s">
        <v>834</v>
      </c>
      <c r="B829">
        <v>56</v>
      </c>
      <c r="C829" t="s">
        <v>4802</v>
      </c>
      <c r="D829" t="s">
        <v>13</v>
      </c>
      <c r="E829">
        <v>45</v>
      </c>
      <c r="F829">
        <v>39</v>
      </c>
      <c r="G829" t="s">
        <v>4799</v>
      </c>
      <c r="H829" t="s">
        <v>4805</v>
      </c>
      <c r="I829">
        <v>13.99</v>
      </c>
      <c r="J829">
        <v>3</v>
      </c>
      <c r="K829">
        <v>1.5</v>
      </c>
      <c r="L829">
        <v>0</v>
      </c>
      <c r="M829" t="s">
        <v>4811</v>
      </c>
      <c r="N829" t="s">
        <v>4900</v>
      </c>
      <c r="O829" t="s">
        <v>4911</v>
      </c>
    </row>
    <row r="830" spans="1:15" x14ac:dyDescent="0.35">
      <c r="A830" t="s">
        <v>835</v>
      </c>
      <c r="B830">
        <v>33</v>
      </c>
      <c r="C830" t="s">
        <v>4803</v>
      </c>
      <c r="D830" t="s">
        <v>13</v>
      </c>
      <c r="E830">
        <v>55</v>
      </c>
      <c r="F830">
        <v>9</v>
      </c>
      <c r="G830" t="s">
        <v>4798</v>
      </c>
      <c r="H830" t="s">
        <v>4805</v>
      </c>
      <c r="I830">
        <v>13.99</v>
      </c>
      <c r="J830">
        <v>3</v>
      </c>
      <c r="K830">
        <v>1.83</v>
      </c>
      <c r="L830">
        <v>0</v>
      </c>
      <c r="M830" t="s">
        <v>4811</v>
      </c>
      <c r="N830" t="s">
        <v>4900</v>
      </c>
      <c r="O830" t="s">
        <v>4912</v>
      </c>
    </row>
    <row r="831" spans="1:15" x14ac:dyDescent="0.35">
      <c r="A831" t="s">
        <v>836</v>
      </c>
      <c r="B831">
        <v>48</v>
      </c>
      <c r="C831" t="s">
        <v>4803</v>
      </c>
      <c r="D831" t="s">
        <v>13</v>
      </c>
      <c r="E831">
        <v>64</v>
      </c>
      <c r="F831">
        <v>33</v>
      </c>
      <c r="G831" t="s">
        <v>4799</v>
      </c>
      <c r="H831" t="s">
        <v>4804</v>
      </c>
      <c r="I831">
        <v>13.99</v>
      </c>
      <c r="J831">
        <v>1</v>
      </c>
      <c r="K831">
        <v>2.13</v>
      </c>
      <c r="L831">
        <v>1</v>
      </c>
      <c r="M831" t="s">
        <v>4811</v>
      </c>
      <c r="N831" t="s">
        <v>4899</v>
      </c>
      <c r="O831" t="s">
        <v>4910</v>
      </c>
    </row>
    <row r="832" spans="1:15" x14ac:dyDescent="0.35">
      <c r="A832" t="s">
        <v>837</v>
      </c>
      <c r="B832">
        <v>23</v>
      </c>
      <c r="C832" t="s">
        <v>4802</v>
      </c>
      <c r="D832" t="s">
        <v>13</v>
      </c>
      <c r="E832">
        <v>72</v>
      </c>
      <c r="F832">
        <v>39</v>
      </c>
      <c r="G832" t="s">
        <v>4797</v>
      </c>
      <c r="H832" t="s">
        <v>4805</v>
      </c>
      <c r="I832">
        <v>13.99</v>
      </c>
      <c r="J832">
        <v>4</v>
      </c>
      <c r="K832">
        <v>2.4</v>
      </c>
      <c r="L832">
        <v>0</v>
      </c>
      <c r="M832" t="s">
        <v>4808</v>
      </c>
      <c r="N832" t="s">
        <v>4900</v>
      </c>
      <c r="O832" t="s">
        <v>4912</v>
      </c>
    </row>
    <row r="833" spans="1:15" x14ac:dyDescent="0.35">
      <c r="A833" t="s">
        <v>838</v>
      </c>
      <c r="B833">
        <v>45</v>
      </c>
      <c r="C833" t="s">
        <v>4803</v>
      </c>
      <c r="D833" t="s">
        <v>13</v>
      </c>
      <c r="E833">
        <v>62</v>
      </c>
      <c r="F833">
        <v>32</v>
      </c>
      <c r="G833" t="s">
        <v>4797</v>
      </c>
      <c r="H833" t="s">
        <v>4805</v>
      </c>
      <c r="I833">
        <v>13.99</v>
      </c>
      <c r="J833">
        <v>2</v>
      </c>
      <c r="K833">
        <v>2.0699999999999998</v>
      </c>
      <c r="L833">
        <v>0</v>
      </c>
      <c r="M833" t="s">
        <v>4812</v>
      </c>
      <c r="N833" t="s">
        <v>4900</v>
      </c>
      <c r="O833" t="s">
        <v>4910</v>
      </c>
    </row>
    <row r="834" spans="1:15" x14ac:dyDescent="0.35">
      <c r="A834" t="s">
        <v>839</v>
      </c>
      <c r="B834">
        <v>28</v>
      </c>
      <c r="C834" t="s">
        <v>4803</v>
      </c>
      <c r="D834" t="s">
        <v>13</v>
      </c>
      <c r="E834">
        <v>46</v>
      </c>
      <c r="F834">
        <v>32</v>
      </c>
      <c r="G834" t="s">
        <v>4800</v>
      </c>
      <c r="H834" t="s">
        <v>4805</v>
      </c>
      <c r="I834">
        <v>13.99</v>
      </c>
      <c r="J834">
        <v>3</v>
      </c>
      <c r="K834">
        <v>1.53</v>
      </c>
      <c r="L834">
        <v>1</v>
      </c>
      <c r="M834" t="s">
        <v>4811</v>
      </c>
      <c r="N834" t="s">
        <v>4899</v>
      </c>
      <c r="O834" t="s">
        <v>4912</v>
      </c>
    </row>
    <row r="835" spans="1:15" x14ac:dyDescent="0.35">
      <c r="A835" t="s">
        <v>840</v>
      </c>
      <c r="B835">
        <v>54</v>
      </c>
      <c r="C835" t="s">
        <v>4803</v>
      </c>
      <c r="D835" t="s">
        <v>13</v>
      </c>
      <c r="E835">
        <v>50</v>
      </c>
      <c r="F835">
        <v>38</v>
      </c>
      <c r="G835" t="s">
        <v>4799</v>
      </c>
      <c r="H835" t="s">
        <v>4804</v>
      </c>
      <c r="I835">
        <v>13.99</v>
      </c>
      <c r="J835">
        <v>4</v>
      </c>
      <c r="K835">
        <v>1.67</v>
      </c>
      <c r="L835">
        <v>0</v>
      </c>
      <c r="M835" t="s">
        <v>4811</v>
      </c>
      <c r="N835" t="s">
        <v>4900</v>
      </c>
      <c r="O835" t="s">
        <v>4910</v>
      </c>
    </row>
    <row r="836" spans="1:15" x14ac:dyDescent="0.35">
      <c r="A836" t="s">
        <v>841</v>
      </c>
      <c r="B836">
        <v>51</v>
      </c>
      <c r="C836" t="s">
        <v>4802</v>
      </c>
      <c r="D836" t="s">
        <v>13</v>
      </c>
      <c r="E836">
        <v>68</v>
      </c>
      <c r="F836">
        <v>40</v>
      </c>
      <c r="G836" t="s">
        <v>4799</v>
      </c>
      <c r="H836" t="s">
        <v>4805</v>
      </c>
      <c r="I836">
        <v>13.99</v>
      </c>
      <c r="J836">
        <v>2</v>
      </c>
      <c r="K836">
        <v>2.27</v>
      </c>
      <c r="L836">
        <v>0</v>
      </c>
      <c r="M836" t="s">
        <v>4808</v>
      </c>
      <c r="N836" t="s">
        <v>4900</v>
      </c>
      <c r="O836" t="s">
        <v>4910</v>
      </c>
    </row>
    <row r="837" spans="1:15" x14ac:dyDescent="0.35">
      <c r="A837" t="s">
        <v>842</v>
      </c>
      <c r="B837">
        <v>24</v>
      </c>
      <c r="C837" t="s">
        <v>4803</v>
      </c>
      <c r="D837" t="s">
        <v>15</v>
      </c>
      <c r="E837">
        <v>103</v>
      </c>
      <c r="F837">
        <v>50</v>
      </c>
      <c r="G837" t="s">
        <v>4799</v>
      </c>
      <c r="H837" t="s">
        <v>4805</v>
      </c>
      <c r="I837">
        <v>17.989999999999998</v>
      </c>
      <c r="J837">
        <v>4</v>
      </c>
      <c r="K837">
        <v>2.0299999999999998</v>
      </c>
      <c r="L837">
        <v>0</v>
      </c>
      <c r="M837" t="s">
        <v>4812</v>
      </c>
      <c r="N837" t="s">
        <v>4900</v>
      </c>
      <c r="O837" t="s">
        <v>4912</v>
      </c>
    </row>
    <row r="838" spans="1:15" x14ac:dyDescent="0.35">
      <c r="A838" t="s">
        <v>843</v>
      </c>
      <c r="B838">
        <v>51</v>
      </c>
      <c r="C838" t="s">
        <v>4803</v>
      </c>
      <c r="D838" t="s">
        <v>14</v>
      </c>
      <c r="E838">
        <v>31</v>
      </c>
      <c r="F838">
        <v>51</v>
      </c>
      <c r="G838" t="s">
        <v>4798</v>
      </c>
      <c r="H838" t="s">
        <v>4805</v>
      </c>
      <c r="I838">
        <v>8.99</v>
      </c>
      <c r="J838">
        <v>2</v>
      </c>
      <c r="K838">
        <v>2.0299999999999998</v>
      </c>
      <c r="L838">
        <v>0</v>
      </c>
      <c r="M838" t="s">
        <v>4811</v>
      </c>
      <c r="N838" t="s">
        <v>4900</v>
      </c>
      <c r="O838" t="s">
        <v>4910</v>
      </c>
    </row>
    <row r="839" spans="1:15" x14ac:dyDescent="0.35">
      <c r="A839" t="s">
        <v>844</v>
      </c>
      <c r="B839">
        <v>20</v>
      </c>
      <c r="C839" t="s">
        <v>4802</v>
      </c>
      <c r="D839" t="s">
        <v>15</v>
      </c>
      <c r="E839">
        <v>68</v>
      </c>
      <c r="F839">
        <v>46</v>
      </c>
      <c r="G839" t="s">
        <v>4798</v>
      </c>
      <c r="H839" t="s">
        <v>4804</v>
      </c>
      <c r="I839">
        <v>17.989999999999998</v>
      </c>
      <c r="J839">
        <v>5</v>
      </c>
      <c r="K839">
        <v>2.27</v>
      </c>
      <c r="L839">
        <v>0</v>
      </c>
      <c r="M839" t="s">
        <v>4811</v>
      </c>
      <c r="N839" t="s">
        <v>4900</v>
      </c>
      <c r="O839" t="s">
        <v>4912</v>
      </c>
    </row>
    <row r="840" spans="1:15" x14ac:dyDescent="0.35">
      <c r="A840" t="s">
        <v>845</v>
      </c>
      <c r="B840">
        <v>18</v>
      </c>
      <c r="C840" t="s">
        <v>4802</v>
      </c>
      <c r="D840" t="s">
        <v>13</v>
      </c>
      <c r="E840">
        <v>55</v>
      </c>
      <c r="F840">
        <v>14</v>
      </c>
      <c r="G840" t="s">
        <v>4797</v>
      </c>
      <c r="H840" t="s">
        <v>4804</v>
      </c>
      <c r="I840">
        <v>13.99</v>
      </c>
      <c r="J840">
        <v>1</v>
      </c>
      <c r="K840">
        <v>1.83</v>
      </c>
      <c r="L840">
        <v>0</v>
      </c>
      <c r="M840" t="s">
        <v>4808</v>
      </c>
      <c r="N840" t="s">
        <v>4900</v>
      </c>
      <c r="O840" t="s">
        <v>4912</v>
      </c>
    </row>
    <row r="841" spans="1:15" x14ac:dyDescent="0.35">
      <c r="A841" t="s">
        <v>846</v>
      </c>
      <c r="B841">
        <v>36</v>
      </c>
      <c r="C841" t="s">
        <v>4802</v>
      </c>
      <c r="D841" t="s">
        <v>13</v>
      </c>
      <c r="E841">
        <v>69</v>
      </c>
      <c r="F841">
        <v>49</v>
      </c>
      <c r="G841" t="s">
        <v>4797</v>
      </c>
      <c r="H841" t="s">
        <v>4805</v>
      </c>
      <c r="I841">
        <v>13.99</v>
      </c>
      <c r="J841">
        <v>2</v>
      </c>
      <c r="K841">
        <v>2.2999999999999998</v>
      </c>
      <c r="L841">
        <v>0</v>
      </c>
      <c r="M841" t="s">
        <v>4809</v>
      </c>
      <c r="N841" t="s">
        <v>4900</v>
      </c>
      <c r="O841" t="s">
        <v>4910</v>
      </c>
    </row>
    <row r="842" spans="1:15" x14ac:dyDescent="0.35">
      <c r="A842" t="s">
        <v>847</v>
      </c>
      <c r="B842">
        <v>25</v>
      </c>
      <c r="C842" t="s">
        <v>4803</v>
      </c>
      <c r="D842" t="s">
        <v>13</v>
      </c>
      <c r="E842">
        <v>40</v>
      </c>
      <c r="F842">
        <v>28</v>
      </c>
      <c r="G842" t="s">
        <v>4797</v>
      </c>
      <c r="H842" t="s">
        <v>4804</v>
      </c>
      <c r="I842">
        <v>13.99</v>
      </c>
      <c r="J842">
        <v>4</v>
      </c>
      <c r="K842">
        <v>1.33</v>
      </c>
      <c r="L842">
        <v>0</v>
      </c>
      <c r="M842" t="s">
        <v>4808</v>
      </c>
      <c r="N842" t="s">
        <v>4900</v>
      </c>
      <c r="O842" t="s">
        <v>4912</v>
      </c>
    </row>
    <row r="843" spans="1:15" x14ac:dyDescent="0.35">
      <c r="A843" t="s">
        <v>848</v>
      </c>
      <c r="B843">
        <v>52</v>
      </c>
      <c r="C843" t="s">
        <v>4802</v>
      </c>
      <c r="D843" t="s">
        <v>13</v>
      </c>
      <c r="E843">
        <v>57</v>
      </c>
      <c r="F843">
        <v>46</v>
      </c>
      <c r="G843" t="s">
        <v>4798</v>
      </c>
      <c r="H843" t="s">
        <v>4804</v>
      </c>
      <c r="I843">
        <v>13.99</v>
      </c>
      <c r="J843">
        <v>3</v>
      </c>
      <c r="K843">
        <v>1.9</v>
      </c>
      <c r="L843">
        <v>0</v>
      </c>
      <c r="M843" t="s">
        <v>4810</v>
      </c>
      <c r="N843" t="s">
        <v>4900</v>
      </c>
      <c r="O843" t="s">
        <v>4910</v>
      </c>
    </row>
    <row r="844" spans="1:15" x14ac:dyDescent="0.35">
      <c r="A844" t="s">
        <v>849</v>
      </c>
      <c r="B844">
        <v>27</v>
      </c>
      <c r="C844" t="s">
        <v>4802</v>
      </c>
      <c r="D844" t="s">
        <v>15</v>
      </c>
      <c r="E844">
        <v>106</v>
      </c>
      <c r="F844">
        <v>32</v>
      </c>
      <c r="G844" t="s">
        <v>4797</v>
      </c>
      <c r="H844" t="s">
        <v>4805</v>
      </c>
      <c r="I844">
        <v>17.989999999999998</v>
      </c>
      <c r="J844">
        <v>3</v>
      </c>
      <c r="K844">
        <v>3.53</v>
      </c>
      <c r="L844">
        <v>0</v>
      </c>
      <c r="M844" t="s">
        <v>4810</v>
      </c>
      <c r="N844" t="s">
        <v>4900</v>
      </c>
      <c r="O844" t="s">
        <v>4912</v>
      </c>
    </row>
    <row r="845" spans="1:15" x14ac:dyDescent="0.35">
      <c r="A845" t="s">
        <v>850</v>
      </c>
      <c r="B845">
        <v>31</v>
      </c>
      <c r="C845" t="s">
        <v>4803</v>
      </c>
      <c r="D845" t="s">
        <v>13</v>
      </c>
      <c r="E845">
        <v>71</v>
      </c>
      <c r="F845">
        <v>6</v>
      </c>
      <c r="G845" t="s">
        <v>4799</v>
      </c>
      <c r="H845" t="s">
        <v>4805</v>
      </c>
      <c r="I845">
        <v>13.99</v>
      </c>
      <c r="J845">
        <v>4</v>
      </c>
      <c r="K845">
        <v>2.37</v>
      </c>
      <c r="L845">
        <v>0</v>
      </c>
      <c r="M845" t="s">
        <v>4808</v>
      </c>
      <c r="N845" t="s">
        <v>4900</v>
      </c>
      <c r="O845" t="s">
        <v>4912</v>
      </c>
    </row>
    <row r="846" spans="1:15" x14ac:dyDescent="0.35">
      <c r="A846" t="s">
        <v>851</v>
      </c>
      <c r="B846">
        <v>49</v>
      </c>
      <c r="C846" t="s">
        <v>4802</v>
      </c>
      <c r="D846" t="s">
        <v>13</v>
      </c>
      <c r="E846">
        <v>53</v>
      </c>
      <c r="F846">
        <v>24</v>
      </c>
      <c r="G846" t="s">
        <v>4799</v>
      </c>
      <c r="H846" t="s">
        <v>4804</v>
      </c>
      <c r="I846">
        <v>13.99</v>
      </c>
      <c r="J846">
        <v>1</v>
      </c>
      <c r="K846">
        <v>1.77</v>
      </c>
      <c r="L846">
        <v>0</v>
      </c>
      <c r="M846" t="s">
        <v>4809</v>
      </c>
      <c r="N846" t="s">
        <v>4900</v>
      </c>
      <c r="O846" t="s">
        <v>4910</v>
      </c>
    </row>
    <row r="847" spans="1:15" x14ac:dyDescent="0.35">
      <c r="A847" t="s">
        <v>852</v>
      </c>
      <c r="B847">
        <v>46</v>
      </c>
      <c r="C847" t="s">
        <v>4803</v>
      </c>
      <c r="D847" t="s">
        <v>13</v>
      </c>
      <c r="E847">
        <v>58</v>
      </c>
      <c r="F847">
        <v>31</v>
      </c>
      <c r="G847" t="s">
        <v>4799</v>
      </c>
      <c r="H847" t="s">
        <v>4807</v>
      </c>
      <c r="I847">
        <v>13.99</v>
      </c>
      <c r="J847">
        <v>1</v>
      </c>
      <c r="K847">
        <v>2.0299999999999998</v>
      </c>
      <c r="L847">
        <v>0</v>
      </c>
      <c r="M847" t="s">
        <v>4811</v>
      </c>
      <c r="N847" t="s">
        <v>4900</v>
      </c>
      <c r="O847" t="s">
        <v>4910</v>
      </c>
    </row>
    <row r="848" spans="1:15" x14ac:dyDescent="0.35">
      <c r="A848" t="s">
        <v>853</v>
      </c>
      <c r="B848">
        <v>43</v>
      </c>
      <c r="C848" t="s">
        <v>4803</v>
      </c>
      <c r="D848" t="s">
        <v>15</v>
      </c>
      <c r="E848">
        <v>70</v>
      </c>
      <c r="F848">
        <v>52</v>
      </c>
      <c r="G848" t="s">
        <v>4800</v>
      </c>
      <c r="H848" t="s">
        <v>4805</v>
      </c>
      <c r="I848">
        <v>17.989999999999998</v>
      </c>
      <c r="J848">
        <v>5</v>
      </c>
      <c r="K848">
        <v>2.33</v>
      </c>
      <c r="L848">
        <v>1</v>
      </c>
      <c r="M848" t="s">
        <v>4810</v>
      </c>
      <c r="N848" t="s">
        <v>4899</v>
      </c>
      <c r="O848" t="s">
        <v>4910</v>
      </c>
    </row>
    <row r="849" spans="1:15" x14ac:dyDescent="0.35">
      <c r="A849" t="s">
        <v>854</v>
      </c>
      <c r="B849">
        <v>45</v>
      </c>
      <c r="C849" t="s">
        <v>4802</v>
      </c>
      <c r="D849" t="s">
        <v>13</v>
      </c>
      <c r="E849">
        <v>75</v>
      </c>
      <c r="F849">
        <v>46</v>
      </c>
      <c r="G849" t="s">
        <v>4798</v>
      </c>
      <c r="H849" t="s">
        <v>4805</v>
      </c>
      <c r="I849">
        <v>13.99</v>
      </c>
      <c r="J849">
        <v>2</v>
      </c>
      <c r="K849">
        <v>2.5</v>
      </c>
      <c r="L849">
        <v>0</v>
      </c>
      <c r="M849" t="s">
        <v>4808</v>
      </c>
      <c r="N849" t="s">
        <v>4900</v>
      </c>
      <c r="O849" t="s">
        <v>4910</v>
      </c>
    </row>
    <row r="850" spans="1:15" x14ac:dyDescent="0.35">
      <c r="A850" t="s">
        <v>855</v>
      </c>
      <c r="B850">
        <v>43</v>
      </c>
      <c r="C850" t="s">
        <v>4802</v>
      </c>
      <c r="D850" t="s">
        <v>13</v>
      </c>
      <c r="E850">
        <v>49</v>
      </c>
      <c r="F850">
        <v>48</v>
      </c>
      <c r="G850" t="s">
        <v>4797</v>
      </c>
      <c r="H850" t="s">
        <v>4806</v>
      </c>
      <c r="I850">
        <v>13.99</v>
      </c>
      <c r="J850">
        <v>4</v>
      </c>
      <c r="K850">
        <v>1.63</v>
      </c>
      <c r="L850">
        <v>0</v>
      </c>
      <c r="M850" t="s">
        <v>4811</v>
      </c>
      <c r="N850" t="s">
        <v>4900</v>
      </c>
      <c r="O850" t="s">
        <v>4910</v>
      </c>
    </row>
    <row r="851" spans="1:15" x14ac:dyDescent="0.35">
      <c r="A851" t="s">
        <v>856</v>
      </c>
      <c r="B851">
        <v>18</v>
      </c>
      <c r="C851" t="s">
        <v>4803</v>
      </c>
      <c r="D851" t="s">
        <v>13</v>
      </c>
      <c r="E851">
        <v>48</v>
      </c>
      <c r="F851">
        <v>56</v>
      </c>
      <c r="G851" t="s">
        <v>4798</v>
      </c>
      <c r="H851" t="s">
        <v>4804</v>
      </c>
      <c r="I851">
        <v>13.99</v>
      </c>
      <c r="J851">
        <v>3</v>
      </c>
      <c r="K851">
        <v>1.6</v>
      </c>
      <c r="L851">
        <v>0</v>
      </c>
      <c r="M851" t="s">
        <v>4810</v>
      </c>
      <c r="N851" t="s">
        <v>4900</v>
      </c>
      <c r="O851" t="s">
        <v>4912</v>
      </c>
    </row>
    <row r="852" spans="1:15" x14ac:dyDescent="0.35">
      <c r="A852" t="s">
        <v>857</v>
      </c>
      <c r="B852">
        <v>26</v>
      </c>
      <c r="C852" t="s">
        <v>4802</v>
      </c>
      <c r="D852" t="s">
        <v>13</v>
      </c>
      <c r="E852">
        <v>64</v>
      </c>
      <c r="F852">
        <v>5</v>
      </c>
      <c r="G852" t="s">
        <v>4797</v>
      </c>
      <c r="H852" t="s">
        <v>4805</v>
      </c>
      <c r="I852">
        <v>13.99</v>
      </c>
      <c r="J852">
        <v>3</v>
      </c>
      <c r="K852">
        <v>2.0299999999999998</v>
      </c>
      <c r="L852">
        <v>0</v>
      </c>
      <c r="M852" t="s">
        <v>4809</v>
      </c>
      <c r="N852" t="s">
        <v>4900</v>
      </c>
      <c r="O852" t="s">
        <v>4912</v>
      </c>
    </row>
    <row r="853" spans="1:15" x14ac:dyDescent="0.35">
      <c r="A853" t="s">
        <v>858</v>
      </c>
      <c r="B853">
        <v>47</v>
      </c>
      <c r="C853" t="s">
        <v>4802</v>
      </c>
      <c r="D853" t="s">
        <v>15</v>
      </c>
      <c r="E853">
        <v>102</v>
      </c>
      <c r="F853">
        <v>14</v>
      </c>
      <c r="G853" t="s">
        <v>4798</v>
      </c>
      <c r="H853" t="s">
        <v>4806</v>
      </c>
      <c r="I853">
        <v>17.989999999999998</v>
      </c>
      <c r="J853">
        <v>3</v>
      </c>
      <c r="K853">
        <v>3.4</v>
      </c>
      <c r="L853">
        <v>0</v>
      </c>
      <c r="M853" t="s">
        <v>4809</v>
      </c>
      <c r="N853" t="s">
        <v>4900</v>
      </c>
      <c r="O853" t="s">
        <v>4910</v>
      </c>
    </row>
    <row r="854" spans="1:15" x14ac:dyDescent="0.35">
      <c r="A854" t="s">
        <v>859</v>
      </c>
      <c r="B854">
        <v>49</v>
      </c>
      <c r="C854" t="s">
        <v>4803</v>
      </c>
      <c r="D854" t="s">
        <v>13</v>
      </c>
      <c r="E854">
        <v>38</v>
      </c>
      <c r="F854">
        <v>12</v>
      </c>
      <c r="G854" t="s">
        <v>4798</v>
      </c>
      <c r="H854" t="s">
        <v>4805</v>
      </c>
      <c r="I854">
        <v>13.99</v>
      </c>
      <c r="J854">
        <v>1</v>
      </c>
      <c r="K854">
        <v>1.27</v>
      </c>
      <c r="L854">
        <v>0</v>
      </c>
      <c r="M854" t="s">
        <v>4812</v>
      </c>
      <c r="N854" t="s">
        <v>4900</v>
      </c>
      <c r="O854" t="s">
        <v>4910</v>
      </c>
    </row>
    <row r="855" spans="1:15" x14ac:dyDescent="0.35">
      <c r="A855" t="s">
        <v>860</v>
      </c>
      <c r="B855">
        <v>64</v>
      </c>
      <c r="C855" t="s">
        <v>4803</v>
      </c>
      <c r="D855" t="s">
        <v>13</v>
      </c>
      <c r="E855">
        <v>47</v>
      </c>
      <c r="F855">
        <v>48</v>
      </c>
      <c r="G855" t="s">
        <v>4797</v>
      </c>
      <c r="H855" t="s">
        <v>4804</v>
      </c>
      <c r="I855">
        <v>13.99</v>
      </c>
      <c r="J855">
        <v>3</v>
      </c>
      <c r="K855">
        <v>1.57</v>
      </c>
      <c r="L855">
        <v>0</v>
      </c>
      <c r="M855" t="s">
        <v>4810</v>
      </c>
      <c r="N855" t="s">
        <v>4900</v>
      </c>
      <c r="O855" t="s">
        <v>4911</v>
      </c>
    </row>
    <row r="856" spans="1:15" x14ac:dyDescent="0.35">
      <c r="A856" t="s">
        <v>861</v>
      </c>
      <c r="B856">
        <v>38</v>
      </c>
      <c r="C856" t="s">
        <v>4803</v>
      </c>
      <c r="D856" t="s">
        <v>13</v>
      </c>
      <c r="E856">
        <v>79</v>
      </c>
      <c r="F856">
        <v>36</v>
      </c>
      <c r="G856" t="s">
        <v>4800</v>
      </c>
      <c r="H856" t="s">
        <v>4806</v>
      </c>
      <c r="I856">
        <v>13.99</v>
      </c>
      <c r="J856">
        <v>3</v>
      </c>
      <c r="K856">
        <v>2.63</v>
      </c>
      <c r="L856">
        <v>1</v>
      </c>
      <c r="M856" t="s">
        <v>4811</v>
      </c>
      <c r="N856" t="s">
        <v>4899</v>
      </c>
      <c r="O856" t="s">
        <v>4910</v>
      </c>
    </row>
    <row r="857" spans="1:15" x14ac:dyDescent="0.35">
      <c r="A857" t="s">
        <v>862</v>
      </c>
      <c r="B857">
        <v>47</v>
      </c>
      <c r="C857" t="s">
        <v>4803</v>
      </c>
      <c r="D857" t="s">
        <v>15</v>
      </c>
      <c r="E857">
        <v>94</v>
      </c>
      <c r="F857">
        <v>47</v>
      </c>
      <c r="G857" t="s">
        <v>4799</v>
      </c>
      <c r="H857" t="s">
        <v>4805</v>
      </c>
      <c r="I857">
        <v>17.989999999999998</v>
      </c>
      <c r="J857">
        <v>5</v>
      </c>
      <c r="K857">
        <v>3.13</v>
      </c>
      <c r="L857">
        <v>0</v>
      </c>
      <c r="M857" t="s">
        <v>4808</v>
      </c>
      <c r="N857" t="s">
        <v>4900</v>
      </c>
      <c r="O857" t="s">
        <v>4910</v>
      </c>
    </row>
    <row r="858" spans="1:15" x14ac:dyDescent="0.35">
      <c r="A858" t="s">
        <v>863</v>
      </c>
      <c r="B858">
        <v>44</v>
      </c>
      <c r="C858" t="s">
        <v>4802</v>
      </c>
      <c r="D858" t="s">
        <v>13</v>
      </c>
      <c r="E858">
        <v>65</v>
      </c>
      <c r="F858">
        <v>10</v>
      </c>
      <c r="G858" t="s">
        <v>4797</v>
      </c>
      <c r="H858" t="s">
        <v>4805</v>
      </c>
      <c r="I858">
        <v>13.99</v>
      </c>
      <c r="J858">
        <v>1</v>
      </c>
      <c r="K858">
        <v>2.17</v>
      </c>
      <c r="L858">
        <v>0</v>
      </c>
      <c r="M858" t="s">
        <v>4810</v>
      </c>
      <c r="N858" t="s">
        <v>4900</v>
      </c>
      <c r="O858" t="s">
        <v>4910</v>
      </c>
    </row>
    <row r="859" spans="1:15" x14ac:dyDescent="0.35">
      <c r="A859" t="s">
        <v>864</v>
      </c>
      <c r="B859">
        <v>46</v>
      </c>
      <c r="C859" t="s">
        <v>4803</v>
      </c>
      <c r="D859" t="s">
        <v>13</v>
      </c>
      <c r="E859">
        <v>63</v>
      </c>
      <c r="F859">
        <v>23</v>
      </c>
      <c r="G859" t="s">
        <v>4798</v>
      </c>
      <c r="H859" t="s">
        <v>4805</v>
      </c>
      <c r="I859">
        <v>13.99</v>
      </c>
      <c r="J859">
        <v>3</v>
      </c>
      <c r="K859">
        <v>2.0299999999999998</v>
      </c>
      <c r="L859">
        <v>1</v>
      </c>
      <c r="M859" t="s">
        <v>4810</v>
      </c>
      <c r="N859" t="s">
        <v>4899</v>
      </c>
      <c r="O859" t="s">
        <v>4910</v>
      </c>
    </row>
    <row r="860" spans="1:15" x14ac:dyDescent="0.35">
      <c r="A860" t="s">
        <v>865</v>
      </c>
      <c r="B860">
        <v>38</v>
      </c>
      <c r="C860" t="s">
        <v>4803</v>
      </c>
      <c r="D860" t="s">
        <v>13</v>
      </c>
      <c r="E860">
        <v>30</v>
      </c>
      <c r="F860">
        <v>7</v>
      </c>
      <c r="G860" t="s">
        <v>4799</v>
      </c>
      <c r="H860" t="s">
        <v>4804</v>
      </c>
      <c r="I860">
        <v>13.99</v>
      </c>
      <c r="J860">
        <v>3</v>
      </c>
      <c r="K860">
        <v>1</v>
      </c>
      <c r="L860">
        <v>0</v>
      </c>
      <c r="M860" t="s">
        <v>4812</v>
      </c>
      <c r="N860" t="s">
        <v>4900</v>
      </c>
      <c r="O860" t="s">
        <v>4910</v>
      </c>
    </row>
    <row r="861" spans="1:15" x14ac:dyDescent="0.35">
      <c r="A861" t="s">
        <v>866</v>
      </c>
      <c r="B861">
        <v>57</v>
      </c>
      <c r="C861" t="s">
        <v>4802</v>
      </c>
      <c r="D861" t="s">
        <v>13</v>
      </c>
      <c r="E861">
        <v>47</v>
      </c>
      <c r="F861">
        <v>17</v>
      </c>
      <c r="G861" t="s">
        <v>4798</v>
      </c>
      <c r="H861" t="s">
        <v>4806</v>
      </c>
      <c r="I861">
        <v>13.99</v>
      </c>
      <c r="J861">
        <v>2</v>
      </c>
      <c r="K861">
        <v>1.57</v>
      </c>
      <c r="L861">
        <v>0</v>
      </c>
      <c r="M861" t="s">
        <v>4811</v>
      </c>
      <c r="N861" t="s">
        <v>4900</v>
      </c>
      <c r="O861" t="s">
        <v>4911</v>
      </c>
    </row>
    <row r="862" spans="1:15" x14ac:dyDescent="0.35">
      <c r="A862" t="s">
        <v>867</v>
      </c>
      <c r="B862">
        <v>53</v>
      </c>
      <c r="C862" t="s">
        <v>4802</v>
      </c>
      <c r="D862" t="s">
        <v>13</v>
      </c>
      <c r="E862">
        <v>61</v>
      </c>
      <c r="F862">
        <v>17</v>
      </c>
      <c r="G862" t="s">
        <v>4797</v>
      </c>
      <c r="H862" t="s">
        <v>4805</v>
      </c>
      <c r="I862">
        <v>13.99</v>
      </c>
      <c r="J862">
        <v>1</v>
      </c>
      <c r="K862">
        <v>2.0299999999999998</v>
      </c>
      <c r="L862">
        <v>0</v>
      </c>
      <c r="M862" t="s">
        <v>4811</v>
      </c>
      <c r="N862" t="s">
        <v>4900</v>
      </c>
      <c r="O862" t="s">
        <v>4910</v>
      </c>
    </row>
    <row r="863" spans="1:15" x14ac:dyDescent="0.35">
      <c r="A863" t="s">
        <v>868</v>
      </c>
      <c r="B863">
        <v>29</v>
      </c>
      <c r="C863" t="s">
        <v>4802</v>
      </c>
      <c r="D863" t="s">
        <v>15</v>
      </c>
      <c r="E863">
        <v>68</v>
      </c>
      <c r="F863">
        <v>7</v>
      </c>
      <c r="G863" t="s">
        <v>4798</v>
      </c>
      <c r="H863" t="s">
        <v>4804</v>
      </c>
      <c r="I863">
        <v>17.989999999999998</v>
      </c>
      <c r="J863">
        <v>4</v>
      </c>
      <c r="K863">
        <v>2.0299999999999998</v>
      </c>
      <c r="L863">
        <v>1</v>
      </c>
      <c r="M863" t="s">
        <v>4809</v>
      </c>
      <c r="N863" t="s">
        <v>4899</v>
      </c>
      <c r="O863" t="s">
        <v>4912</v>
      </c>
    </row>
    <row r="864" spans="1:15" x14ac:dyDescent="0.35">
      <c r="A864" t="s">
        <v>869</v>
      </c>
      <c r="B864">
        <v>56</v>
      </c>
      <c r="C864" t="s">
        <v>4803</v>
      </c>
      <c r="D864" t="s">
        <v>15</v>
      </c>
      <c r="E864">
        <v>64</v>
      </c>
      <c r="F864">
        <v>26</v>
      </c>
      <c r="G864" t="s">
        <v>4798</v>
      </c>
      <c r="H864" t="s">
        <v>4804</v>
      </c>
      <c r="I864">
        <v>17.989999999999998</v>
      </c>
      <c r="J864">
        <v>2</v>
      </c>
      <c r="K864">
        <v>2.13</v>
      </c>
      <c r="L864">
        <v>0</v>
      </c>
      <c r="M864" t="s">
        <v>4811</v>
      </c>
      <c r="N864" t="s">
        <v>4900</v>
      </c>
      <c r="O864" t="s">
        <v>4911</v>
      </c>
    </row>
    <row r="865" spans="1:15" x14ac:dyDescent="0.35">
      <c r="A865" t="s">
        <v>870</v>
      </c>
      <c r="B865">
        <v>27</v>
      </c>
      <c r="C865" t="s">
        <v>4803</v>
      </c>
      <c r="D865" t="s">
        <v>15</v>
      </c>
      <c r="E865">
        <v>77</v>
      </c>
      <c r="F865">
        <v>20</v>
      </c>
      <c r="G865" t="s">
        <v>4799</v>
      </c>
      <c r="H865" t="s">
        <v>4805</v>
      </c>
      <c r="I865">
        <v>17.989999999999998</v>
      </c>
      <c r="J865">
        <v>2</v>
      </c>
      <c r="K865">
        <v>2.57</v>
      </c>
      <c r="L865">
        <v>0</v>
      </c>
      <c r="M865" t="s">
        <v>4810</v>
      </c>
      <c r="N865" t="s">
        <v>4900</v>
      </c>
      <c r="O865" t="s">
        <v>4912</v>
      </c>
    </row>
    <row r="866" spans="1:15" x14ac:dyDescent="0.35">
      <c r="A866" t="s">
        <v>871</v>
      </c>
      <c r="B866">
        <v>34</v>
      </c>
      <c r="C866" t="s">
        <v>4803</v>
      </c>
      <c r="D866" t="s">
        <v>13</v>
      </c>
      <c r="E866">
        <v>78</v>
      </c>
      <c r="F866">
        <v>9</v>
      </c>
      <c r="G866" t="s">
        <v>4797</v>
      </c>
      <c r="H866" t="s">
        <v>4805</v>
      </c>
      <c r="I866">
        <v>13.99</v>
      </c>
      <c r="J866">
        <v>3</v>
      </c>
      <c r="K866">
        <v>2.6</v>
      </c>
      <c r="L866">
        <v>1</v>
      </c>
      <c r="M866" t="s">
        <v>4811</v>
      </c>
      <c r="N866" t="s">
        <v>4899</v>
      </c>
      <c r="O866" t="s">
        <v>4912</v>
      </c>
    </row>
    <row r="867" spans="1:15" x14ac:dyDescent="0.35">
      <c r="A867" t="s">
        <v>872</v>
      </c>
      <c r="B867">
        <v>20</v>
      </c>
      <c r="C867" t="s">
        <v>4803</v>
      </c>
      <c r="D867" t="s">
        <v>13</v>
      </c>
      <c r="E867">
        <v>61</v>
      </c>
      <c r="F867">
        <v>31</v>
      </c>
      <c r="G867" t="s">
        <v>4797</v>
      </c>
      <c r="H867" t="s">
        <v>4804</v>
      </c>
      <c r="I867">
        <v>13.99</v>
      </c>
      <c r="J867">
        <v>4</v>
      </c>
      <c r="K867">
        <v>2.0299999999999998</v>
      </c>
      <c r="L867">
        <v>0</v>
      </c>
      <c r="M867" t="s">
        <v>4811</v>
      </c>
      <c r="N867" t="s">
        <v>4900</v>
      </c>
      <c r="O867" t="s">
        <v>4912</v>
      </c>
    </row>
    <row r="868" spans="1:15" x14ac:dyDescent="0.35">
      <c r="A868" t="s">
        <v>873</v>
      </c>
      <c r="B868">
        <v>47</v>
      </c>
      <c r="C868" t="s">
        <v>4803</v>
      </c>
      <c r="D868" t="s">
        <v>13</v>
      </c>
      <c r="E868">
        <v>45</v>
      </c>
      <c r="F868">
        <v>27</v>
      </c>
      <c r="G868" t="s">
        <v>4798</v>
      </c>
      <c r="H868" t="s">
        <v>4806</v>
      </c>
      <c r="I868">
        <v>13.99</v>
      </c>
      <c r="J868">
        <v>2</v>
      </c>
      <c r="K868">
        <v>1.5</v>
      </c>
      <c r="L868">
        <v>0</v>
      </c>
      <c r="M868" t="s">
        <v>4810</v>
      </c>
      <c r="N868" t="s">
        <v>4900</v>
      </c>
      <c r="O868" t="s">
        <v>4910</v>
      </c>
    </row>
    <row r="869" spans="1:15" x14ac:dyDescent="0.35">
      <c r="A869" t="s">
        <v>874</v>
      </c>
      <c r="B869">
        <v>48</v>
      </c>
      <c r="C869" t="s">
        <v>4803</v>
      </c>
      <c r="D869" t="s">
        <v>13</v>
      </c>
      <c r="E869">
        <v>67</v>
      </c>
      <c r="F869">
        <v>30</v>
      </c>
      <c r="G869" t="s">
        <v>4800</v>
      </c>
      <c r="H869" t="s">
        <v>4804</v>
      </c>
      <c r="I869">
        <v>13.99</v>
      </c>
      <c r="J869">
        <v>2</v>
      </c>
      <c r="K869">
        <v>2.23</v>
      </c>
      <c r="L869">
        <v>0</v>
      </c>
      <c r="M869" t="s">
        <v>4808</v>
      </c>
      <c r="N869" t="s">
        <v>4900</v>
      </c>
      <c r="O869" t="s">
        <v>4910</v>
      </c>
    </row>
    <row r="870" spans="1:15" x14ac:dyDescent="0.35">
      <c r="A870" t="s">
        <v>875</v>
      </c>
      <c r="B870">
        <v>52</v>
      </c>
      <c r="C870" t="s">
        <v>4803</v>
      </c>
      <c r="D870" t="s">
        <v>15</v>
      </c>
      <c r="E870">
        <v>82</v>
      </c>
      <c r="F870">
        <v>20</v>
      </c>
      <c r="G870" t="s">
        <v>4798</v>
      </c>
      <c r="H870" t="s">
        <v>4805</v>
      </c>
      <c r="I870">
        <v>17.989999999999998</v>
      </c>
      <c r="J870">
        <v>2</v>
      </c>
      <c r="K870">
        <v>2.73</v>
      </c>
      <c r="L870">
        <v>0</v>
      </c>
      <c r="M870" t="s">
        <v>4810</v>
      </c>
      <c r="N870" t="s">
        <v>4900</v>
      </c>
      <c r="O870" t="s">
        <v>4910</v>
      </c>
    </row>
    <row r="871" spans="1:15" x14ac:dyDescent="0.35">
      <c r="A871" t="s">
        <v>876</v>
      </c>
      <c r="B871">
        <v>48</v>
      </c>
      <c r="C871" t="s">
        <v>4802</v>
      </c>
      <c r="D871" t="s">
        <v>15</v>
      </c>
      <c r="E871">
        <v>70</v>
      </c>
      <c r="F871">
        <v>29</v>
      </c>
      <c r="G871" t="s">
        <v>4797</v>
      </c>
      <c r="H871" t="s">
        <v>4805</v>
      </c>
      <c r="I871">
        <v>17.989999999999998</v>
      </c>
      <c r="J871">
        <v>4</v>
      </c>
      <c r="K871">
        <v>2.33</v>
      </c>
      <c r="L871">
        <v>0</v>
      </c>
      <c r="M871" t="s">
        <v>4810</v>
      </c>
      <c r="N871" t="s">
        <v>4900</v>
      </c>
      <c r="O871" t="s">
        <v>4910</v>
      </c>
    </row>
    <row r="872" spans="1:15" x14ac:dyDescent="0.35">
      <c r="A872" t="s">
        <v>877</v>
      </c>
      <c r="B872">
        <v>57</v>
      </c>
      <c r="C872" t="s">
        <v>4802</v>
      </c>
      <c r="D872" t="s">
        <v>13</v>
      </c>
      <c r="E872">
        <v>66</v>
      </c>
      <c r="F872">
        <v>55</v>
      </c>
      <c r="G872" t="s">
        <v>4798</v>
      </c>
      <c r="H872" t="s">
        <v>4805</v>
      </c>
      <c r="I872">
        <v>13.99</v>
      </c>
      <c r="J872">
        <v>1</v>
      </c>
      <c r="K872">
        <v>5</v>
      </c>
      <c r="L872">
        <v>0</v>
      </c>
      <c r="M872" t="s">
        <v>4812</v>
      </c>
      <c r="N872" t="s">
        <v>4900</v>
      </c>
      <c r="O872" t="s">
        <v>4911</v>
      </c>
    </row>
    <row r="873" spans="1:15" x14ac:dyDescent="0.35">
      <c r="A873" t="s">
        <v>878</v>
      </c>
      <c r="B873">
        <v>54</v>
      </c>
      <c r="C873" t="s">
        <v>4803</v>
      </c>
      <c r="D873" t="s">
        <v>13</v>
      </c>
      <c r="E873">
        <v>79</v>
      </c>
      <c r="F873">
        <v>25</v>
      </c>
      <c r="G873" t="s">
        <v>4797</v>
      </c>
      <c r="H873" t="s">
        <v>4804</v>
      </c>
      <c r="I873">
        <v>13.99</v>
      </c>
      <c r="J873">
        <v>3</v>
      </c>
      <c r="K873">
        <v>2.63</v>
      </c>
      <c r="L873">
        <v>0</v>
      </c>
      <c r="M873" t="s">
        <v>4811</v>
      </c>
      <c r="N873" t="s">
        <v>4900</v>
      </c>
      <c r="O873" t="s">
        <v>4910</v>
      </c>
    </row>
    <row r="874" spans="1:15" x14ac:dyDescent="0.35">
      <c r="A874" t="s">
        <v>879</v>
      </c>
      <c r="B874">
        <v>63</v>
      </c>
      <c r="C874" t="s">
        <v>4802</v>
      </c>
      <c r="D874" t="s">
        <v>13</v>
      </c>
      <c r="E874">
        <v>38</v>
      </c>
      <c r="F874">
        <v>22</v>
      </c>
      <c r="G874" t="s">
        <v>4798</v>
      </c>
      <c r="H874" t="s">
        <v>4806</v>
      </c>
      <c r="I874">
        <v>13.99</v>
      </c>
      <c r="J874">
        <v>1</v>
      </c>
      <c r="K874">
        <v>5</v>
      </c>
      <c r="L874">
        <v>0</v>
      </c>
      <c r="M874" t="s">
        <v>4812</v>
      </c>
      <c r="N874" t="s">
        <v>4900</v>
      </c>
      <c r="O874" t="s">
        <v>4911</v>
      </c>
    </row>
    <row r="875" spans="1:15" x14ac:dyDescent="0.35">
      <c r="A875" t="s">
        <v>880</v>
      </c>
      <c r="B875">
        <v>32</v>
      </c>
      <c r="C875" t="s">
        <v>4802</v>
      </c>
      <c r="D875" t="s">
        <v>15</v>
      </c>
      <c r="E875">
        <v>78</v>
      </c>
      <c r="F875">
        <v>10</v>
      </c>
      <c r="G875" t="s">
        <v>4799</v>
      </c>
      <c r="H875" t="s">
        <v>4805</v>
      </c>
      <c r="I875">
        <v>17.989999999999998</v>
      </c>
      <c r="J875">
        <v>3</v>
      </c>
      <c r="K875">
        <v>2.6</v>
      </c>
      <c r="L875">
        <v>0</v>
      </c>
      <c r="M875" t="s">
        <v>4808</v>
      </c>
      <c r="N875" t="s">
        <v>4900</v>
      </c>
      <c r="O875" t="s">
        <v>4912</v>
      </c>
    </row>
    <row r="876" spans="1:15" x14ac:dyDescent="0.35">
      <c r="A876" t="s">
        <v>881</v>
      </c>
      <c r="B876">
        <v>23</v>
      </c>
      <c r="C876" t="s">
        <v>4802</v>
      </c>
      <c r="D876" t="s">
        <v>15</v>
      </c>
      <c r="E876">
        <v>51</v>
      </c>
      <c r="F876">
        <v>14</v>
      </c>
      <c r="G876" t="s">
        <v>4798</v>
      </c>
      <c r="H876" t="s">
        <v>4805</v>
      </c>
      <c r="I876">
        <v>17.989999999999998</v>
      </c>
      <c r="J876">
        <v>3</v>
      </c>
      <c r="K876">
        <v>2.0299999999999998</v>
      </c>
      <c r="L876">
        <v>0</v>
      </c>
      <c r="M876" t="s">
        <v>4808</v>
      </c>
      <c r="N876" t="s">
        <v>4900</v>
      </c>
      <c r="O876" t="s">
        <v>4912</v>
      </c>
    </row>
    <row r="877" spans="1:15" x14ac:dyDescent="0.35">
      <c r="A877" t="s">
        <v>882</v>
      </c>
      <c r="B877">
        <v>55</v>
      </c>
      <c r="C877" t="s">
        <v>4803</v>
      </c>
      <c r="D877" t="s">
        <v>13</v>
      </c>
      <c r="E877">
        <v>45</v>
      </c>
      <c r="F877">
        <v>18</v>
      </c>
      <c r="G877" t="s">
        <v>4797</v>
      </c>
      <c r="H877" t="s">
        <v>4805</v>
      </c>
      <c r="I877">
        <v>13.99</v>
      </c>
      <c r="J877">
        <v>3</v>
      </c>
      <c r="K877">
        <v>1.5</v>
      </c>
      <c r="L877">
        <v>0</v>
      </c>
      <c r="M877" t="s">
        <v>4812</v>
      </c>
      <c r="N877" t="s">
        <v>4900</v>
      </c>
      <c r="O877" t="s">
        <v>4911</v>
      </c>
    </row>
    <row r="878" spans="1:15" x14ac:dyDescent="0.35">
      <c r="A878" t="s">
        <v>883</v>
      </c>
      <c r="B878">
        <v>53</v>
      </c>
      <c r="C878" t="s">
        <v>4803</v>
      </c>
      <c r="D878" t="s">
        <v>13</v>
      </c>
      <c r="E878">
        <v>60</v>
      </c>
      <c r="F878">
        <v>12</v>
      </c>
      <c r="G878" t="s">
        <v>4798</v>
      </c>
      <c r="H878" t="s">
        <v>4805</v>
      </c>
      <c r="I878">
        <v>13.99</v>
      </c>
      <c r="J878">
        <v>3</v>
      </c>
      <c r="K878">
        <v>2</v>
      </c>
      <c r="L878">
        <v>0</v>
      </c>
      <c r="M878" t="s">
        <v>4809</v>
      </c>
      <c r="N878" t="s">
        <v>4900</v>
      </c>
      <c r="O878" t="s">
        <v>4910</v>
      </c>
    </row>
    <row r="879" spans="1:15" x14ac:dyDescent="0.35">
      <c r="A879" t="s">
        <v>884</v>
      </c>
      <c r="B879">
        <v>40</v>
      </c>
      <c r="C879" t="s">
        <v>4802</v>
      </c>
      <c r="D879" t="s">
        <v>13</v>
      </c>
      <c r="E879">
        <v>66</v>
      </c>
      <c r="F879">
        <v>0</v>
      </c>
      <c r="G879" t="s">
        <v>4798</v>
      </c>
      <c r="H879" t="s">
        <v>4804</v>
      </c>
      <c r="I879">
        <v>13.99</v>
      </c>
      <c r="J879">
        <v>4</v>
      </c>
      <c r="K879">
        <v>2.2000000000000002</v>
      </c>
      <c r="L879">
        <v>0</v>
      </c>
      <c r="M879" t="s">
        <v>4810</v>
      </c>
      <c r="N879" t="s">
        <v>4900</v>
      </c>
      <c r="O879" t="s">
        <v>4910</v>
      </c>
    </row>
    <row r="880" spans="1:15" x14ac:dyDescent="0.35">
      <c r="A880" t="s">
        <v>885</v>
      </c>
      <c r="B880">
        <v>46</v>
      </c>
      <c r="C880" t="s">
        <v>4802</v>
      </c>
      <c r="D880" t="s">
        <v>13</v>
      </c>
      <c r="E880">
        <v>32</v>
      </c>
      <c r="F880">
        <v>10</v>
      </c>
      <c r="G880" t="s">
        <v>4798</v>
      </c>
      <c r="H880" t="s">
        <v>4805</v>
      </c>
      <c r="I880">
        <v>13.99</v>
      </c>
      <c r="J880">
        <v>2</v>
      </c>
      <c r="K880">
        <v>1.07</v>
      </c>
      <c r="L880">
        <v>0</v>
      </c>
      <c r="M880" t="s">
        <v>4811</v>
      </c>
      <c r="N880" t="s">
        <v>4900</v>
      </c>
      <c r="O880" t="s">
        <v>4910</v>
      </c>
    </row>
    <row r="881" spans="1:15" x14ac:dyDescent="0.35">
      <c r="A881" t="s">
        <v>886</v>
      </c>
      <c r="B881">
        <v>41</v>
      </c>
      <c r="C881" t="s">
        <v>4802</v>
      </c>
      <c r="D881" t="s">
        <v>13</v>
      </c>
      <c r="E881">
        <v>77</v>
      </c>
      <c r="F881">
        <v>52</v>
      </c>
      <c r="G881" t="s">
        <v>4800</v>
      </c>
      <c r="H881" t="s">
        <v>4805</v>
      </c>
      <c r="I881">
        <v>13.99</v>
      </c>
      <c r="J881">
        <v>3</v>
      </c>
      <c r="K881">
        <v>2.57</v>
      </c>
      <c r="L881">
        <v>0</v>
      </c>
      <c r="M881" t="s">
        <v>4811</v>
      </c>
      <c r="N881" t="s">
        <v>4900</v>
      </c>
      <c r="O881" t="s">
        <v>4910</v>
      </c>
    </row>
    <row r="882" spans="1:15" x14ac:dyDescent="0.35">
      <c r="A882" t="s">
        <v>887</v>
      </c>
      <c r="B882">
        <v>27</v>
      </c>
      <c r="C882" t="s">
        <v>4802</v>
      </c>
      <c r="D882" t="s">
        <v>13</v>
      </c>
      <c r="E882">
        <v>39</v>
      </c>
      <c r="F882">
        <v>60</v>
      </c>
      <c r="G882" t="s">
        <v>4797</v>
      </c>
      <c r="H882" t="s">
        <v>4805</v>
      </c>
      <c r="I882">
        <v>13.99</v>
      </c>
      <c r="J882">
        <v>3</v>
      </c>
      <c r="K882">
        <v>1.3</v>
      </c>
      <c r="L882">
        <v>0</v>
      </c>
      <c r="M882" t="s">
        <v>4811</v>
      </c>
      <c r="N882" t="s">
        <v>4900</v>
      </c>
      <c r="O882" t="s">
        <v>4912</v>
      </c>
    </row>
    <row r="883" spans="1:15" x14ac:dyDescent="0.35">
      <c r="A883" t="s">
        <v>888</v>
      </c>
      <c r="B883">
        <v>61</v>
      </c>
      <c r="C883" t="s">
        <v>4802</v>
      </c>
      <c r="D883" t="s">
        <v>13</v>
      </c>
      <c r="E883">
        <v>48</v>
      </c>
      <c r="F883">
        <v>40</v>
      </c>
      <c r="G883" t="s">
        <v>4799</v>
      </c>
      <c r="H883" t="s">
        <v>4805</v>
      </c>
      <c r="I883">
        <v>13.99</v>
      </c>
      <c r="J883">
        <v>4</v>
      </c>
      <c r="K883">
        <v>1.6</v>
      </c>
      <c r="L883">
        <v>0</v>
      </c>
      <c r="M883" t="s">
        <v>4808</v>
      </c>
      <c r="N883" t="s">
        <v>4900</v>
      </c>
      <c r="O883" t="s">
        <v>4911</v>
      </c>
    </row>
    <row r="884" spans="1:15" x14ac:dyDescent="0.35">
      <c r="A884" t="s">
        <v>889</v>
      </c>
      <c r="B884">
        <v>50</v>
      </c>
      <c r="C884" t="s">
        <v>4803</v>
      </c>
      <c r="D884" t="s">
        <v>15</v>
      </c>
      <c r="E884">
        <v>92</v>
      </c>
      <c r="F884">
        <v>31</v>
      </c>
      <c r="G884" t="s">
        <v>4799</v>
      </c>
      <c r="H884" t="s">
        <v>4805</v>
      </c>
      <c r="I884">
        <v>17.989999999999998</v>
      </c>
      <c r="J884">
        <v>5</v>
      </c>
      <c r="K884">
        <v>3.07</v>
      </c>
      <c r="L884">
        <v>1</v>
      </c>
      <c r="M884" t="s">
        <v>4811</v>
      </c>
      <c r="N884" t="s">
        <v>4899</v>
      </c>
      <c r="O884" t="s">
        <v>4910</v>
      </c>
    </row>
    <row r="885" spans="1:15" x14ac:dyDescent="0.35">
      <c r="A885" t="s">
        <v>4817</v>
      </c>
      <c r="B885">
        <v>52</v>
      </c>
      <c r="C885" t="s">
        <v>4802</v>
      </c>
      <c r="D885" t="s">
        <v>13</v>
      </c>
      <c r="E885">
        <v>72</v>
      </c>
      <c r="F885">
        <v>39</v>
      </c>
      <c r="G885" t="s">
        <v>4800</v>
      </c>
      <c r="H885" t="s">
        <v>4805</v>
      </c>
      <c r="I885">
        <v>13.99</v>
      </c>
      <c r="J885">
        <v>1</v>
      </c>
      <c r="K885">
        <v>2.4</v>
      </c>
      <c r="L885">
        <v>0</v>
      </c>
      <c r="M885" t="s">
        <v>4811</v>
      </c>
      <c r="N885" t="s">
        <v>4900</v>
      </c>
      <c r="O885" t="s">
        <v>4910</v>
      </c>
    </row>
    <row r="886" spans="1:15" x14ac:dyDescent="0.35">
      <c r="A886" t="s">
        <v>890</v>
      </c>
      <c r="B886">
        <v>43</v>
      </c>
      <c r="C886" t="s">
        <v>4802</v>
      </c>
      <c r="D886" t="s">
        <v>13</v>
      </c>
      <c r="E886">
        <v>40</v>
      </c>
      <c r="F886">
        <v>58</v>
      </c>
      <c r="G886" t="s">
        <v>4798</v>
      </c>
      <c r="H886" t="s">
        <v>4806</v>
      </c>
      <c r="I886">
        <v>13.99</v>
      </c>
      <c r="J886">
        <v>3</v>
      </c>
      <c r="K886">
        <v>1.33</v>
      </c>
      <c r="L886">
        <v>0</v>
      </c>
      <c r="M886" t="s">
        <v>4812</v>
      </c>
      <c r="N886" t="s">
        <v>4900</v>
      </c>
      <c r="O886" t="s">
        <v>4910</v>
      </c>
    </row>
    <row r="887" spans="1:15" x14ac:dyDescent="0.35">
      <c r="A887" t="s">
        <v>891</v>
      </c>
      <c r="B887">
        <v>46</v>
      </c>
      <c r="C887" t="s">
        <v>4802</v>
      </c>
      <c r="D887" t="s">
        <v>15</v>
      </c>
      <c r="E887">
        <v>108</v>
      </c>
      <c r="F887">
        <v>40</v>
      </c>
      <c r="G887" t="s">
        <v>4798</v>
      </c>
      <c r="H887" t="s">
        <v>4804</v>
      </c>
      <c r="I887">
        <v>17.989999999999998</v>
      </c>
      <c r="J887">
        <v>5</v>
      </c>
      <c r="K887">
        <v>5</v>
      </c>
      <c r="L887">
        <v>0</v>
      </c>
      <c r="M887" t="s">
        <v>4809</v>
      </c>
      <c r="N887" t="s">
        <v>4900</v>
      </c>
      <c r="O887" t="s">
        <v>4910</v>
      </c>
    </row>
    <row r="888" spans="1:15" x14ac:dyDescent="0.35">
      <c r="A888" t="s">
        <v>892</v>
      </c>
      <c r="B888">
        <v>33</v>
      </c>
      <c r="C888" t="s">
        <v>4802</v>
      </c>
      <c r="D888" t="s">
        <v>14</v>
      </c>
      <c r="E888">
        <v>42</v>
      </c>
      <c r="F888">
        <v>59</v>
      </c>
      <c r="G888" t="s">
        <v>4798</v>
      </c>
      <c r="H888" t="s">
        <v>4805</v>
      </c>
      <c r="I888">
        <v>8.99</v>
      </c>
      <c r="J888">
        <v>2</v>
      </c>
      <c r="K888">
        <v>1.4</v>
      </c>
      <c r="L888">
        <v>0</v>
      </c>
      <c r="M888" t="s">
        <v>4810</v>
      </c>
      <c r="N888" t="s">
        <v>4900</v>
      </c>
      <c r="O888" t="s">
        <v>4912</v>
      </c>
    </row>
    <row r="889" spans="1:15" x14ac:dyDescent="0.35">
      <c r="A889" t="s">
        <v>893</v>
      </c>
      <c r="B889">
        <v>65</v>
      </c>
      <c r="C889" t="s">
        <v>4803</v>
      </c>
      <c r="D889" t="s">
        <v>13</v>
      </c>
      <c r="E889">
        <v>75</v>
      </c>
      <c r="F889">
        <v>5</v>
      </c>
      <c r="G889" t="s">
        <v>4800</v>
      </c>
      <c r="H889" t="s">
        <v>4805</v>
      </c>
      <c r="I889">
        <v>13.99</v>
      </c>
      <c r="J889">
        <v>2</v>
      </c>
      <c r="K889">
        <v>2.5</v>
      </c>
      <c r="L889">
        <v>0</v>
      </c>
      <c r="M889" t="s">
        <v>4811</v>
      </c>
      <c r="N889" t="s">
        <v>4900</v>
      </c>
      <c r="O889" t="s">
        <v>4911</v>
      </c>
    </row>
    <row r="890" spans="1:15" x14ac:dyDescent="0.35">
      <c r="A890" t="s">
        <v>894</v>
      </c>
      <c r="B890">
        <v>34</v>
      </c>
      <c r="C890" t="s">
        <v>4803</v>
      </c>
      <c r="D890" t="s">
        <v>13</v>
      </c>
      <c r="E890">
        <v>67</v>
      </c>
      <c r="F890">
        <v>30</v>
      </c>
      <c r="G890" t="s">
        <v>4798</v>
      </c>
      <c r="H890" t="s">
        <v>4805</v>
      </c>
      <c r="I890">
        <v>13.99</v>
      </c>
      <c r="J890">
        <v>3</v>
      </c>
      <c r="K890">
        <v>2.23</v>
      </c>
      <c r="L890">
        <v>0</v>
      </c>
      <c r="M890" t="s">
        <v>4811</v>
      </c>
      <c r="N890" t="s">
        <v>4900</v>
      </c>
      <c r="O890" t="s">
        <v>4912</v>
      </c>
    </row>
    <row r="891" spans="1:15" x14ac:dyDescent="0.35">
      <c r="A891" t="s">
        <v>895</v>
      </c>
      <c r="B891">
        <v>54</v>
      </c>
      <c r="C891" t="s">
        <v>4802</v>
      </c>
      <c r="D891" t="s">
        <v>13</v>
      </c>
      <c r="E891">
        <v>32</v>
      </c>
      <c r="F891">
        <v>32</v>
      </c>
      <c r="G891" t="s">
        <v>4799</v>
      </c>
      <c r="H891" t="s">
        <v>4806</v>
      </c>
      <c r="I891">
        <v>13.99</v>
      </c>
      <c r="J891">
        <v>3</v>
      </c>
      <c r="K891">
        <v>1.07</v>
      </c>
      <c r="L891">
        <v>1</v>
      </c>
      <c r="M891" t="s">
        <v>4808</v>
      </c>
      <c r="N891" t="s">
        <v>4899</v>
      </c>
      <c r="O891" t="s">
        <v>4910</v>
      </c>
    </row>
    <row r="892" spans="1:15" x14ac:dyDescent="0.35">
      <c r="A892" t="s">
        <v>896</v>
      </c>
      <c r="B892">
        <v>48</v>
      </c>
      <c r="C892" t="s">
        <v>4802</v>
      </c>
      <c r="D892" t="s">
        <v>13</v>
      </c>
      <c r="E892">
        <v>67</v>
      </c>
      <c r="F892">
        <v>21</v>
      </c>
      <c r="G892" t="s">
        <v>4799</v>
      </c>
      <c r="H892" t="s">
        <v>4805</v>
      </c>
      <c r="I892">
        <v>13.99</v>
      </c>
      <c r="J892">
        <v>3</v>
      </c>
      <c r="K892">
        <v>2.23</v>
      </c>
      <c r="L892">
        <v>1</v>
      </c>
      <c r="M892" t="s">
        <v>4812</v>
      </c>
      <c r="N892" t="s">
        <v>4899</v>
      </c>
      <c r="O892" t="s">
        <v>4910</v>
      </c>
    </row>
    <row r="893" spans="1:15" x14ac:dyDescent="0.35">
      <c r="A893" t="s">
        <v>897</v>
      </c>
      <c r="B893">
        <v>27</v>
      </c>
      <c r="C893" t="s">
        <v>4803</v>
      </c>
      <c r="D893" t="s">
        <v>13</v>
      </c>
      <c r="E893">
        <v>66</v>
      </c>
      <c r="F893">
        <v>30</v>
      </c>
      <c r="G893" t="s">
        <v>4798</v>
      </c>
      <c r="H893" t="s">
        <v>4805</v>
      </c>
      <c r="I893">
        <v>13.99</v>
      </c>
      <c r="J893">
        <v>4</v>
      </c>
      <c r="K893">
        <v>2.2000000000000002</v>
      </c>
      <c r="L893">
        <v>1</v>
      </c>
      <c r="M893" t="s">
        <v>4812</v>
      </c>
      <c r="N893" t="s">
        <v>4899</v>
      </c>
      <c r="O893" t="s">
        <v>4912</v>
      </c>
    </row>
    <row r="894" spans="1:15" x14ac:dyDescent="0.35">
      <c r="A894" t="s">
        <v>898</v>
      </c>
      <c r="B894">
        <v>25</v>
      </c>
      <c r="C894" t="s">
        <v>4802</v>
      </c>
      <c r="D894" t="s">
        <v>13</v>
      </c>
      <c r="E894">
        <v>80</v>
      </c>
      <c r="F894">
        <v>32</v>
      </c>
      <c r="G894" t="s">
        <v>4798</v>
      </c>
      <c r="H894" t="s">
        <v>4804</v>
      </c>
      <c r="I894">
        <v>13.99</v>
      </c>
      <c r="J894">
        <v>3</v>
      </c>
      <c r="K894">
        <v>2.67</v>
      </c>
      <c r="L894">
        <v>0</v>
      </c>
      <c r="M894" t="s">
        <v>4812</v>
      </c>
      <c r="N894" t="s">
        <v>4900</v>
      </c>
      <c r="O894" t="s">
        <v>4912</v>
      </c>
    </row>
    <row r="895" spans="1:15" x14ac:dyDescent="0.35">
      <c r="A895" t="s">
        <v>899</v>
      </c>
      <c r="B895">
        <v>18</v>
      </c>
      <c r="C895" t="s">
        <v>4803</v>
      </c>
      <c r="D895" t="s">
        <v>13</v>
      </c>
      <c r="E895">
        <v>35</v>
      </c>
      <c r="F895" t="s">
        <v>4814</v>
      </c>
      <c r="G895" t="s">
        <v>4798</v>
      </c>
      <c r="H895" t="s">
        <v>4805</v>
      </c>
      <c r="I895">
        <v>13.99</v>
      </c>
      <c r="J895">
        <v>4</v>
      </c>
      <c r="K895">
        <v>1.17</v>
      </c>
      <c r="L895">
        <v>0</v>
      </c>
      <c r="M895" t="s">
        <v>4812</v>
      </c>
      <c r="N895" t="s">
        <v>4900</v>
      </c>
      <c r="O895" t="s">
        <v>4912</v>
      </c>
    </row>
    <row r="896" spans="1:15" x14ac:dyDescent="0.35">
      <c r="A896" t="s">
        <v>900</v>
      </c>
      <c r="B896">
        <v>23</v>
      </c>
      <c r="C896" t="s">
        <v>4802</v>
      </c>
      <c r="D896" t="s">
        <v>13</v>
      </c>
      <c r="E896">
        <v>76</v>
      </c>
      <c r="F896">
        <v>19</v>
      </c>
      <c r="G896" t="s">
        <v>4798</v>
      </c>
      <c r="H896" t="s">
        <v>4804</v>
      </c>
      <c r="I896">
        <v>13.99</v>
      </c>
      <c r="J896">
        <v>1</v>
      </c>
      <c r="K896">
        <v>2.5299999999999998</v>
      </c>
      <c r="L896">
        <v>0</v>
      </c>
      <c r="M896" t="s">
        <v>4809</v>
      </c>
      <c r="N896" t="s">
        <v>4900</v>
      </c>
      <c r="O896" t="s">
        <v>4912</v>
      </c>
    </row>
    <row r="897" spans="1:15" x14ac:dyDescent="0.35">
      <c r="A897" t="s">
        <v>901</v>
      </c>
      <c r="B897">
        <v>33</v>
      </c>
      <c r="C897" t="s">
        <v>4802</v>
      </c>
      <c r="D897" t="s">
        <v>13</v>
      </c>
      <c r="E897">
        <v>57</v>
      </c>
      <c r="F897">
        <v>21</v>
      </c>
      <c r="G897" t="s">
        <v>4799</v>
      </c>
      <c r="H897" t="s">
        <v>4805</v>
      </c>
      <c r="I897">
        <v>13.99</v>
      </c>
      <c r="J897">
        <v>3</v>
      </c>
      <c r="K897">
        <v>1.9</v>
      </c>
      <c r="L897">
        <v>0</v>
      </c>
      <c r="M897" t="s">
        <v>4808</v>
      </c>
      <c r="N897" t="s">
        <v>4900</v>
      </c>
      <c r="O897" t="s">
        <v>4912</v>
      </c>
    </row>
    <row r="898" spans="1:15" x14ac:dyDescent="0.35">
      <c r="A898" t="s">
        <v>902</v>
      </c>
      <c r="B898">
        <v>62</v>
      </c>
      <c r="C898" t="s">
        <v>4802</v>
      </c>
      <c r="D898" t="s">
        <v>13</v>
      </c>
      <c r="E898">
        <v>62</v>
      </c>
      <c r="F898">
        <v>22</v>
      </c>
      <c r="G898" t="s">
        <v>4798</v>
      </c>
      <c r="H898" t="s">
        <v>4805</v>
      </c>
      <c r="I898">
        <v>13.99</v>
      </c>
      <c r="J898">
        <v>3</v>
      </c>
      <c r="K898">
        <v>2.0699999999999998</v>
      </c>
      <c r="L898">
        <v>0</v>
      </c>
      <c r="M898" t="s">
        <v>4811</v>
      </c>
      <c r="N898" t="s">
        <v>4900</v>
      </c>
      <c r="O898" t="s">
        <v>4911</v>
      </c>
    </row>
    <row r="899" spans="1:15" x14ac:dyDescent="0.35">
      <c r="A899" t="s">
        <v>903</v>
      </c>
      <c r="B899">
        <v>60</v>
      </c>
      <c r="C899" t="s">
        <v>4803</v>
      </c>
      <c r="D899" t="s">
        <v>13</v>
      </c>
      <c r="E899">
        <v>80</v>
      </c>
      <c r="F899">
        <v>13</v>
      </c>
      <c r="G899" t="s">
        <v>4797</v>
      </c>
      <c r="H899" t="s">
        <v>4804</v>
      </c>
      <c r="I899">
        <v>13.99</v>
      </c>
      <c r="J899">
        <v>1</v>
      </c>
      <c r="K899">
        <v>2.67</v>
      </c>
      <c r="L899">
        <v>0</v>
      </c>
      <c r="M899" t="s">
        <v>4809</v>
      </c>
      <c r="N899" t="s">
        <v>4900</v>
      </c>
      <c r="O899" t="s">
        <v>4911</v>
      </c>
    </row>
    <row r="900" spans="1:15" x14ac:dyDescent="0.35">
      <c r="A900" t="s">
        <v>904</v>
      </c>
      <c r="B900">
        <v>18</v>
      </c>
      <c r="C900" t="s">
        <v>4802</v>
      </c>
      <c r="D900" t="s">
        <v>13</v>
      </c>
      <c r="E900">
        <v>74</v>
      </c>
      <c r="F900">
        <v>3</v>
      </c>
      <c r="G900" t="s">
        <v>4799</v>
      </c>
      <c r="H900" t="s">
        <v>4804</v>
      </c>
      <c r="I900">
        <v>13.99</v>
      </c>
      <c r="J900">
        <v>3</v>
      </c>
      <c r="K900">
        <v>2.4700000000000002</v>
      </c>
      <c r="L900">
        <v>0</v>
      </c>
      <c r="M900" t="s">
        <v>4810</v>
      </c>
      <c r="N900" t="s">
        <v>4900</v>
      </c>
      <c r="O900" t="s">
        <v>4912</v>
      </c>
    </row>
    <row r="901" spans="1:15" x14ac:dyDescent="0.35">
      <c r="A901" t="s">
        <v>905</v>
      </c>
      <c r="B901">
        <v>65</v>
      </c>
      <c r="C901" t="s">
        <v>4803</v>
      </c>
      <c r="D901" t="s">
        <v>13</v>
      </c>
      <c r="E901">
        <v>69</v>
      </c>
      <c r="F901">
        <v>5</v>
      </c>
      <c r="G901" t="s">
        <v>4799</v>
      </c>
      <c r="H901" t="s">
        <v>4805</v>
      </c>
      <c r="I901">
        <v>13.99</v>
      </c>
      <c r="J901">
        <v>2</v>
      </c>
      <c r="K901">
        <v>2.2999999999999998</v>
      </c>
      <c r="L901">
        <v>0</v>
      </c>
      <c r="M901" t="s">
        <v>4808</v>
      </c>
      <c r="N901" t="s">
        <v>4900</v>
      </c>
      <c r="O901" t="s">
        <v>4911</v>
      </c>
    </row>
    <row r="902" spans="1:15" x14ac:dyDescent="0.35">
      <c r="A902" t="s">
        <v>906</v>
      </c>
      <c r="B902">
        <v>23</v>
      </c>
      <c r="C902" t="s">
        <v>4802</v>
      </c>
      <c r="D902" t="s">
        <v>13</v>
      </c>
      <c r="E902">
        <v>76</v>
      </c>
      <c r="F902">
        <v>56</v>
      </c>
      <c r="G902" t="s">
        <v>4800</v>
      </c>
      <c r="H902" t="s">
        <v>4804</v>
      </c>
      <c r="I902">
        <v>13.99</v>
      </c>
      <c r="J902">
        <v>2</v>
      </c>
      <c r="K902">
        <v>2.5299999999999998</v>
      </c>
      <c r="L902">
        <v>0</v>
      </c>
      <c r="M902" t="s">
        <v>4808</v>
      </c>
      <c r="N902" t="s">
        <v>4900</v>
      </c>
      <c r="O902" t="s">
        <v>4912</v>
      </c>
    </row>
    <row r="903" spans="1:15" x14ac:dyDescent="0.35">
      <c r="A903" t="s">
        <v>907</v>
      </c>
      <c r="B903">
        <v>22</v>
      </c>
      <c r="C903" t="s">
        <v>4802</v>
      </c>
      <c r="D903" t="s">
        <v>13</v>
      </c>
      <c r="E903">
        <v>76</v>
      </c>
      <c r="F903">
        <v>36</v>
      </c>
      <c r="G903" t="s">
        <v>4799</v>
      </c>
      <c r="H903" t="s">
        <v>4804</v>
      </c>
      <c r="I903">
        <v>13.99</v>
      </c>
      <c r="J903">
        <v>2</v>
      </c>
      <c r="K903">
        <v>2.5299999999999998</v>
      </c>
      <c r="L903">
        <v>0</v>
      </c>
      <c r="M903" t="s">
        <v>4810</v>
      </c>
      <c r="N903" t="s">
        <v>4900</v>
      </c>
      <c r="O903" t="s">
        <v>4912</v>
      </c>
    </row>
    <row r="904" spans="1:15" x14ac:dyDescent="0.35">
      <c r="A904" t="s">
        <v>908</v>
      </c>
      <c r="B904">
        <v>55</v>
      </c>
      <c r="C904" t="s">
        <v>4802</v>
      </c>
      <c r="D904" t="s">
        <v>13</v>
      </c>
      <c r="E904">
        <v>46</v>
      </c>
      <c r="F904">
        <v>54</v>
      </c>
      <c r="G904" t="s">
        <v>4799</v>
      </c>
      <c r="H904" t="s">
        <v>4805</v>
      </c>
      <c r="I904">
        <v>13.99</v>
      </c>
      <c r="J904">
        <v>2</v>
      </c>
      <c r="K904">
        <v>1.53</v>
      </c>
      <c r="L904">
        <v>1</v>
      </c>
      <c r="M904" t="s">
        <v>4808</v>
      </c>
      <c r="N904" t="s">
        <v>4899</v>
      </c>
      <c r="O904" t="s">
        <v>4911</v>
      </c>
    </row>
    <row r="905" spans="1:15" x14ac:dyDescent="0.35">
      <c r="A905" t="s">
        <v>909</v>
      </c>
      <c r="B905">
        <v>54</v>
      </c>
      <c r="C905" t="s">
        <v>4803</v>
      </c>
      <c r="D905" t="s">
        <v>15</v>
      </c>
      <c r="E905">
        <v>98</v>
      </c>
      <c r="F905">
        <v>51</v>
      </c>
      <c r="G905" t="s">
        <v>4797</v>
      </c>
      <c r="H905" t="s">
        <v>4804</v>
      </c>
      <c r="I905">
        <v>17.989999999999998</v>
      </c>
      <c r="J905">
        <v>4</v>
      </c>
      <c r="K905">
        <v>2.0299999999999998</v>
      </c>
      <c r="L905">
        <v>0</v>
      </c>
      <c r="M905" t="s">
        <v>4811</v>
      </c>
      <c r="N905" t="s">
        <v>4900</v>
      </c>
      <c r="O905" t="s">
        <v>4910</v>
      </c>
    </row>
    <row r="906" spans="1:15" x14ac:dyDescent="0.35">
      <c r="A906" t="s">
        <v>910</v>
      </c>
      <c r="B906">
        <v>29</v>
      </c>
      <c r="C906" t="s">
        <v>4803</v>
      </c>
      <c r="D906" t="s">
        <v>13</v>
      </c>
      <c r="E906">
        <v>55</v>
      </c>
      <c r="F906">
        <v>59</v>
      </c>
      <c r="G906" t="s">
        <v>4798</v>
      </c>
      <c r="H906" t="s">
        <v>4805</v>
      </c>
      <c r="I906">
        <v>13.99</v>
      </c>
      <c r="J906">
        <v>1</v>
      </c>
      <c r="K906">
        <v>2.0299999999999998</v>
      </c>
      <c r="L906">
        <v>1</v>
      </c>
      <c r="M906" t="s">
        <v>4810</v>
      </c>
      <c r="N906" t="s">
        <v>4899</v>
      </c>
      <c r="O906" t="s">
        <v>4912</v>
      </c>
    </row>
    <row r="907" spans="1:15" x14ac:dyDescent="0.35">
      <c r="A907" t="s">
        <v>911</v>
      </c>
      <c r="B907">
        <v>31</v>
      </c>
      <c r="C907" t="s">
        <v>4802</v>
      </c>
      <c r="D907" t="s">
        <v>13</v>
      </c>
      <c r="E907">
        <v>75</v>
      </c>
      <c r="F907">
        <v>11</v>
      </c>
      <c r="G907" t="s">
        <v>4797</v>
      </c>
      <c r="H907" t="s">
        <v>4804</v>
      </c>
      <c r="I907">
        <v>13.99</v>
      </c>
      <c r="J907">
        <v>2</v>
      </c>
      <c r="K907">
        <v>2.0299999999999998</v>
      </c>
      <c r="L907">
        <v>0</v>
      </c>
      <c r="M907" t="s">
        <v>4808</v>
      </c>
      <c r="N907" t="s">
        <v>4900</v>
      </c>
      <c r="O907" t="s">
        <v>4912</v>
      </c>
    </row>
    <row r="908" spans="1:15" x14ac:dyDescent="0.35">
      <c r="A908" t="s">
        <v>912</v>
      </c>
      <c r="B908">
        <v>44</v>
      </c>
      <c r="C908" t="s">
        <v>4803</v>
      </c>
      <c r="D908" t="s">
        <v>13</v>
      </c>
      <c r="E908">
        <v>55</v>
      </c>
      <c r="F908">
        <v>23</v>
      </c>
      <c r="G908" t="s">
        <v>4799</v>
      </c>
      <c r="H908" t="s">
        <v>4806</v>
      </c>
      <c r="I908">
        <v>13.99</v>
      </c>
      <c r="J908">
        <v>4</v>
      </c>
      <c r="K908">
        <v>1.83</v>
      </c>
      <c r="L908">
        <v>1</v>
      </c>
      <c r="M908" t="s">
        <v>4808</v>
      </c>
      <c r="N908" t="s">
        <v>4899</v>
      </c>
      <c r="O908" t="s">
        <v>4910</v>
      </c>
    </row>
    <row r="909" spans="1:15" x14ac:dyDescent="0.35">
      <c r="A909" t="s">
        <v>913</v>
      </c>
      <c r="B909">
        <v>44</v>
      </c>
      <c r="C909" t="s">
        <v>4802</v>
      </c>
      <c r="D909" t="s">
        <v>14</v>
      </c>
      <c r="E909">
        <v>15</v>
      </c>
      <c r="F909">
        <v>39</v>
      </c>
      <c r="G909" t="s">
        <v>4798</v>
      </c>
      <c r="H909" t="s">
        <v>4804</v>
      </c>
      <c r="I909">
        <v>8.99</v>
      </c>
      <c r="J909">
        <v>2</v>
      </c>
      <c r="K909">
        <v>0.5</v>
      </c>
      <c r="L909">
        <v>0</v>
      </c>
      <c r="M909" t="s">
        <v>4812</v>
      </c>
      <c r="N909" t="s">
        <v>4900</v>
      </c>
      <c r="O909" t="s">
        <v>4910</v>
      </c>
    </row>
    <row r="910" spans="1:15" x14ac:dyDescent="0.35">
      <c r="A910" t="s">
        <v>914</v>
      </c>
      <c r="B910">
        <v>42</v>
      </c>
      <c r="C910" t="s">
        <v>4802</v>
      </c>
      <c r="D910" t="s">
        <v>15</v>
      </c>
      <c r="E910">
        <v>112</v>
      </c>
      <c r="F910">
        <v>2</v>
      </c>
      <c r="G910" t="s">
        <v>4798</v>
      </c>
      <c r="H910" t="s">
        <v>4805</v>
      </c>
      <c r="I910">
        <v>17.989999999999998</v>
      </c>
      <c r="J910">
        <v>2</v>
      </c>
      <c r="K910">
        <v>3.73</v>
      </c>
      <c r="L910">
        <v>0</v>
      </c>
      <c r="M910" t="s">
        <v>4808</v>
      </c>
      <c r="N910" t="s">
        <v>4900</v>
      </c>
      <c r="O910" t="s">
        <v>4910</v>
      </c>
    </row>
    <row r="911" spans="1:15" x14ac:dyDescent="0.35">
      <c r="A911" t="s">
        <v>915</v>
      </c>
      <c r="B911">
        <v>40</v>
      </c>
      <c r="C911" t="s">
        <v>4803</v>
      </c>
      <c r="D911" t="s">
        <v>13</v>
      </c>
      <c r="E911">
        <v>59</v>
      </c>
      <c r="F911">
        <v>6</v>
      </c>
      <c r="G911" t="s">
        <v>4798</v>
      </c>
      <c r="H911" t="s">
        <v>4805</v>
      </c>
      <c r="I911">
        <v>13.99</v>
      </c>
      <c r="J911">
        <v>4</v>
      </c>
      <c r="K911">
        <v>1.97</v>
      </c>
      <c r="L911">
        <v>0</v>
      </c>
      <c r="M911" t="s">
        <v>4809</v>
      </c>
      <c r="N911" t="s">
        <v>4900</v>
      </c>
      <c r="O911" t="s">
        <v>4910</v>
      </c>
    </row>
    <row r="912" spans="1:15" x14ac:dyDescent="0.35">
      <c r="A912" t="s">
        <v>916</v>
      </c>
      <c r="B912">
        <v>62</v>
      </c>
      <c r="C912" t="s">
        <v>4803</v>
      </c>
      <c r="D912" t="s">
        <v>13</v>
      </c>
      <c r="E912">
        <v>32</v>
      </c>
      <c r="F912">
        <v>52</v>
      </c>
      <c r="G912" t="s">
        <v>4798</v>
      </c>
      <c r="H912" t="s">
        <v>4805</v>
      </c>
      <c r="I912">
        <v>13.99</v>
      </c>
      <c r="J912">
        <v>2</v>
      </c>
      <c r="K912">
        <v>1.07</v>
      </c>
      <c r="L912">
        <v>0</v>
      </c>
      <c r="M912" t="s">
        <v>4812</v>
      </c>
      <c r="N912" t="s">
        <v>4900</v>
      </c>
      <c r="O912" t="s">
        <v>4911</v>
      </c>
    </row>
    <row r="913" spans="1:15" x14ac:dyDescent="0.35">
      <c r="A913" t="s">
        <v>917</v>
      </c>
      <c r="B913">
        <v>24</v>
      </c>
      <c r="C913" t="s">
        <v>4803</v>
      </c>
      <c r="D913" t="s">
        <v>13</v>
      </c>
      <c r="E913">
        <v>35</v>
      </c>
      <c r="F913">
        <v>58</v>
      </c>
      <c r="G913" t="s">
        <v>4797</v>
      </c>
      <c r="H913" t="s">
        <v>4804</v>
      </c>
      <c r="I913">
        <v>13.99</v>
      </c>
      <c r="J913">
        <v>3</v>
      </c>
      <c r="K913">
        <v>1.17</v>
      </c>
      <c r="L913">
        <v>1</v>
      </c>
      <c r="M913" t="s">
        <v>4809</v>
      </c>
      <c r="N913" t="s">
        <v>4899</v>
      </c>
      <c r="O913" t="s">
        <v>4912</v>
      </c>
    </row>
    <row r="914" spans="1:15" x14ac:dyDescent="0.35">
      <c r="A914" t="s">
        <v>918</v>
      </c>
      <c r="B914">
        <v>46</v>
      </c>
      <c r="C914" t="s">
        <v>4802</v>
      </c>
      <c r="D914" t="s">
        <v>13</v>
      </c>
      <c r="E914">
        <v>68</v>
      </c>
      <c r="F914">
        <v>54</v>
      </c>
      <c r="G914" t="s">
        <v>4798</v>
      </c>
      <c r="H914" t="s">
        <v>4806</v>
      </c>
      <c r="I914">
        <v>13.99</v>
      </c>
      <c r="J914">
        <v>4</v>
      </c>
      <c r="K914">
        <v>2.27</v>
      </c>
      <c r="L914">
        <v>0</v>
      </c>
      <c r="M914" t="s">
        <v>4808</v>
      </c>
      <c r="N914" t="s">
        <v>4900</v>
      </c>
      <c r="O914" t="s">
        <v>4910</v>
      </c>
    </row>
    <row r="915" spans="1:15" x14ac:dyDescent="0.35">
      <c r="A915" t="s">
        <v>919</v>
      </c>
      <c r="B915">
        <v>38</v>
      </c>
      <c r="C915" t="s">
        <v>4803</v>
      </c>
      <c r="D915" t="s">
        <v>13</v>
      </c>
      <c r="E915">
        <v>48</v>
      </c>
      <c r="F915">
        <v>0</v>
      </c>
      <c r="G915" t="s">
        <v>4797</v>
      </c>
      <c r="H915" t="s">
        <v>4805</v>
      </c>
      <c r="I915">
        <v>13.99</v>
      </c>
      <c r="J915">
        <v>1</v>
      </c>
      <c r="K915">
        <v>1.6</v>
      </c>
      <c r="L915">
        <v>0</v>
      </c>
      <c r="M915" t="s">
        <v>4812</v>
      </c>
      <c r="N915" t="s">
        <v>4900</v>
      </c>
      <c r="O915" t="s">
        <v>4910</v>
      </c>
    </row>
    <row r="916" spans="1:15" x14ac:dyDescent="0.35">
      <c r="A916" t="s">
        <v>920</v>
      </c>
      <c r="B916">
        <v>60</v>
      </c>
      <c r="C916" t="s">
        <v>4803</v>
      </c>
      <c r="D916" t="s">
        <v>13</v>
      </c>
      <c r="E916">
        <v>40</v>
      </c>
      <c r="F916">
        <v>31</v>
      </c>
      <c r="G916" t="s">
        <v>4799</v>
      </c>
      <c r="H916" t="s">
        <v>4806</v>
      </c>
      <c r="I916">
        <v>13.99</v>
      </c>
      <c r="J916">
        <v>3</v>
      </c>
      <c r="K916">
        <v>1.33</v>
      </c>
      <c r="L916">
        <v>1</v>
      </c>
      <c r="M916" t="s">
        <v>4810</v>
      </c>
      <c r="N916" t="s">
        <v>4899</v>
      </c>
      <c r="O916" t="s">
        <v>4911</v>
      </c>
    </row>
    <row r="917" spans="1:15" x14ac:dyDescent="0.35">
      <c r="A917" t="s">
        <v>921</v>
      </c>
      <c r="B917">
        <v>53</v>
      </c>
      <c r="C917" t="s">
        <v>4803</v>
      </c>
      <c r="D917" t="s">
        <v>14</v>
      </c>
      <c r="E917">
        <v>74</v>
      </c>
      <c r="F917">
        <v>43</v>
      </c>
      <c r="G917" t="s">
        <v>4797</v>
      </c>
      <c r="H917" t="s">
        <v>4805</v>
      </c>
      <c r="I917">
        <v>8.99</v>
      </c>
      <c r="J917">
        <v>4</v>
      </c>
      <c r="K917">
        <v>2.4700000000000002</v>
      </c>
      <c r="L917">
        <v>0</v>
      </c>
      <c r="M917" t="s">
        <v>4812</v>
      </c>
      <c r="N917" t="s">
        <v>4900</v>
      </c>
      <c r="O917" t="s">
        <v>4910</v>
      </c>
    </row>
    <row r="918" spans="1:15" x14ac:dyDescent="0.35">
      <c r="A918" t="s">
        <v>922</v>
      </c>
      <c r="B918">
        <v>49</v>
      </c>
      <c r="C918" t="s">
        <v>4803</v>
      </c>
      <c r="D918" t="s">
        <v>15</v>
      </c>
      <c r="E918">
        <v>92</v>
      </c>
      <c r="F918">
        <v>43</v>
      </c>
      <c r="G918" t="s">
        <v>4797</v>
      </c>
      <c r="H918" t="s">
        <v>4805</v>
      </c>
      <c r="I918">
        <v>17.989999999999998</v>
      </c>
      <c r="J918">
        <v>2</v>
      </c>
      <c r="K918">
        <v>3.07</v>
      </c>
      <c r="L918">
        <v>1</v>
      </c>
      <c r="M918" t="s">
        <v>4810</v>
      </c>
      <c r="N918" t="s">
        <v>4899</v>
      </c>
      <c r="O918" t="s">
        <v>4910</v>
      </c>
    </row>
    <row r="919" spans="1:15" x14ac:dyDescent="0.35">
      <c r="A919" t="s">
        <v>923</v>
      </c>
      <c r="B919">
        <v>32</v>
      </c>
      <c r="C919" t="s">
        <v>4803</v>
      </c>
      <c r="D919" t="s">
        <v>13</v>
      </c>
      <c r="E919">
        <v>33</v>
      </c>
      <c r="F919">
        <v>11</v>
      </c>
      <c r="G919" t="s">
        <v>4800</v>
      </c>
      <c r="H919" t="s">
        <v>4805</v>
      </c>
      <c r="I919">
        <v>13.99</v>
      </c>
      <c r="J919">
        <v>3</v>
      </c>
      <c r="K919">
        <v>1.1000000000000001</v>
      </c>
      <c r="L919">
        <v>0</v>
      </c>
      <c r="M919" t="s">
        <v>4808</v>
      </c>
      <c r="N919" t="s">
        <v>4900</v>
      </c>
      <c r="O919" t="s">
        <v>4912</v>
      </c>
    </row>
    <row r="920" spans="1:15" x14ac:dyDescent="0.35">
      <c r="A920" t="s">
        <v>924</v>
      </c>
      <c r="B920">
        <v>58</v>
      </c>
      <c r="C920" t="s">
        <v>4803</v>
      </c>
      <c r="D920" t="s">
        <v>13</v>
      </c>
      <c r="E920">
        <v>30</v>
      </c>
      <c r="F920">
        <v>35</v>
      </c>
      <c r="G920" t="s">
        <v>4797</v>
      </c>
      <c r="H920" t="s">
        <v>4805</v>
      </c>
      <c r="I920">
        <v>13.99</v>
      </c>
      <c r="J920">
        <v>2</v>
      </c>
      <c r="K920">
        <v>1</v>
      </c>
      <c r="L920">
        <v>1</v>
      </c>
      <c r="M920" t="s">
        <v>4811</v>
      </c>
      <c r="N920" t="s">
        <v>4899</v>
      </c>
      <c r="O920" t="s">
        <v>4911</v>
      </c>
    </row>
    <row r="921" spans="1:15" x14ac:dyDescent="0.35">
      <c r="A921" t="s">
        <v>925</v>
      </c>
      <c r="B921">
        <v>51</v>
      </c>
      <c r="C921" t="s">
        <v>4803</v>
      </c>
      <c r="D921" t="s">
        <v>15</v>
      </c>
      <c r="E921">
        <v>62</v>
      </c>
      <c r="F921">
        <v>53</v>
      </c>
      <c r="G921" t="s">
        <v>4798</v>
      </c>
      <c r="H921" t="s">
        <v>4805</v>
      </c>
      <c r="I921">
        <v>17.989999999999998</v>
      </c>
      <c r="J921">
        <v>3</v>
      </c>
      <c r="K921">
        <v>2.0699999999999998</v>
      </c>
      <c r="L921">
        <v>0</v>
      </c>
      <c r="M921" t="s">
        <v>4812</v>
      </c>
      <c r="N921" t="s">
        <v>4900</v>
      </c>
      <c r="O921" t="s">
        <v>4910</v>
      </c>
    </row>
    <row r="922" spans="1:15" x14ac:dyDescent="0.35">
      <c r="A922" t="s">
        <v>926</v>
      </c>
      <c r="B922">
        <v>22</v>
      </c>
      <c r="C922" t="s">
        <v>4803</v>
      </c>
      <c r="D922" t="s">
        <v>13</v>
      </c>
      <c r="E922">
        <v>43</v>
      </c>
      <c r="F922">
        <v>52</v>
      </c>
      <c r="G922" t="s">
        <v>4797</v>
      </c>
      <c r="H922" t="s">
        <v>4806</v>
      </c>
      <c r="I922">
        <v>13.99</v>
      </c>
      <c r="J922">
        <v>3</v>
      </c>
      <c r="K922">
        <v>1.43</v>
      </c>
      <c r="L922">
        <v>0</v>
      </c>
      <c r="M922" t="s">
        <v>4812</v>
      </c>
      <c r="N922" t="s">
        <v>4900</v>
      </c>
      <c r="O922" t="s">
        <v>4912</v>
      </c>
    </row>
    <row r="923" spans="1:15" x14ac:dyDescent="0.35">
      <c r="A923" t="s">
        <v>927</v>
      </c>
      <c r="B923">
        <v>35</v>
      </c>
      <c r="C923" t="s">
        <v>4802</v>
      </c>
      <c r="D923" t="s">
        <v>13</v>
      </c>
      <c r="E923">
        <v>66</v>
      </c>
      <c r="F923">
        <v>26</v>
      </c>
      <c r="G923" t="s">
        <v>4798</v>
      </c>
      <c r="H923" t="s">
        <v>4806</v>
      </c>
      <c r="I923">
        <v>13.99</v>
      </c>
      <c r="J923">
        <v>3</v>
      </c>
      <c r="K923">
        <v>2.2000000000000002</v>
      </c>
      <c r="L923">
        <v>0</v>
      </c>
      <c r="M923" t="s">
        <v>4811</v>
      </c>
      <c r="N923" t="s">
        <v>4900</v>
      </c>
      <c r="O923" t="s">
        <v>4910</v>
      </c>
    </row>
    <row r="924" spans="1:15" x14ac:dyDescent="0.35">
      <c r="A924" t="s">
        <v>928</v>
      </c>
      <c r="B924">
        <v>50</v>
      </c>
      <c r="C924" t="s">
        <v>4802</v>
      </c>
      <c r="D924" t="s">
        <v>13</v>
      </c>
      <c r="E924">
        <v>30</v>
      </c>
      <c r="F924">
        <v>44</v>
      </c>
      <c r="G924" t="s">
        <v>4799</v>
      </c>
      <c r="H924" t="s">
        <v>4805</v>
      </c>
      <c r="I924">
        <v>13.99</v>
      </c>
      <c r="J924">
        <v>4</v>
      </c>
      <c r="K924">
        <v>1</v>
      </c>
      <c r="L924">
        <v>0</v>
      </c>
      <c r="M924" t="s">
        <v>4808</v>
      </c>
      <c r="N924" t="s">
        <v>4900</v>
      </c>
      <c r="O924" t="s">
        <v>4910</v>
      </c>
    </row>
    <row r="925" spans="1:15" x14ac:dyDescent="0.35">
      <c r="A925" t="s">
        <v>929</v>
      </c>
      <c r="B925">
        <v>58</v>
      </c>
      <c r="C925" t="s">
        <v>4803</v>
      </c>
      <c r="D925" t="s">
        <v>13</v>
      </c>
      <c r="E925">
        <v>52</v>
      </c>
      <c r="F925">
        <v>2</v>
      </c>
      <c r="G925" t="s">
        <v>4799</v>
      </c>
      <c r="H925" t="s">
        <v>4807</v>
      </c>
      <c r="I925">
        <v>13.99</v>
      </c>
      <c r="J925">
        <v>2</v>
      </c>
      <c r="K925">
        <v>1.73</v>
      </c>
      <c r="L925">
        <v>0</v>
      </c>
      <c r="M925" t="s">
        <v>4811</v>
      </c>
      <c r="N925" t="s">
        <v>4900</v>
      </c>
      <c r="O925" t="s">
        <v>4911</v>
      </c>
    </row>
    <row r="926" spans="1:15" x14ac:dyDescent="0.35">
      <c r="A926" t="s">
        <v>930</v>
      </c>
      <c r="B926">
        <v>25</v>
      </c>
      <c r="C926" t="s">
        <v>4802</v>
      </c>
      <c r="D926" t="s">
        <v>13</v>
      </c>
      <c r="E926">
        <v>75</v>
      </c>
      <c r="F926">
        <v>48</v>
      </c>
      <c r="G926" t="s">
        <v>4797</v>
      </c>
      <c r="H926" t="s">
        <v>4805</v>
      </c>
      <c r="I926">
        <v>13.99</v>
      </c>
      <c r="J926">
        <v>4</v>
      </c>
      <c r="K926">
        <v>2.5</v>
      </c>
      <c r="L926">
        <v>1</v>
      </c>
      <c r="M926" t="s">
        <v>4812</v>
      </c>
      <c r="N926" t="s">
        <v>4899</v>
      </c>
      <c r="O926" t="s">
        <v>4912</v>
      </c>
    </row>
    <row r="927" spans="1:15" x14ac:dyDescent="0.35">
      <c r="A927" t="s">
        <v>931</v>
      </c>
      <c r="B927">
        <v>34</v>
      </c>
      <c r="C927" t="s">
        <v>4803</v>
      </c>
      <c r="D927" t="s">
        <v>13</v>
      </c>
      <c r="E927">
        <v>38</v>
      </c>
      <c r="F927">
        <v>4</v>
      </c>
      <c r="G927" t="s">
        <v>4798</v>
      </c>
      <c r="H927" t="s">
        <v>4804</v>
      </c>
      <c r="I927">
        <v>13.99</v>
      </c>
      <c r="J927">
        <v>4</v>
      </c>
      <c r="K927">
        <v>1.27</v>
      </c>
      <c r="L927">
        <v>0</v>
      </c>
      <c r="M927" t="s">
        <v>4810</v>
      </c>
      <c r="N927" t="s">
        <v>4900</v>
      </c>
      <c r="O927" t="s">
        <v>4912</v>
      </c>
    </row>
    <row r="928" spans="1:15" x14ac:dyDescent="0.35">
      <c r="A928" t="s">
        <v>932</v>
      </c>
      <c r="B928">
        <v>58</v>
      </c>
      <c r="C928" t="s">
        <v>4802</v>
      </c>
      <c r="D928" t="s">
        <v>13</v>
      </c>
      <c r="E928">
        <v>77</v>
      </c>
      <c r="F928">
        <v>25</v>
      </c>
      <c r="G928" t="s">
        <v>4797</v>
      </c>
      <c r="H928" t="s">
        <v>4805</v>
      </c>
      <c r="I928">
        <v>13.99</v>
      </c>
      <c r="J928">
        <v>2</v>
      </c>
      <c r="K928">
        <v>2.57</v>
      </c>
      <c r="L928">
        <v>0</v>
      </c>
      <c r="M928" t="s">
        <v>4809</v>
      </c>
      <c r="N928" t="s">
        <v>4900</v>
      </c>
      <c r="O928" t="s">
        <v>4911</v>
      </c>
    </row>
    <row r="929" spans="1:15" x14ac:dyDescent="0.35">
      <c r="A929" t="s">
        <v>933</v>
      </c>
      <c r="B929">
        <v>63</v>
      </c>
      <c r="C929" t="s">
        <v>4802</v>
      </c>
      <c r="D929" t="s">
        <v>13</v>
      </c>
      <c r="E929">
        <v>65</v>
      </c>
      <c r="F929">
        <v>53</v>
      </c>
      <c r="G929" t="s">
        <v>4799</v>
      </c>
      <c r="H929" t="s">
        <v>4805</v>
      </c>
      <c r="I929">
        <v>13.99</v>
      </c>
      <c r="J929">
        <v>3</v>
      </c>
      <c r="K929">
        <v>2.17</v>
      </c>
      <c r="L929">
        <v>1</v>
      </c>
      <c r="M929" t="s">
        <v>4809</v>
      </c>
      <c r="N929" t="s">
        <v>4899</v>
      </c>
      <c r="O929" t="s">
        <v>4911</v>
      </c>
    </row>
    <row r="930" spans="1:15" x14ac:dyDescent="0.35">
      <c r="A930" t="s">
        <v>934</v>
      </c>
      <c r="B930">
        <v>23</v>
      </c>
      <c r="C930" t="s">
        <v>4802</v>
      </c>
      <c r="D930" t="s">
        <v>13</v>
      </c>
      <c r="E930">
        <v>33</v>
      </c>
      <c r="F930">
        <v>21</v>
      </c>
      <c r="G930" t="s">
        <v>4799</v>
      </c>
      <c r="H930" t="s">
        <v>4806</v>
      </c>
      <c r="I930">
        <v>13.99</v>
      </c>
      <c r="J930">
        <v>4</v>
      </c>
      <c r="K930">
        <v>1.1000000000000001</v>
      </c>
      <c r="L930">
        <v>0</v>
      </c>
      <c r="M930" t="s">
        <v>4808</v>
      </c>
      <c r="N930" t="s">
        <v>4900</v>
      </c>
      <c r="O930" t="s">
        <v>4912</v>
      </c>
    </row>
    <row r="931" spans="1:15" x14ac:dyDescent="0.35">
      <c r="A931" t="s">
        <v>935</v>
      </c>
      <c r="B931">
        <v>61</v>
      </c>
      <c r="C931" t="s">
        <v>4802</v>
      </c>
      <c r="D931" t="s">
        <v>13</v>
      </c>
      <c r="E931">
        <v>55</v>
      </c>
      <c r="F931">
        <v>36</v>
      </c>
      <c r="G931" t="s">
        <v>4801</v>
      </c>
      <c r="H931" t="s">
        <v>4804</v>
      </c>
      <c r="I931">
        <v>13.99</v>
      </c>
      <c r="J931">
        <v>3</v>
      </c>
      <c r="K931">
        <v>1.83</v>
      </c>
      <c r="L931">
        <v>1</v>
      </c>
      <c r="M931" t="s">
        <v>4809</v>
      </c>
      <c r="N931" t="s">
        <v>4899</v>
      </c>
      <c r="O931" t="s">
        <v>4911</v>
      </c>
    </row>
    <row r="932" spans="1:15" x14ac:dyDescent="0.35">
      <c r="A932" t="s">
        <v>936</v>
      </c>
      <c r="B932">
        <v>33</v>
      </c>
      <c r="C932" t="s">
        <v>4803</v>
      </c>
      <c r="D932" t="s">
        <v>13</v>
      </c>
      <c r="E932">
        <v>58</v>
      </c>
      <c r="F932">
        <v>7</v>
      </c>
      <c r="G932" t="s">
        <v>4798</v>
      </c>
      <c r="H932" t="s">
        <v>4805</v>
      </c>
      <c r="I932">
        <v>13.99</v>
      </c>
      <c r="J932">
        <v>2</v>
      </c>
      <c r="K932">
        <v>1.93</v>
      </c>
      <c r="L932">
        <v>0</v>
      </c>
      <c r="M932" t="s">
        <v>4812</v>
      </c>
      <c r="N932" t="s">
        <v>4900</v>
      </c>
      <c r="O932" t="s">
        <v>4912</v>
      </c>
    </row>
    <row r="933" spans="1:15" x14ac:dyDescent="0.35">
      <c r="A933" t="s">
        <v>937</v>
      </c>
      <c r="B933">
        <v>21</v>
      </c>
      <c r="C933" t="s">
        <v>4802</v>
      </c>
      <c r="D933" t="s">
        <v>13</v>
      </c>
      <c r="E933">
        <v>78</v>
      </c>
      <c r="F933">
        <v>2</v>
      </c>
      <c r="G933" t="s">
        <v>4797</v>
      </c>
      <c r="H933" t="s">
        <v>4804</v>
      </c>
      <c r="I933">
        <v>13.99</v>
      </c>
      <c r="J933">
        <v>1</v>
      </c>
      <c r="K933">
        <v>2.6</v>
      </c>
      <c r="L933">
        <v>0</v>
      </c>
      <c r="M933" t="s">
        <v>4811</v>
      </c>
      <c r="N933" t="s">
        <v>4900</v>
      </c>
      <c r="O933" t="s">
        <v>4912</v>
      </c>
    </row>
    <row r="934" spans="1:15" x14ac:dyDescent="0.35">
      <c r="A934" t="s">
        <v>938</v>
      </c>
      <c r="B934">
        <v>58</v>
      </c>
      <c r="C934" t="s">
        <v>4802</v>
      </c>
      <c r="D934" t="s">
        <v>13</v>
      </c>
      <c r="E934">
        <v>66</v>
      </c>
      <c r="F934">
        <v>999</v>
      </c>
      <c r="G934" t="s">
        <v>4799</v>
      </c>
      <c r="H934" t="s">
        <v>4804</v>
      </c>
      <c r="I934">
        <v>13.99</v>
      </c>
      <c r="J934">
        <v>3</v>
      </c>
      <c r="K934">
        <v>2.2000000000000002</v>
      </c>
      <c r="L934">
        <v>0</v>
      </c>
      <c r="M934" t="s">
        <v>4808</v>
      </c>
      <c r="N934" t="s">
        <v>4900</v>
      </c>
      <c r="O934" t="s">
        <v>4911</v>
      </c>
    </row>
    <row r="935" spans="1:15" x14ac:dyDescent="0.35">
      <c r="A935" t="s">
        <v>939</v>
      </c>
      <c r="B935">
        <v>41</v>
      </c>
      <c r="C935" t="s">
        <v>4802</v>
      </c>
      <c r="D935" t="s">
        <v>13</v>
      </c>
      <c r="E935">
        <v>72</v>
      </c>
      <c r="F935">
        <v>19</v>
      </c>
      <c r="G935" t="s">
        <v>4799</v>
      </c>
      <c r="H935" t="s">
        <v>4805</v>
      </c>
      <c r="I935">
        <v>13.99</v>
      </c>
      <c r="J935">
        <v>1</v>
      </c>
      <c r="K935">
        <v>2.4</v>
      </c>
      <c r="L935">
        <v>1</v>
      </c>
      <c r="M935" t="s">
        <v>4812</v>
      </c>
      <c r="N935" t="s">
        <v>4899</v>
      </c>
      <c r="O935" t="s">
        <v>4910</v>
      </c>
    </row>
    <row r="936" spans="1:15" x14ac:dyDescent="0.35">
      <c r="A936" t="s">
        <v>940</v>
      </c>
      <c r="B936">
        <v>65</v>
      </c>
      <c r="C936" t="s">
        <v>4803</v>
      </c>
      <c r="D936" t="s">
        <v>15</v>
      </c>
      <c r="E936">
        <v>50</v>
      </c>
      <c r="F936">
        <v>11</v>
      </c>
      <c r="G936" t="s">
        <v>4797</v>
      </c>
      <c r="H936" t="s">
        <v>4806</v>
      </c>
      <c r="I936">
        <v>17.989999999999998</v>
      </c>
      <c r="J936">
        <v>2</v>
      </c>
      <c r="K936">
        <v>1.67</v>
      </c>
      <c r="L936">
        <v>0</v>
      </c>
      <c r="M936" t="s">
        <v>4808</v>
      </c>
      <c r="N936" t="s">
        <v>4900</v>
      </c>
      <c r="O936" t="s">
        <v>4911</v>
      </c>
    </row>
    <row r="937" spans="1:15" x14ac:dyDescent="0.35">
      <c r="A937" t="s">
        <v>941</v>
      </c>
      <c r="B937">
        <v>49</v>
      </c>
      <c r="C937" t="s">
        <v>4802</v>
      </c>
      <c r="D937" t="s">
        <v>13</v>
      </c>
      <c r="E937">
        <v>36</v>
      </c>
      <c r="F937">
        <v>34</v>
      </c>
      <c r="G937" t="s">
        <v>4798</v>
      </c>
      <c r="H937" t="s">
        <v>4805</v>
      </c>
      <c r="I937">
        <v>13.99</v>
      </c>
      <c r="J937">
        <v>1</v>
      </c>
      <c r="K937">
        <v>1.2</v>
      </c>
      <c r="L937">
        <v>1</v>
      </c>
      <c r="M937" t="s">
        <v>4809</v>
      </c>
      <c r="N937" t="s">
        <v>4899</v>
      </c>
      <c r="O937" t="s">
        <v>4910</v>
      </c>
    </row>
    <row r="938" spans="1:15" x14ac:dyDescent="0.35">
      <c r="A938" t="s">
        <v>942</v>
      </c>
      <c r="B938">
        <v>49</v>
      </c>
      <c r="C938" t="s">
        <v>4802</v>
      </c>
      <c r="D938" t="s">
        <v>15</v>
      </c>
      <c r="E938">
        <v>72</v>
      </c>
      <c r="F938">
        <v>27</v>
      </c>
      <c r="G938" t="s">
        <v>4797</v>
      </c>
      <c r="H938" t="s">
        <v>4806</v>
      </c>
      <c r="I938">
        <v>17.989999999999998</v>
      </c>
      <c r="J938">
        <v>3</v>
      </c>
      <c r="K938">
        <v>2.4</v>
      </c>
      <c r="L938">
        <v>0</v>
      </c>
      <c r="M938" t="s">
        <v>4811</v>
      </c>
      <c r="N938" t="s">
        <v>4900</v>
      </c>
      <c r="O938" t="s">
        <v>4910</v>
      </c>
    </row>
    <row r="939" spans="1:15" x14ac:dyDescent="0.35">
      <c r="A939" t="s">
        <v>943</v>
      </c>
      <c r="B939">
        <v>28</v>
      </c>
      <c r="C939" t="s">
        <v>4802</v>
      </c>
      <c r="D939" t="s">
        <v>13</v>
      </c>
      <c r="E939">
        <v>55</v>
      </c>
      <c r="F939">
        <v>21</v>
      </c>
      <c r="G939" t="s">
        <v>4799</v>
      </c>
      <c r="H939" t="s">
        <v>4805</v>
      </c>
      <c r="I939">
        <v>13.99</v>
      </c>
      <c r="J939">
        <v>4</v>
      </c>
      <c r="K939">
        <v>1.83</v>
      </c>
      <c r="L939">
        <v>1</v>
      </c>
      <c r="M939" t="s">
        <v>4812</v>
      </c>
      <c r="N939" t="s">
        <v>4899</v>
      </c>
      <c r="O939" t="s">
        <v>4912</v>
      </c>
    </row>
    <row r="940" spans="1:15" x14ac:dyDescent="0.35">
      <c r="A940" t="s">
        <v>944</v>
      </c>
      <c r="B940">
        <v>44</v>
      </c>
      <c r="C940" t="s">
        <v>4803</v>
      </c>
      <c r="D940" t="s">
        <v>13</v>
      </c>
      <c r="E940">
        <v>65</v>
      </c>
      <c r="F940">
        <v>33</v>
      </c>
      <c r="G940" t="s">
        <v>4798</v>
      </c>
      <c r="H940" t="s">
        <v>4805</v>
      </c>
      <c r="I940">
        <v>13.99</v>
      </c>
      <c r="J940">
        <v>3</v>
      </c>
      <c r="K940">
        <v>2.0299999999999998</v>
      </c>
      <c r="L940">
        <v>1</v>
      </c>
      <c r="M940" t="s">
        <v>4810</v>
      </c>
      <c r="N940" t="s">
        <v>4899</v>
      </c>
      <c r="O940" t="s">
        <v>4910</v>
      </c>
    </row>
    <row r="941" spans="1:15" x14ac:dyDescent="0.35">
      <c r="A941" t="s">
        <v>945</v>
      </c>
      <c r="B941">
        <v>45</v>
      </c>
      <c r="C941" t="s">
        <v>4802</v>
      </c>
      <c r="D941" t="s">
        <v>15</v>
      </c>
      <c r="E941">
        <v>87</v>
      </c>
      <c r="F941">
        <v>37</v>
      </c>
      <c r="G941" t="s">
        <v>4797</v>
      </c>
      <c r="H941" t="s">
        <v>4805</v>
      </c>
      <c r="I941">
        <v>17.989999999999998</v>
      </c>
      <c r="J941">
        <v>3</v>
      </c>
      <c r="K941">
        <v>2.9</v>
      </c>
      <c r="L941">
        <v>0</v>
      </c>
      <c r="M941" t="s">
        <v>4812</v>
      </c>
      <c r="N941" t="s">
        <v>4900</v>
      </c>
      <c r="O941" t="s">
        <v>4910</v>
      </c>
    </row>
    <row r="942" spans="1:15" x14ac:dyDescent="0.35">
      <c r="A942" t="s">
        <v>946</v>
      </c>
      <c r="B942">
        <v>22</v>
      </c>
      <c r="C942" t="s">
        <v>4803</v>
      </c>
      <c r="D942" t="s">
        <v>15</v>
      </c>
      <c r="E942">
        <v>72</v>
      </c>
      <c r="F942">
        <v>51</v>
      </c>
      <c r="G942" t="s">
        <v>4799</v>
      </c>
      <c r="H942" t="s">
        <v>4804</v>
      </c>
      <c r="I942">
        <v>17.989999999999998</v>
      </c>
      <c r="J942">
        <v>1</v>
      </c>
      <c r="K942">
        <v>2.4</v>
      </c>
      <c r="L942">
        <v>1</v>
      </c>
      <c r="M942" t="s">
        <v>4810</v>
      </c>
      <c r="N942" t="s">
        <v>4899</v>
      </c>
      <c r="O942" t="s">
        <v>4912</v>
      </c>
    </row>
    <row r="943" spans="1:15" x14ac:dyDescent="0.35">
      <c r="A943" t="s">
        <v>947</v>
      </c>
      <c r="B943">
        <v>56</v>
      </c>
      <c r="C943" t="s">
        <v>4803</v>
      </c>
      <c r="D943" t="s">
        <v>13</v>
      </c>
      <c r="E943">
        <v>72</v>
      </c>
      <c r="F943">
        <v>1</v>
      </c>
      <c r="G943" t="s">
        <v>4798</v>
      </c>
      <c r="H943" t="s">
        <v>4804</v>
      </c>
      <c r="I943">
        <v>13.99</v>
      </c>
      <c r="J943">
        <v>2</v>
      </c>
      <c r="K943">
        <v>2.4</v>
      </c>
      <c r="L943">
        <v>0</v>
      </c>
      <c r="M943" t="s">
        <v>4810</v>
      </c>
      <c r="N943" t="s">
        <v>4900</v>
      </c>
      <c r="O943" t="s">
        <v>4911</v>
      </c>
    </row>
    <row r="944" spans="1:15" x14ac:dyDescent="0.35">
      <c r="A944" t="s">
        <v>948</v>
      </c>
      <c r="B944">
        <v>54</v>
      </c>
      <c r="C944" t="s">
        <v>4803</v>
      </c>
      <c r="D944" t="s">
        <v>15</v>
      </c>
      <c r="E944">
        <v>92</v>
      </c>
      <c r="F944">
        <v>24</v>
      </c>
      <c r="G944" t="s">
        <v>4798</v>
      </c>
      <c r="H944" t="s">
        <v>4805</v>
      </c>
      <c r="I944">
        <v>17.989999999999998</v>
      </c>
      <c r="J944">
        <v>4</v>
      </c>
      <c r="K944">
        <v>3.07</v>
      </c>
      <c r="L944">
        <v>0</v>
      </c>
      <c r="M944" t="s">
        <v>4810</v>
      </c>
      <c r="N944" t="s">
        <v>4900</v>
      </c>
      <c r="O944" t="s">
        <v>4910</v>
      </c>
    </row>
    <row r="945" spans="1:15" x14ac:dyDescent="0.35">
      <c r="A945" t="s">
        <v>949</v>
      </c>
      <c r="B945">
        <v>18</v>
      </c>
      <c r="C945" t="s">
        <v>4802</v>
      </c>
      <c r="D945" t="s">
        <v>15</v>
      </c>
      <c r="E945">
        <v>54</v>
      </c>
      <c r="F945">
        <v>55</v>
      </c>
      <c r="G945" t="s">
        <v>4798</v>
      </c>
      <c r="H945" t="s">
        <v>4805</v>
      </c>
      <c r="I945">
        <v>17.989999999999998</v>
      </c>
      <c r="J945">
        <v>3</v>
      </c>
      <c r="K945">
        <v>1.8</v>
      </c>
      <c r="L945">
        <v>0</v>
      </c>
      <c r="M945" t="s">
        <v>4812</v>
      </c>
      <c r="N945" t="s">
        <v>4900</v>
      </c>
      <c r="O945" t="s">
        <v>4912</v>
      </c>
    </row>
    <row r="946" spans="1:15" x14ac:dyDescent="0.35">
      <c r="A946" t="s">
        <v>950</v>
      </c>
      <c r="B946">
        <v>41</v>
      </c>
      <c r="C946" t="s">
        <v>4803</v>
      </c>
      <c r="D946" t="s">
        <v>15</v>
      </c>
      <c r="E946">
        <v>77</v>
      </c>
      <c r="F946">
        <v>4</v>
      </c>
      <c r="G946" t="s">
        <v>4798</v>
      </c>
      <c r="H946" t="s">
        <v>4806</v>
      </c>
      <c r="I946">
        <v>17.989999999999998</v>
      </c>
      <c r="J946">
        <v>4</v>
      </c>
      <c r="K946">
        <v>2.57</v>
      </c>
      <c r="L946">
        <v>0</v>
      </c>
      <c r="M946" t="s">
        <v>4812</v>
      </c>
      <c r="N946" t="s">
        <v>4900</v>
      </c>
      <c r="O946" t="s">
        <v>4910</v>
      </c>
    </row>
    <row r="947" spans="1:15" x14ac:dyDescent="0.35">
      <c r="A947" t="s">
        <v>951</v>
      </c>
      <c r="B947">
        <v>32</v>
      </c>
      <c r="C947" t="s">
        <v>4803</v>
      </c>
      <c r="D947" t="s">
        <v>13</v>
      </c>
      <c r="E947">
        <v>32</v>
      </c>
      <c r="F947">
        <v>28</v>
      </c>
      <c r="G947" t="s">
        <v>4797</v>
      </c>
      <c r="H947" t="s">
        <v>4805</v>
      </c>
      <c r="I947">
        <v>13.99</v>
      </c>
      <c r="J947">
        <v>1</v>
      </c>
      <c r="K947">
        <v>1.07</v>
      </c>
      <c r="L947">
        <v>1</v>
      </c>
      <c r="M947" t="s">
        <v>4809</v>
      </c>
      <c r="N947" t="s">
        <v>4899</v>
      </c>
      <c r="O947" t="s">
        <v>4912</v>
      </c>
    </row>
    <row r="948" spans="1:15" x14ac:dyDescent="0.35">
      <c r="A948" t="s">
        <v>952</v>
      </c>
      <c r="B948">
        <v>58</v>
      </c>
      <c r="C948" t="s">
        <v>4802</v>
      </c>
      <c r="D948" t="s">
        <v>13</v>
      </c>
      <c r="E948">
        <v>32</v>
      </c>
      <c r="F948">
        <v>36</v>
      </c>
      <c r="G948" t="s">
        <v>4799</v>
      </c>
      <c r="H948" t="s">
        <v>4806</v>
      </c>
      <c r="I948">
        <v>13.99</v>
      </c>
      <c r="J948">
        <v>2</v>
      </c>
      <c r="K948">
        <v>1.07</v>
      </c>
      <c r="L948">
        <v>1</v>
      </c>
      <c r="M948" t="s">
        <v>4812</v>
      </c>
      <c r="N948" t="s">
        <v>4899</v>
      </c>
      <c r="O948" t="s">
        <v>4911</v>
      </c>
    </row>
    <row r="949" spans="1:15" x14ac:dyDescent="0.35">
      <c r="A949" t="s">
        <v>953</v>
      </c>
      <c r="B949">
        <v>29</v>
      </c>
      <c r="C949" t="s">
        <v>4802</v>
      </c>
      <c r="D949" t="s">
        <v>13</v>
      </c>
      <c r="E949">
        <v>63</v>
      </c>
      <c r="F949">
        <v>10</v>
      </c>
      <c r="G949" t="s">
        <v>4797</v>
      </c>
      <c r="H949" t="s">
        <v>4804</v>
      </c>
      <c r="I949">
        <v>13.99</v>
      </c>
      <c r="J949">
        <v>1</v>
      </c>
      <c r="K949">
        <v>2.1</v>
      </c>
      <c r="L949">
        <v>0</v>
      </c>
      <c r="M949" t="s">
        <v>4811</v>
      </c>
      <c r="N949" t="s">
        <v>4900</v>
      </c>
      <c r="O949" t="s">
        <v>4912</v>
      </c>
    </row>
    <row r="950" spans="1:15" x14ac:dyDescent="0.35">
      <c r="A950" t="s">
        <v>954</v>
      </c>
      <c r="B950">
        <v>37</v>
      </c>
      <c r="C950" t="s">
        <v>4802</v>
      </c>
      <c r="D950" t="s">
        <v>13</v>
      </c>
      <c r="E950">
        <v>46</v>
      </c>
      <c r="F950">
        <v>45</v>
      </c>
      <c r="G950" t="s">
        <v>4797</v>
      </c>
      <c r="H950" t="s">
        <v>4806</v>
      </c>
      <c r="I950">
        <v>13.99</v>
      </c>
      <c r="J950">
        <v>3</v>
      </c>
      <c r="K950">
        <v>1.53</v>
      </c>
      <c r="L950">
        <v>1</v>
      </c>
      <c r="M950" t="s">
        <v>4808</v>
      </c>
      <c r="N950" t="s">
        <v>4899</v>
      </c>
      <c r="O950" t="s">
        <v>4910</v>
      </c>
    </row>
    <row r="951" spans="1:15" x14ac:dyDescent="0.35">
      <c r="A951" t="s">
        <v>955</v>
      </c>
      <c r="B951">
        <v>58</v>
      </c>
      <c r="C951" t="s">
        <v>4802</v>
      </c>
      <c r="D951" t="s">
        <v>15</v>
      </c>
      <c r="E951">
        <v>57</v>
      </c>
      <c r="F951">
        <v>1</v>
      </c>
      <c r="G951" t="s">
        <v>4799</v>
      </c>
      <c r="H951" t="s">
        <v>4806</v>
      </c>
      <c r="I951">
        <v>17.989999999999998</v>
      </c>
      <c r="J951">
        <v>4</v>
      </c>
      <c r="K951">
        <v>1.9</v>
      </c>
      <c r="L951">
        <v>0</v>
      </c>
      <c r="M951" t="s">
        <v>4810</v>
      </c>
      <c r="N951" t="s">
        <v>4900</v>
      </c>
      <c r="O951" t="s">
        <v>4911</v>
      </c>
    </row>
    <row r="952" spans="1:15" x14ac:dyDescent="0.35">
      <c r="A952" t="s">
        <v>956</v>
      </c>
      <c r="B952">
        <v>34</v>
      </c>
      <c r="C952" t="s">
        <v>4802</v>
      </c>
      <c r="D952" t="s">
        <v>13</v>
      </c>
      <c r="E952">
        <v>37</v>
      </c>
      <c r="F952">
        <v>55</v>
      </c>
      <c r="G952" t="s">
        <v>4798</v>
      </c>
      <c r="H952" t="s">
        <v>4807</v>
      </c>
      <c r="I952">
        <v>13.99</v>
      </c>
      <c r="J952">
        <v>2</v>
      </c>
      <c r="K952">
        <v>1.23</v>
      </c>
      <c r="L952">
        <v>0</v>
      </c>
      <c r="M952" t="s">
        <v>4812</v>
      </c>
      <c r="N952" t="s">
        <v>4900</v>
      </c>
      <c r="O952" t="s">
        <v>4912</v>
      </c>
    </row>
    <row r="953" spans="1:15" x14ac:dyDescent="0.35">
      <c r="A953" t="s">
        <v>957</v>
      </c>
      <c r="B953">
        <v>47</v>
      </c>
      <c r="C953" t="s">
        <v>4802</v>
      </c>
      <c r="D953" t="s">
        <v>15</v>
      </c>
      <c r="E953">
        <v>64</v>
      </c>
      <c r="F953">
        <v>37</v>
      </c>
      <c r="G953" t="s">
        <v>4798</v>
      </c>
      <c r="H953" t="s">
        <v>4806</v>
      </c>
      <c r="I953">
        <v>17.989999999999998</v>
      </c>
      <c r="J953">
        <v>5</v>
      </c>
      <c r="K953">
        <v>2.13</v>
      </c>
      <c r="L953">
        <v>0</v>
      </c>
      <c r="M953" t="s">
        <v>4812</v>
      </c>
      <c r="N953" t="s">
        <v>4900</v>
      </c>
      <c r="O953" t="s">
        <v>4910</v>
      </c>
    </row>
    <row r="954" spans="1:15" x14ac:dyDescent="0.35">
      <c r="A954" t="s">
        <v>958</v>
      </c>
      <c r="B954">
        <v>62</v>
      </c>
      <c r="C954" t="s">
        <v>4802</v>
      </c>
      <c r="D954" t="s">
        <v>13</v>
      </c>
      <c r="E954">
        <v>75</v>
      </c>
      <c r="F954">
        <v>36</v>
      </c>
      <c r="G954" t="s">
        <v>4797</v>
      </c>
      <c r="H954" t="s">
        <v>4805</v>
      </c>
      <c r="I954">
        <v>13.99</v>
      </c>
      <c r="J954">
        <v>1</v>
      </c>
      <c r="K954">
        <v>2.5</v>
      </c>
      <c r="L954">
        <v>0</v>
      </c>
      <c r="M954" t="s">
        <v>4811</v>
      </c>
      <c r="N954" t="s">
        <v>4900</v>
      </c>
      <c r="O954" t="s">
        <v>4911</v>
      </c>
    </row>
    <row r="955" spans="1:15" x14ac:dyDescent="0.35">
      <c r="A955" t="s">
        <v>959</v>
      </c>
      <c r="B955">
        <v>32</v>
      </c>
      <c r="C955" t="s">
        <v>4802</v>
      </c>
      <c r="D955" t="s">
        <v>13</v>
      </c>
      <c r="E955">
        <v>72</v>
      </c>
      <c r="F955">
        <v>32</v>
      </c>
      <c r="G955" t="s">
        <v>4798</v>
      </c>
      <c r="H955" t="s">
        <v>4804</v>
      </c>
      <c r="I955">
        <v>13.99</v>
      </c>
      <c r="J955">
        <v>3</v>
      </c>
      <c r="K955">
        <v>2.4</v>
      </c>
      <c r="L955">
        <v>0</v>
      </c>
      <c r="M955" t="s">
        <v>4811</v>
      </c>
      <c r="N955" t="s">
        <v>4900</v>
      </c>
      <c r="O955" t="s">
        <v>4912</v>
      </c>
    </row>
    <row r="956" spans="1:15" x14ac:dyDescent="0.35">
      <c r="A956" t="s">
        <v>960</v>
      </c>
      <c r="B956">
        <v>59</v>
      </c>
      <c r="C956" t="s">
        <v>4803</v>
      </c>
      <c r="D956" t="s">
        <v>13</v>
      </c>
      <c r="E956">
        <v>72</v>
      </c>
      <c r="F956">
        <v>31</v>
      </c>
      <c r="G956" t="s">
        <v>4799</v>
      </c>
      <c r="H956" t="s">
        <v>4806</v>
      </c>
      <c r="I956">
        <v>13.99</v>
      </c>
      <c r="J956">
        <v>1</v>
      </c>
      <c r="K956">
        <v>2.0299999999999998</v>
      </c>
      <c r="L956">
        <v>0</v>
      </c>
      <c r="M956" t="s">
        <v>4809</v>
      </c>
      <c r="N956" t="s">
        <v>4900</v>
      </c>
      <c r="O956" t="s">
        <v>4911</v>
      </c>
    </row>
    <row r="957" spans="1:15" x14ac:dyDescent="0.35">
      <c r="A957" t="s">
        <v>961</v>
      </c>
      <c r="B957">
        <v>61</v>
      </c>
      <c r="C957" t="s">
        <v>4802</v>
      </c>
      <c r="D957" t="s">
        <v>15</v>
      </c>
      <c r="E957">
        <v>55</v>
      </c>
      <c r="F957">
        <v>41</v>
      </c>
      <c r="G957" t="s">
        <v>4798</v>
      </c>
      <c r="H957" t="s">
        <v>4804</v>
      </c>
      <c r="I957">
        <v>17.989999999999998</v>
      </c>
      <c r="J957">
        <v>5</v>
      </c>
      <c r="K957">
        <v>1.83</v>
      </c>
      <c r="L957">
        <v>0</v>
      </c>
      <c r="M957" t="s">
        <v>4808</v>
      </c>
      <c r="N957" t="s">
        <v>4900</v>
      </c>
      <c r="O957" t="s">
        <v>4911</v>
      </c>
    </row>
    <row r="958" spans="1:15" x14ac:dyDescent="0.35">
      <c r="A958" t="s">
        <v>962</v>
      </c>
      <c r="B958">
        <v>27</v>
      </c>
      <c r="C958" t="s">
        <v>4802</v>
      </c>
      <c r="D958" t="s">
        <v>13</v>
      </c>
      <c r="E958">
        <v>55</v>
      </c>
      <c r="F958">
        <v>31</v>
      </c>
      <c r="G958" t="s">
        <v>4799</v>
      </c>
      <c r="H958" t="s">
        <v>4805</v>
      </c>
      <c r="I958">
        <v>13.99</v>
      </c>
      <c r="J958">
        <v>1</v>
      </c>
      <c r="K958">
        <v>1.83</v>
      </c>
      <c r="L958">
        <v>0</v>
      </c>
      <c r="M958" t="s">
        <v>4811</v>
      </c>
      <c r="N958" t="s">
        <v>4900</v>
      </c>
      <c r="O958" t="s">
        <v>4912</v>
      </c>
    </row>
    <row r="959" spans="1:15" x14ac:dyDescent="0.35">
      <c r="A959" t="s">
        <v>963</v>
      </c>
      <c r="B959">
        <v>37</v>
      </c>
      <c r="C959" t="s">
        <v>4802</v>
      </c>
      <c r="D959" t="s">
        <v>15</v>
      </c>
      <c r="E959">
        <v>76</v>
      </c>
      <c r="F959">
        <v>5</v>
      </c>
      <c r="G959" t="s">
        <v>4798</v>
      </c>
      <c r="H959" t="s">
        <v>4805</v>
      </c>
      <c r="I959">
        <v>17.989999999999998</v>
      </c>
      <c r="J959">
        <v>3</v>
      </c>
      <c r="K959">
        <v>2.0299999999999998</v>
      </c>
      <c r="L959">
        <v>0</v>
      </c>
      <c r="M959" t="s">
        <v>4811</v>
      </c>
      <c r="N959" t="s">
        <v>4900</v>
      </c>
      <c r="O959" t="s">
        <v>4910</v>
      </c>
    </row>
    <row r="960" spans="1:15" x14ac:dyDescent="0.35">
      <c r="A960" t="s">
        <v>964</v>
      </c>
      <c r="B960">
        <v>41</v>
      </c>
      <c r="C960" t="s">
        <v>4802</v>
      </c>
      <c r="D960" t="s">
        <v>13</v>
      </c>
      <c r="E960">
        <v>40</v>
      </c>
      <c r="F960">
        <v>8</v>
      </c>
      <c r="G960" t="s">
        <v>4797</v>
      </c>
      <c r="H960" t="s">
        <v>4806</v>
      </c>
      <c r="I960">
        <v>13.99</v>
      </c>
      <c r="J960">
        <v>2</v>
      </c>
      <c r="K960">
        <v>2.0299999999999998</v>
      </c>
      <c r="L960">
        <v>0</v>
      </c>
      <c r="M960" t="s">
        <v>4812</v>
      </c>
      <c r="N960" t="s">
        <v>4900</v>
      </c>
      <c r="O960" t="s">
        <v>4910</v>
      </c>
    </row>
    <row r="961" spans="1:15" x14ac:dyDescent="0.35">
      <c r="A961" t="s">
        <v>965</v>
      </c>
      <c r="B961">
        <v>56</v>
      </c>
      <c r="C961" t="s">
        <v>4802</v>
      </c>
      <c r="D961" t="s">
        <v>13</v>
      </c>
      <c r="E961">
        <v>31</v>
      </c>
      <c r="F961">
        <v>47</v>
      </c>
      <c r="G961" t="s">
        <v>4797</v>
      </c>
      <c r="H961" t="s">
        <v>4804</v>
      </c>
      <c r="I961">
        <v>13.99</v>
      </c>
      <c r="J961">
        <v>2</v>
      </c>
      <c r="K961">
        <v>2.0299999999999998</v>
      </c>
      <c r="L961">
        <v>1</v>
      </c>
      <c r="M961" t="s">
        <v>4808</v>
      </c>
      <c r="N961" t="s">
        <v>4899</v>
      </c>
      <c r="O961" t="s">
        <v>4911</v>
      </c>
    </row>
    <row r="962" spans="1:15" x14ac:dyDescent="0.35">
      <c r="A962" t="s">
        <v>966</v>
      </c>
      <c r="B962">
        <v>27</v>
      </c>
      <c r="C962" t="s">
        <v>4803</v>
      </c>
      <c r="D962" t="s">
        <v>13</v>
      </c>
      <c r="E962">
        <v>46</v>
      </c>
      <c r="F962">
        <v>9</v>
      </c>
      <c r="G962" t="s">
        <v>4799</v>
      </c>
      <c r="H962" t="s">
        <v>4805</v>
      </c>
      <c r="I962">
        <v>13.99</v>
      </c>
      <c r="J962">
        <v>1</v>
      </c>
      <c r="K962">
        <v>1.53</v>
      </c>
      <c r="L962">
        <v>0</v>
      </c>
      <c r="M962" t="s">
        <v>4810</v>
      </c>
      <c r="N962" t="s">
        <v>4900</v>
      </c>
      <c r="O962" t="s">
        <v>4912</v>
      </c>
    </row>
    <row r="963" spans="1:15" x14ac:dyDescent="0.35">
      <c r="A963" t="s">
        <v>967</v>
      </c>
      <c r="B963">
        <v>61</v>
      </c>
      <c r="C963" t="s">
        <v>4802</v>
      </c>
      <c r="D963" t="s">
        <v>13</v>
      </c>
      <c r="E963">
        <v>48</v>
      </c>
      <c r="F963">
        <v>5</v>
      </c>
      <c r="G963" t="s">
        <v>4798</v>
      </c>
      <c r="H963" t="s">
        <v>4804</v>
      </c>
      <c r="I963">
        <v>13.99</v>
      </c>
      <c r="J963">
        <v>4</v>
      </c>
      <c r="K963">
        <v>1.6</v>
      </c>
      <c r="L963">
        <v>0</v>
      </c>
      <c r="M963" t="s">
        <v>4812</v>
      </c>
      <c r="N963" t="s">
        <v>4900</v>
      </c>
      <c r="O963" t="s">
        <v>4911</v>
      </c>
    </row>
    <row r="964" spans="1:15" x14ac:dyDescent="0.35">
      <c r="A964" t="s">
        <v>968</v>
      </c>
      <c r="B964">
        <v>53</v>
      </c>
      <c r="C964" t="s">
        <v>4803</v>
      </c>
      <c r="D964" t="s">
        <v>13</v>
      </c>
      <c r="E964">
        <v>65</v>
      </c>
      <c r="F964">
        <v>5</v>
      </c>
      <c r="G964" t="s">
        <v>4799</v>
      </c>
      <c r="H964" t="s">
        <v>4806</v>
      </c>
      <c r="I964">
        <v>13.99</v>
      </c>
      <c r="J964">
        <v>2</v>
      </c>
      <c r="K964">
        <v>2.17</v>
      </c>
      <c r="L964">
        <v>0</v>
      </c>
      <c r="M964" t="s">
        <v>4812</v>
      </c>
      <c r="N964" t="s">
        <v>4900</v>
      </c>
      <c r="O964" t="s">
        <v>4910</v>
      </c>
    </row>
    <row r="965" spans="1:15" x14ac:dyDescent="0.35">
      <c r="A965" t="s">
        <v>969</v>
      </c>
      <c r="B965">
        <v>18</v>
      </c>
      <c r="C965" t="s">
        <v>4803</v>
      </c>
      <c r="D965" t="s">
        <v>13</v>
      </c>
      <c r="E965">
        <v>60</v>
      </c>
      <c r="F965">
        <v>45</v>
      </c>
      <c r="G965" t="s">
        <v>4798</v>
      </c>
      <c r="H965" t="s">
        <v>4804</v>
      </c>
      <c r="I965">
        <v>13.99</v>
      </c>
      <c r="J965">
        <v>4</v>
      </c>
      <c r="K965">
        <v>2</v>
      </c>
      <c r="L965">
        <v>0</v>
      </c>
      <c r="M965" t="s">
        <v>4812</v>
      </c>
      <c r="N965" t="s">
        <v>4900</v>
      </c>
      <c r="O965" t="s">
        <v>4912</v>
      </c>
    </row>
    <row r="966" spans="1:15" x14ac:dyDescent="0.35">
      <c r="A966" t="s">
        <v>970</v>
      </c>
      <c r="B966">
        <v>40</v>
      </c>
      <c r="C966" t="s">
        <v>4802</v>
      </c>
      <c r="D966" t="s">
        <v>15</v>
      </c>
      <c r="E966">
        <v>91</v>
      </c>
      <c r="F966">
        <v>23</v>
      </c>
      <c r="G966" t="s">
        <v>4798</v>
      </c>
      <c r="H966" t="s">
        <v>4805</v>
      </c>
      <c r="I966">
        <v>17.989999999999998</v>
      </c>
      <c r="J966">
        <v>3</v>
      </c>
      <c r="K966">
        <v>3.03</v>
      </c>
      <c r="L966">
        <v>0</v>
      </c>
      <c r="M966" t="s">
        <v>4812</v>
      </c>
      <c r="N966" t="s">
        <v>4900</v>
      </c>
      <c r="O966" t="s">
        <v>4910</v>
      </c>
    </row>
    <row r="967" spans="1:15" x14ac:dyDescent="0.35">
      <c r="A967" t="s">
        <v>971</v>
      </c>
      <c r="B967">
        <v>32</v>
      </c>
      <c r="C967" t="s">
        <v>4802</v>
      </c>
      <c r="D967" t="s">
        <v>13</v>
      </c>
      <c r="E967">
        <v>42</v>
      </c>
      <c r="F967">
        <v>58</v>
      </c>
      <c r="G967" t="s">
        <v>4797</v>
      </c>
      <c r="H967" t="s">
        <v>4806</v>
      </c>
      <c r="I967">
        <v>13.99</v>
      </c>
      <c r="J967">
        <v>3</v>
      </c>
      <c r="K967">
        <v>1.4</v>
      </c>
      <c r="L967">
        <v>0</v>
      </c>
      <c r="M967" t="s">
        <v>4810</v>
      </c>
      <c r="N967" t="s">
        <v>4900</v>
      </c>
      <c r="O967" t="s">
        <v>4912</v>
      </c>
    </row>
    <row r="968" spans="1:15" x14ac:dyDescent="0.35">
      <c r="A968" t="s">
        <v>972</v>
      </c>
      <c r="B968">
        <v>35</v>
      </c>
      <c r="C968" t="s">
        <v>4803</v>
      </c>
      <c r="D968" t="s">
        <v>13</v>
      </c>
      <c r="E968">
        <v>78</v>
      </c>
      <c r="F968">
        <v>51</v>
      </c>
      <c r="G968" t="s">
        <v>4799</v>
      </c>
      <c r="H968" t="s">
        <v>4806</v>
      </c>
      <c r="I968">
        <v>13.99</v>
      </c>
      <c r="J968">
        <v>2</v>
      </c>
      <c r="K968">
        <v>2.6</v>
      </c>
      <c r="L968">
        <v>1</v>
      </c>
      <c r="M968" t="s">
        <v>4809</v>
      </c>
      <c r="N968" t="s">
        <v>4899</v>
      </c>
      <c r="O968" t="s">
        <v>4910</v>
      </c>
    </row>
    <row r="969" spans="1:15" x14ac:dyDescent="0.35">
      <c r="A969" t="s">
        <v>973</v>
      </c>
      <c r="B969">
        <v>47</v>
      </c>
      <c r="C969" t="s">
        <v>4802</v>
      </c>
      <c r="D969" t="s">
        <v>14</v>
      </c>
      <c r="E969">
        <v>13</v>
      </c>
      <c r="F969">
        <v>17</v>
      </c>
      <c r="G969" t="s">
        <v>4797</v>
      </c>
      <c r="H969" t="s">
        <v>4805</v>
      </c>
      <c r="I969">
        <v>8.99</v>
      </c>
      <c r="J969">
        <v>1</v>
      </c>
      <c r="K969">
        <v>0.43</v>
      </c>
      <c r="L969">
        <v>1</v>
      </c>
      <c r="M969" t="s">
        <v>4809</v>
      </c>
      <c r="N969" t="s">
        <v>4899</v>
      </c>
      <c r="O969" t="s">
        <v>4910</v>
      </c>
    </row>
    <row r="970" spans="1:15" x14ac:dyDescent="0.35">
      <c r="A970" t="s">
        <v>974</v>
      </c>
      <c r="B970">
        <v>57</v>
      </c>
      <c r="C970" t="s">
        <v>4802</v>
      </c>
      <c r="D970" t="s">
        <v>14</v>
      </c>
      <c r="E970">
        <v>10</v>
      </c>
      <c r="F970">
        <v>19</v>
      </c>
      <c r="G970" t="s">
        <v>4798</v>
      </c>
      <c r="H970" t="s">
        <v>4805</v>
      </c>
      <c r="I970">
        <v>8.99</v>
      </c>
      <c r="J970">
        <v>2</v>
      </c>
      <c r="K970">
        <v>0.33</v>
      </c>
      <c r="L970">
        <v>1</v>
      </c>
      <c r="M970" t="s">
        <v>4810</v>
      </c>
      <c r="N970" t="s">
        <v>4899</v>
      </c>
      <c r="O970" t="s">
        <v>4911</v>
      </c>
    </row>
    <row r="971" spans="1:15" x14ac:dyDescent="0.35">
      <c r="A971" t="s">
        <v>975</v>
      </c>
      <c r="B971">
        <v>32</v>
      </c>
      <c r="C971" t="s">
        <v>4802</v>
      </c>
      <c r="D971" t="s">
        <v>15</v>
      </c>
      <c r="E971">
        <v>102</v>
      </c>
      <c r="F971">
        <v>5</v>
      </c>
      <c r="G971" t="s">
        <v>4797</v>
      </c>
      <c r="H971" t="s">
        <v>4806</v>
      </c>
      <c r="I971">
        <v>17.989999999999998</v>
      </c>
      <c r="J971">
        <v>4</v>
      </c>
      <c r="K971">
        <v>3.4</v>
      </c>
      <c r="L971">
        <v>0</v>
      </c>
      <c r="M971" t="s">
        <v>4810</v>
      </c>
      <c r="N971" t="s">
        <v>4900</v>
      </c>
      <c r="O971" t="s">
        <v>4912</v>
      </c>
    </row>
    <row r="972" spans="1:15" x14ac:dyDescent="0.35">
      <c r="A972" t="s">
        <v>976</v>
      </c>
      <c r="B972">
        <v>30</v>
      </c>
      <c r="C972" t="s">
        <v>4803</v>
      </c>
      <c r="D972" t="s">
        <v>13</v>
      </c>
      <c r="E972">
        <v>55</v>
      </c>
      <c r="F972" t="s">
        <v>4814</v>
      </c>
      <c r="G972" t="s">
        <v>4797</v>
      </c>
      <c r="H972" t="s">
        <v>4804</v>
      </c>
      <c r="I972">
        <v>13.99</v>
      </c>
      <c r="J972">
        <v>4</v>
      </c>
      <c r="K972">
        <v>2.0299999999999998</v>
      </c>
      <c r="L972">
        <v>0</v>
      </c>
      <c r="M972" t="s">
        <v>4810</v>
      </c>
      <c r="N972" t="s">
        <v>4900</v>
      </c>
      <c r="O972" t="s">
        <v>4912</v>
      </c>
    </row>
    <row r="973" spans="1:15" x14ac:dyDescent="0.35">
      <c r="A973" t="s">
        <v>977</v>
      </c>
      <c r="B973">
        <v>36</v>
      </c>
      <c r="C973" t="s">
        <v>4802</v>
      </c>
      <c r="D973" t="s">
        <v>13</v>
      </c>
      <c r="E973">
        <v>40</v>
      </c>
      <c r="F973">
        <v>24</v>
      </c>
      <c r="G973" t="s">
        <v>4798</v>
      </c>
      <c r="H973" t="s">
        <v>4805</v>
      </c>
      <c r="I973">
        <v>13.99</v>
      </c>
      <c r="J973">
        <v>1</v>
      </c>
      <c r="K973">
        <v>1.33</v>
      </c>
      <c r="L973">
        <v>0</v>
      </c>
      <c r="M973" t="s">
        <v>4811</v>
      </c>
      <c r="N973" t="s">
        <v>4900</v>
      </c>
      <c r="O973" t="s">
        <v>4910</v>
      </c>
    </row>
    <row r="974" spans="1:15" x14ac:dyDescent="0.35">
      <c r="A974" t="s">
        <v>978</v>
      </c>
      <c r="B974">
        <v>53</v>
      </c>
      <c r="C974" t="s">
        <v>4803</v>
      </c>
      <c r="D974" t="s">
        <v>15</v>
      </c>
      <c r="E974">
        <v>81</v>
      </c>
      <c r="F974">
        <v>24</v>
      </c>
      <c r="G974" t="s">
        <v>4800</v>
      </c>
      <c r="H974" t="s">
        <v>4804</v>
      </c>
      <c r="I974">
        <v>17.989999999999998</v>
      </c>
      <c r="J974">
        <v>3</v>
      </c>
      <c r="K974">
        <v>2.7</v>
      </c>
      <c r="L974">
        <v>1</v>
      </c>
      <c r="M974" t="s">
        <v>4810</v>
      </c>
      <c r="N974" t="s">
        <v>4899</v>
      </c>
      <c r="O974" t="s">
        <v>4910</v>
      </c>
    </row>
    <row r="975" spans="1:15" x14ac:dyDescent="0.35">
      <c r="A975" t="s">
        <v>979</v>
      </c>
      <c r="B975">
        <v>33</v>
      </c>
      <c r="C975" t="s">
        <v>4802</v>
      </c>
      <c r="D975" t="s">
        <v>13</v>
      </c>
      <c r="E975">
        <v>61</v>
      </c>
      <c r="F975">
        <v>13</v>
      </c>
      <c r="G975" t="s">
        <v>4799</v>
      </c>
      <c r="H975" t="s">
        <v>4805</v>
      </c>
      <c r="I975">
        <v>13.99</v>
      </c>
      <c r="J975">
        <v>4</v>
      </c>
      <c r="K975">
        <v>2.0299999999999998</v>
      </c>
      <c r="L975">
        <v>0</v>
      </c>
      <c r="M975" t="s">
        <v>4811</v>
      </c>
      <c r="N975" t="s">
        <v>4900</v>
      </c>
      <c r="O975" t="s">
        <v>4912</v>
      </c>
    </row>
    <row r="976" spans="1:15" x14ac:dyDescent="0.35">
      <c r="A976" t="s">
        <v>980</v>
      </c>
      <c r="B976">
        <v>30</v>
      </c>
      <c r="C976" t="s">
        <v>4802</v>
      </c>
      <c r="D976" t="s">
        <v>14</v>
      </c>
      <c r="E976">
        <v>47</v>
      </c>
      <c r="F976">
        <v>39</v>
      </c>
      <c r="G976" t="s">
        <v>4798</v>
      </c>
      <c r="H976" t="s">
        <v>4805</v>
      </c>
      <c r="I976">
        <v>8.99</v>
      </c>
      <c r="J976">
        <v>2</v>
      </c>
      <c r="K976">
        <v>1.57</v>
      </c>
      <c r="L976">
        <v>0</v>
      </c>
      <c r="M976" t="s">
        <v>4812</v>
      </c>
      <c r="N976" t="s">
        <v>4900</v>
      </c>
      <c r="O976" t="s">
        <v>4912</v>
      </c>
    </row>
    <row r="977" spans="1:15" x14ac:dyDescent="0.35">
      <c r="A977" t="s">
        <v>981</v>
      </c>
      <c r="B977">
        <v>37</v>
      </c>
      <c r="C977" t="s">
        <v>4803</v>
      </c>
      <c r="D977" t="s">
        <v>15</v>
      </c>
      <c r="E977">
        <v>64</v>
      </c>
      <c r="F977">
        <v>0</v>
      </c>
      <c r="G977" t="s">
        <v>4798</v>
      </c>
      <c r="H977" t="s">
        <v>4807</v>
      </c>
      <c r="I977">
        <v>17.989999999999998</v>
      </c>
      <c r="J977">
        <v>2</v>
      </c>
      <c r="K977">
        <v>2.13</v>
      </c>
      <c r="L977">
        <v>0</v>
      </c>
      <c r="M977" t="s">
        <v>4811</v>
      </c>
      <c r="N977" t="s">
        <v>4900</v>
      </c>
      <c r="O977" t="s">
        <v>4910</v>
      </c>
    </row>
    <row r="978" spans="1:15" x14ac:dyDescent="0.35">
      <c r="A978" t="s">
        <v>982</v>
      </c>
      <c r="B978">
        <v>41</v>
      </c>
      <c r="C978" t="s">
        <v>4803</v>
      </c>
      <c r="D978" t="s">
        <v>13</v>
      </c>
      <c r="E978">
        <v>75</v>
      </c>
      <c r="F978">
        <v>13</v>
      </c>
      <c r="G978" t="s">
        <v>4800</v>
      </c>
      <c r="H978" t="s">
        <v>4804</v>
      </c>
      <c r="I978">
        <v>13.99</v>
      </c>
      <c r="J978">
        <v>1</v>
      </c>
      <c r="K978">
        <v>2.5</v>
      </c>
      <c r="L978">
        <v>0</v>
      </c>
      <c r="M978" t="s">
        <v>4810</v>
      </c>
      <c r="N978" t="s">
        <v>4900</v>
      </c>
      <c r="O978" t="s">
        <v>4910</v>
      </c>
    </row>
    <row r="979" spans="1:15" x14ac:dyDescent="0.35">
      <c r="A979" t="s">
        <v>983</v>
      </c>
      <c r="B979">
        <v>38</v>
      </c>
      <c r="C979" t="s">
        <v>4803</v>
      </c>
      <c r="D979" t="s">
        <v>13</v>
      </c>
      <c r="E979">
        <v>35</v>
      </c>
      <c r="F979">
        <v>19</v>
      </c>
      <c r="G979" t="s">
        <v>4797</v>
      </c>
      <c r="H979" t="s">
        <v>4804</v>
      </c>
      <c r="I979">
        <v>13.99</v>
      </c>
      <c r="J979">
        <v>1</v>
      </c>
      <c r="K979">
        <v>1.17</v>
      </c>
      <c r="L979">
        <v>0</v>
      </c>
      <c r="M979" t="s">
        <v>4809</v>
      </c>
      <c r="N979" t="s">
        <v>4900</v>
      </c>
      <c r="O979" t="s">
        <v>4910</v>
      </c>
    </row>
    <row r="980" spans="1:15" x14ac:dyDescent="0.35">
      <c r="A980" t="s">
        <v>984</v>
      </c>
      <c r="B980">
        <v>37</v>
      </c>
      <c r="C980" t="s">
        <v>4803</v>
      </c>
      <c r="D980" t="s">
        <v>13</v>
      </c>
      <c r="E980">
        <v>72</v>
      </c>
      <c r="F980">
        <v>56</v>
      </c>
      <c r="G980" t="s">
        <v>4797</v>
      </c>
      <c r="H980" t="s">
        <v>4806</v>
      </c>
      <c r="I980">
        <v>13.99</v>
      </c>
      <c r="J980">
        <v>2</v>
      </c>
      <c r="K980">
        <v>2.4</v>
      </c>
      <c r="L980">
        <v>0</v>
      </c>
      <c r="M980" t="s">
        <v>4809</v>
      </c>
      <c r="N980" t="s">
        <v>4900</v>
      </c>
      <c r="O980" t="s">
        <v>4910</v>
      </c>
    </row>
    <row r="981" spans="1:15" x14ac:dyDescent="0.35">
      <c r="A981" t="s">
        <v>985</v>
      </c>
      <c r="B981">
        <v>19</v>
      </c>
      <c r="C981" t="s">
        <v>4803</v>
      </c>
      <c r="D981" t="s">
        <v>13</v>
      </c>
      <c r="E981">
        <v>32</v>
      </c>
      <c r="F981">
        <v>43</v>
      </c>
      <c r="G981" t="s">
        <v>4799</v>
      </c>
      <c r="H981" t="s">
        <v>4805</v>
      </c>
      <c r="I981">
        <v>13.99</v>
      </c>
      <c r="J981">
        <v>1</v>
      </c>
      <c r="K981">
        <v>1.07</v>
      </c>
      <c r="L981">
        <v>0</v>
      </c>
      <c r="M981" t="s">
        <v>4809</v>
      </c>
      <c r="N981" t="s">
        <v>4900</v>
      </c>
      <c r="O981" t="s">
        <v>4912</v>
      </c>
    </row>
    <row r="982" spans="1:15" x14ac:dyDescent="0.35">
      <c r="A982" t="s">
        <v>986</v>
      </c>
      <c r="B982">
        <v>20</v>
      </c>
      <c r="C982" t="s">
        <v>4802</v>
      </c>
      <c r="D982" t="s">
        <v>13</v>
      </c>
      <c r="E982">
        <v>34</v>
      </c>
      <c r="F982">
        <v>25</v>
      </c>
      <c r="G982" t="s">
        <v>4798</v>
      </c>
      <c r="H982" t="s">
        <v>4806</v>
      </c>
      <c r="I982">
        <v>13.99</v>
      </c>
      <c r="J982">
        <v>2</v>
      </c>
      <c r="K982">
        <v>1.1299999999999999</v>
      </c>
      <c r="L982">
        <v>1</v>
      </c>
      <c r="M982" t="s">
        <v>4810</v>
      </c>
      <c r="N982" t="s">
        <v>4899</v>
      </c>
      <c r="O982" t="s">
        <v>4912</v>
      </c>
    </row>
    <row r="983" spans="1:15" x14ac:dyDescent="0.35">
      <c r="A983" t="s">
        <v>987</v>
      </c>
      <c r="B983">
        <v>51</v>
      </c>
      <c r="C983" t="s">
        <v>4802</v>
      </c>
      <c r="D983" t="s">
        <v>13</v>
      </c>
      <c r="E983">
        <v>30</v>
      </c>
      <c r="F983">
        <v>32</v>
      </c>
      <c r="G983" t="s">
        <v>4799</v>
      </c>
      <c r="H983" t="s">
        <v>4804</v>
      </c>
      <c r="I983">
        <v>13.99</v>
      </c>
      <c r="J983">
        <v>2</v>
      </c>
      <c r="K983">
        <v>1</v>
      </c>
      <c r="L983">
        <v>0</v>
      </c>
      <c r="M983" t="s">
        <v>4809</v>
      </c>
      <c r="N983" t="s">
        <v>4900</v>
      </c>
      <c r="O983" t="s">
        <v>4910</v>
      </c>
    </row>
    <row r="984" spans="1:15" x14ac:dyDescent="0.35">
      <c r="A984" t="s">
        <v>988</v>
      </c>
      <c r="B984">
        <v>54</v>
      </c>
      <c r="C984" t="s">
        <v>4803</v>
      </c>
      <c r="D984" t="s">
        <v>13</v>
      </c>
      <c r="E984">
        <v>34</v>
      </c>
      <c r="F984">
        <v>21</v>
      </c>
      <c r="G984" t="s">
        <v>4799</v>
      </c>
      <c r="H984" t="s">
        <v>4805</v>
      </c>
      <c r="I984">
        <v>13.99</v>
      </c>
      <c r="J984">
        <v>1</v>
      </c>
      <c r="K984">
        <v>1.1299999999999999</v>
      </c>
      <c r="L984">
        <v>0</v>
      </c>
      <c r="M984" t="s">
        <v>4808</v>
      </c>
      <c r="N984" t="s">
        <v>4900</v>
      </c>
      <c r="O984" t="s">
        <v>4910</v>
      </c>
    </row>
    <row r="985" spans="1:15" x14ac:dyDescent="0.35">
      <c r="A985" t="s">
        <v>989</v>
      </c>
      <c r="B985">
        <v>35</v>
      </c>
      <c r="C985" t="s">
        <v>4803</v>
      </c>
      <c r="D985" t="s">
        <v>13</v>
      </c>
      <c r="E985">
        <v>63</v>
      </c>
      <c r="F985">
        <v>20</v>
      </c>
      <c r="G985" t="s">
        <v>4797</v>
      </c>
      <c r="H985" t="s">
        <v>4805</v>
      </c>
      <c r="I985">
        <v>13.99</v>
      </c>
      <c r="J985">
        <v>4</v>
      </c>
      <c r="K985">
        <v>5</v>
      </c>
      <c r="L985">
        <v>0</v>
      </c>
      <c r="M985" t="s">
        <v>4811</v>
      </c>
      <c r="N985" t="s">
        <v>4900</v>
      </c>
      <c r="O985" t="s">
        <v>4910</v>
      </c>
    </row>
    <row r="986" spans="1:15" x14ac:dyDescent="0.35">
      <c r="A986" t="s">
        <v>990</v>
      </c>
      <c r="B986">
        <v>34</v>
      </c>
      <c r="C986" t="s">
        <v>4803</v>
      </c>
      <c r="D986" t="s">
        <v>13</v>
      </c>
      <c r="E986">
        <v>32</v>
      </c>
      <c r="F986">
        <v>9</v>
      </c>
      <c r="G986" t="s">
        <v>4800</v>
      </c>
      <c r="H986" t="s">
        <v>4806</v>
      </c>
      <c r="I986">
        <v>13.99</v>
      </c>
      <c r="J986">
        <v>3</v>
      </c>
      <c r="K986">
        <v>1.07</v>
      </c>
      <c r="L986">
        <v>0</v>
      </c>
      <c r="M986" t="s">
        <v>4810</v>
      </c>
      <c r="N986" t="s">
        <v>4900</v>
      </c>
      <c r="O986" t="s">
        <v>4912</v>
      </c>
    </row>
    <row r="987" spans="1:15" x14ac:dyDescent="0.35">
      <c r="A987" t="s">
        <v>991</v>
      </c>
      <c r="B987">
        <v>23</v>
      </c>
      <c r="C987" t="s">
        <v>4802</v>
      </c>
      <c r="D987" t="s">
        <v>13</v>
      </c>
      <c r="E987">
        <v>69</v>
      </c>
      <c r="F987">
        <v>16</v>
      </c>
      <c r="G987" t="s">
        <v>4798</v>
      </c>
      <c r="H987" t="s">
        <v>4805</v>
      </c>
      <c r="I987">
        <v>13.99</v>
      </c>
      <c r="J987">
        <v>3</v>
      </c>
      <c r="K987">
        <v>2.2999999999999998</v>
      </c>
      <c r="L987">
        <v>0</v>
      </c>
      <c r="M987" t="s">
        <v>4812</v>
      </c>
      <c r="N987" t="s">
        <v>4900</v>
      </c>
      <c r="O987" t="s">
        <v>4912</v>
      </c>
    </row>
    <row r="988" spans="1:15" x14ac:dyDescent="0.35">
      <c r="A988" t="s">
        <v>992</v>
      </c>
      <c r="B988">
        <v>28</v>
      </c>
      <c r="C988" t="s">
        <v>4803</v>
      </c>
      <c r="D988" t="s">
        <v>13</v>
      </c>
      <c r="E988">
        <v>56</v>
      </c>
      <c r="F988">
        <v>48</v>
      </c>
      <c r="G988" t="s">
        <v>4799</v>
      </c>
      <c r="H988" t="s">
        <v>4806</v>
      </c>
      <c r="I988">
        <v>13.99</v>
      </c>
      <c r="J988">
        <v>3</v>
      </c>
      <c r="K988">
        <v>1.87</v>
      </c>
      <c r="L988">
        <v>1</v>
      </c>
      <c r="M988" t="s">
        <v>4811</v>
      </c>
      <c r="N988" t="s">
        <v>4899</v>
      </c>
      <c r="O988" t="s">
        <v>4912</v>
      </c>
    </row>
    <row r="989" spans="1:15" x14ac:dyDescent="0.35">
      <c r="A989" t="s">
        <v>4818</v>
      </c>
      <c r="B989">
        <v>56</v>
      </c>
      <c r="C989" t="s">
        <v>4802</v>
      </c>
      <c r="D989" t="s">
        <v>15</v>
      </c>
      <c r="E989">
        <v>108</v>
      </c>
      <c r="F989">
        <v>34</v>
      </c>
      <c r="G989" t="s">
        <v>4798</v>
      </c>
      <c r="H989" t="s">
        <v>4806</v>
      </c>
      <c r="I989">
        <v>17.989999999999998</v>
      </c>
      <c r="J989">
        <v>5</v>
      </c>
      <c r="K989">
        <v>3.6</v>
      </c>
      <c r="L989">
        <v>0</v>
      </c>
      <c r="M989" t="s">
        <v>4809</v>
      </c>
      <c r="N989" t="s">
        <v>4900</v>
      </c>
      <c r="O989" t="s">
        <v>4911</v>
      </c>
    </row>
    <row r="990" spans="1:15" x14ac:dyDescent="0.35">
      <c r="A990" t="s">
        <v>993</v>
      </c>
      <c r="B990">
        <v>18</v>
      </c>
      <c r="C990" t="s">
        <v>4802</v>
      </c>
      <c r="D990" t="s">
        <v>13</v>
      </c>
      <c r="E990">
        <v>59</v>
      </c>
      <c r="F990">
        <v>22</v>
      </c>
      <c r="G990" t="s">
        <v>4797</v>
      </c>
      <c r="H990" t="s">
        <v>4805</v>
      </c>
      <c r="I990">
        <v>13.99</v>
      </c>
      <c r="J990">
        <v>4</v>
      </c>
      <c r="K990">
        <v>2.0299999999999998</v>
      </c>
      <c r="L990">
        <v>0</v>
      </c>
      <c r="M990" t="s">
        <v>4812</v>
      </c>
      <c r="N990" t="s">
        <v>4900</v>
      </c>
      <c r="O990" t="s">
        <v>4912</v>
      </c>
    </row>
    <row r="991" spans="1:15" x14ac:dyDescent="0.35">
      <c r="A991" t="s">
        <v>994</v>
      </c>
      <c r="B991">
        <v>61</v>
      </c>
      <c r="C991" t="s">
        <v>4803</v>
      </c>
      <c r="D991" t="s">
        <v>13</v>
      </c>
      <c r="E991">
        <v>53</v>
      </c>
      <c r="F991">
        <v>36</v>
      </c>
      <c r="G991" t="s">
        <v>4798</v>
      </c>
      <c r="H991" t="s">
        <v>4806</v>
      </c>
      <c r="I991">
        <v>13.99</v>
      </c>
      <c r="J991">
        <v>2</v>
      </c>
      <c r="K991">
        <v>1.77</v>
      </c>
      <c r="L991">
        <v>1</v>
      </c>
      <c r="M991" t="s">
        <v>4812</v>
      </c>
      <c r="N991" t="s">
        <v>4899</v>
      </c>
      <c r="O991" t="s">
        <v>4911</v>
      </c>
    </row>
    <row r="992" spans="1:15" x14ac:dyDescent="0.35">
      <c r="A992" t="s">
        <v>995</v>
      </c>
      <c r="B992">
        <v>58</v>
      </c>
      <c r="C992" t="s">
        <v>4802</v>
      </c>
      <c r="D992" t="s">
        <v>13</v>
      </c>
      <c r="E992">
        <v>51</v>
      </c>
      <c r="F992">
        <v>7</v>
      </c>
      <c r="G992" t="s">
        <v>4798</v>
      </c>
      <c r="H992" t="s">
        <v>4805</v>
      </c>
      <c r="I992">
        <v>13.99</v>
      </c>
      <c r="J992">
        <v>2</v>
      </c>
      <c r="K992">
        <v>1.7</v>
      </c>
      <c r="L992">
        <v>0</v>
      </c>
      <c r="M992" t="s">
        <v>4812</v>
      </c>
      <c r="N992" t="s">
        <v>4900</v>
      </c>
      <c r="O992" t="s">
        <v>4911</v>
      </c>
    </row>
    <row r="993" spans="1:15" x14ac:dyDescent="0.35">
      <c r="A993" t="s">
        <v>996</v>
      </c>
      <c r="B993">
        <v>31</v>
      </c>
      <c r="C993" t="s">
        <v>4803</v>
      </c>
      <c r="D993" t="s">
        <v>13</v>
      </c>
      <c r="E993">
        <v>70</v>
      </c>
      <c r="F993">
        <v>3</v>
      </c>
      <c r="G993" t="s">
        <v>4798</v>
      </c>
      <c r="H993" t="s">
        <v>4804</v>
      </c>
      <c r="I993">
        <v>13.99</v>
      </c>
      <c r="J993">
        <v>2</v>
      </c>
      <c r="K993">
        <v>2.33</v>
      </c>
      <c r="L993">
        <v>0</v>
      </c>
      <c r="M993" t="s">
        <v>4811</v>
      </c>
      <c r="N993" t="s">
        <v>4900</v>
      </c>
      <c r="O993" t="s">
        <v>4912</v>
      </c>
    </row>
    <row r="994" spans="1:15" x14ac:dyDescent="0.35">
      <c r="A994" t="s">
        <v>997</v>
      </c>
      <c r="B994">
        <v>53</v>
      </c>
      <c r="C994" t="s">
        <v>4803</v>
      </c>
      <c r="D994" t="s">
        <v>15</v>
      </c>
      <c r="E994">
        <v>114</v>
      </c>
      <c r="F994">
        <v>8</v>
      </c>
      <c r="G994" t="s">
        <v>4797</v>
      </c>
      <c r="H994" t="s">
        <v>4805</v>
      </c>
      <c r="I994">
        <v>17.989999999999998</v>
      </c>
      <c r="J994">
        <v>2</v>
      </c>
      <c r="K994">
        <v>3.8</v>
      </c>
      <c r="L994">
        <v>0</v>
      </c>
      <c r="M994" t="s">
        <v>4812</v>
      </c>
      <c r="N994" t="s">
        <v>4900</v>
      </c>
      <c r="O994" t="s">
        <v>4910</v>
      </c>
    </row>
    <row r="995" spans="1:15" x14ac:dyDescent="0.35">
      <c r="A995" t="s">
        <v>998</v>
      </c>
      <c r="B995">
        <v>49</v>
      </c>
      <c r="C995" t="s">
        <v>4803</v>
      </c>
      <c r="D995" t="s">
        <v>13</v>
      </c>
      <c r="E995">
        <v>30</v>
      </c>
      <c r="F995" t="s">
        <v>4814</v>
      </c>
      <c r="G995" t="s">
        <v>4798</v>
      </c>
      <c r="H995" t="s">
        <v>4806</v>
      </c>
      <c r="I995">
        <v>13.99</v>
      </c>
      <c r="J995">
        <v>2</v>
      </c>
      <c r="K995">
        <v>1</v>
      </c>
      <c r="L995">
        <v>0</v>
      </c>
      <c r="M995" t="s">
        <v>4811</v>
      </c>
      <c r="N995" t="s">
        <v>4900</v>
      </c>
      <c r="O995" t="s">
        <v>4910</v>
      </c>
    </row>
    <row r="996" spans="1:15" x14ac:dyDescent="0.35">
      <c r="A996" t="s">
        <v>999</v>
      </c>
      <c r="B996">
        <v>45</v>
      </c>
      <c r="C996" t="s">
        <v>4803</v>
      </c>
      <c r="D996" t="s">
        <v>13</v>
      </c>
      <c r="E996">
        <v>63</v>
      </c>
      <c r="F996">
        <v>31</v>
      </c>
      <c r="G996" t="s">
        <v>4800</v>
      </c>
      <c r="H996" t="s">
        <v>4805</v>
      </c>
      <c r="I996">
        <v>13.99</v>
      </c>
      <c r="J996">
        <v>1</v>
      </c>
      <c r="K996">
        <v>2.1</v>
      </c>
      <c r="L996">
        <v>0</v>
      </c>
      <c r="M996" t="s">
        <v>4809</v>
      </c>
      <c r="N996" t="s">
        <v>4900</v>
      </c>
      <c r="O996" t="s">
        <v>4910</v>
      </c>
    </row>
    <row r="997" spans="1:15" x14ac:dyDescent="0.35">
      <c r="A997" t="s">
        <v>1000</v>
      </c>
      <c r="B997">
        <v>57</v>
      </c>
      <c r="C997" t="s">
        <v>4803</v>
      </c>
      <c r="D997" t="s">
        <v>13</v>
      </c>
      <c r="E997">
        <v>33</v>
      </c>
      <c r="F997">
        <v>17</v>
      </c>
      <c r="G997" t="s">
        <v>4799</v>
      </c>
      <c r="H997" t="s">
        <v>4807</v>
      </c>
      <c r="I997">
        <v>13.99</v>
      </c>
      <c r="J997">
        <v>4</v>
      </c>
      <c r="K997">
        <v>1.1000000000000001</v>
      </c>
      <c r="L997">
        <v>0</v>
      </c>
      <c r="M997" t="s">
        <v>4809</v>
      </c>
      <c r="N997" t="s">
        <v>4900</v>
      </c>
      <c r="O997" t="s">
        <v>4911</v>
      </c>
    </row>
    <row r="998" spans="1:15" x14ac:dyDescent="0.35">
      <c r="A998" t="s">
        <v>1001</v>
      </c>
      <c r="B998">
        <v>53</v>
      </c>
      <c r="C998" t="s">
        <v>4802</v>
      </c>
      <c r="D998" t="s">
        <v>15</v>
      </c>
      <c r="E998">
        <v>78</v>
      </c>
      <c r="F998">
        <v>48</v>
      </c>
      <c r="G998" t="s">
        <v>4799</v>
      </c>
      <c r="H998" t="s">
        <v>4806</v>
      </c>
      <c r="I998">
        <v>17.989999999999998</v>
      </c>
      <c r="J998">
        <v>4</v>
      </c>
      <c r="K998">
        <v>2.6</v>
      </c>
      <c r="L998">
        <v>0</v>
      </c>
      <c r="M998" t="s">
        <v>4808</v>
      </c>
      <c r="N998" t="s">
        <v>4900</v>
      </c>
      <c r="O998" t="s">
        <v>4910</v>
      </c>
    </row>
    <row r="999" spans="1:15" x14ac:dyDescent="0.35">
      <c r="A999" t="s">
        <v>1002</v>
      </c>
      <c r="B999">
        <v>48</v>
      </c>
      <c r="C999" t="s">
        <v>4802</v>
      </c>
      <c r="D999" t="s">
        <v>15</v>
      </c>
      <c r="E999">
        <v>55</v>
      </c>
      <c r="F999">
        <v>19</v>
      </c>
      <c r="G999" t="s">
        <v>4799</v>
      </c>
      <c r="H999" t="s">
        <v>4804</v>
      </c>
      <c r="I999">
        <v>17.989999999999998</v>
      </c>
      <c r="J999">
        <v>5</v>
      </c>
      <c r="K999">
        <v>1.83</v>
      </c>
      <c r="L999">
        <v>0</v>
      </c>
      <c r="M999" t="s">
        <v>4810</v>
      </c>
      <c r="N999" t="s">
        <v>4900</v>
      </c>
      <c r="O999" t="s">
        <v>4910</v>
      </c>
    </row>
    <row r="1000" spans="1:15" x14ac:dyDescent="0.35">
      <c r="A1000" t="s">
        <v>1003</v>
      </c>
      <c r="B1000">
        <v>20</v>
      </c>
      <c r="C1000" t="s">
        <v>4802</v>
      </c>
      <c r="D1000" t="s">
        <v>15</v>
      </c>
      <c r="E1000">
        <v>89</v>
      </c>
      <c r="F1000">
        <v>27</v>
      </c>
      <c r="G1000" t="s">
        <v>4797</v>
      </c>
      <c r="H1000" t="s">
        <v>4806</v>
      </c>
      <c r="I1000">
        <v>17.989999999999998</v>
      </c>
      <c r="J1000">
        <v>4</v>
      </c>
      <c r="K1000">
        <v>2.97</v>
      </c>
      <c r="L1000">
        <v>0</v>
      </c>
      <c r="M1000" t="s">
        <v>4808</v>
      </c>
      <c r="N1000" t="s">
        <v>4900</v>
      </c>
      <c r="O1000" t="s">
        <v>4912</v>
      </c>
    </row>
    <row r="1001" spans="1:15" x14ac:dyDescent="0.35">
      <c r="A1001" t="s">
        <v>1004</v>
      </c>
      <c r="B1001">
        <v>45</v>
      </c>
      <c r="C1001" t="s">
        <v>4803</v>
      </c>
      <c r="D1001" t="s">
        <v>13</v>
      </c>
      <c r="E1001">
        <v>71</v>
      </c>
      <c r="F1001">
        <v>60</v>
      </c>
      <c r="G1001" t="s">
        <v>4799</v>
      </c>
      <c r="H1001" t="s">
        <v>4806</v>
      </c>
      <c r="I1001">
        <v>13.99</v>
      </c>
      <c r="J1001">
        <v>3</v>
      </c>
      <c r="K1001">
        <v>2.37</v>
      </c>
      <c r="L1001">
        <v>1</v>
      </c>
      <c r="M1001" t="s">
        <v>4809</v>
      </c>
      <c r="N1001" t="s">
        <v>4899</v>
      </c>
      <c r="O1001" t="s">
        <v>4910</v>
      </c>
    </row>
    <row r="1002" spans="1:15" x14ac:dyDescent="0.35">
      <c r="A1002" t="s">
        <v>1005</v>
      </c>
      <c r="B1002">
        <v>38</v>
      </c>
      <c r="C1002" t="s">
        <v>4802</v>
      </c>
      <c r="D1002" t="s">
        <v>15</v>
      </c>
      <c r="E1002">
        <v>94</v>
      </c>
      <c r="F1002">
        <v>24</v>
      </c>
      <c r="G1002" t="s">
        <v>4797</v>
      </c>
      <c r="H1002" t="s">
        <v>4805</v>
      </c>
      <c r="I1002">
        <v>17.989999999999998</v>
      </c>
      <c r="J1002">
        <v>3</v>
      </c>
      <c r="K1002">
        <v>3.13</v>
      </c>
      <c r="L1002">
        <v>0</v>
      </c>
      <c r="M1002" t="s">
        <v>4810</v>
      </c>
      <c r="N1002" t="s">
        <v>4900</v>
      </c>
      <c r="O1002" t="s">
        <v>4910</v>
      </c>
    </row>
    <row r="1003" spans="1:15" x14ac:dyDescent="0.35">
      <c r="A1003" t="s">
        <v>1006</v>
      </c>
      <c r="B1003">
        <v>49</v>
      </c>
      <c r="C1003" t="s">
        <v>4803</v>
      </c>
      <c r="D1003" t="s">
        <v>14</v>
      </c>
      <c r="E1003">
        <v>27</v>
      </c>
      <c r="F1003">
        <v>13</v>
      </c>
      <c r="G1003" t="s">
        <v>4799</v>
      </c>
      <c r="H1003" t="s">
        <v>4804</v>
      </c>
      <c r="I1003">
        <v>8.99</v>
      </c>
      <c r="J1003">
        <v>2</v>
      </c>
      <c r="K1003">
        <v>0.9</v>
      </c>
      <c r="L1003">
        <v>1</v>
      </c>
      <c r="M1003" t="s">
        <v>4810</v>
      </c>
      <c r="N1003" t="s">
        <v>4899</v>
      </c>
      <c r="O1003" t="s">
        <v>4910</v>
      </c>
    </row>
    <row r="1004" spans="1:15" x14ac:dyDescent="0.35">
      <c r="A1004" t="s">
        <v>1007</v>
      </c>
      <c r="B1004">
        <v>53</v>
      </c>
      <c r="C1004" t="s">
        <v>4803</v>
      </c>
      <c r="D1004" t="s">
        <v>15</v>
      </c>
      <c r="E1004">
        <v>119</v>
      </c>
      <c r="F1004">
        <v>59</v>
      </c>
      <c r="G1004" t="s">
        <v>4798</v>
      </c>
      <c r="H1004" t="s">
        <v>4805</v>
      </c>
      <c r="I1004">
        <v>17.989999999999998</v>
      </c>
      <c r="J1004">
        <v>4</v>
      </c>
      <c r="K1004">
        <v>3.97</v>
      </c>
      <c r="L1004">
        <v>0</v>
      </c>
      <c r="M1004" t="s">
        <v>4811</v>
      </c>
      <c r="N1004" t="s">
        <v>4900</v>
      </c>
      <c r="O1004" t="s">
        <v>4910</v>
      </c>
    </row>
    <row r="1005" spans="1:15" x14ac:dyDescent="0.35">
      <c r="A1005" t="s">
        <v>1008</v>
      </c>
      <c r="B1005">
        <v>21</v>
      </c>
      <c r="C1005" t="s">
        <v>4803</v>
      </c>
      <c r="D1005" t="s">
        <v>13</v>
      </c>
      <c r="E1005">
        <v>64</v>
      </c>
      <c r="F1005">
        <v>23</v>
      </c>
      <c r="G1005" t="s">
        <v>4797</v>
      </c>
      <c r="H1005" t="s">
        <v>4804</v>
      </c>
      <c r="I1005">
        <v>13.99</v>
      </c>
      <c r="J1005">
        <v>1</v>
      </c>
      <c r="K1005">
        <v>2.13</v>
      </c>
      <c r="L1005">
        <v>1</v>
      </c>
      <c r="M1005" t="s">
        <v>4811</v>
      </c>
      <c r="N1005" t="s">
        <v>4899</v>
      </c>
      <c r="O1005" t="s">
        <v>4912</v>
      </c>
    </row>
    <row r="1006" spans="1:15" x14ac:dyDescent="0.35">
      <c r="A1006" t="s">
        <v>1009</v>
      </c>
      <c r="B1006">
        <v>48</v>
      </c>
      <c r="C1006" t="s">
        <v>4802</v>
      </c>
      <c r="D1006" t="s">
        <v>13</v>
      </c>
      <c r="E1006">
        <v>32</v>
      </c>
      <c r="F1006">
        <v>6</v>
      </c>
      <c r="G1006" t="s">
        <v>4798</v>
      </c>
      <c r="H1006" t="s">
        <v>4806</v>
      </c>
      <c r="I1006">
        <v>13.99</v>
      </c>
      <c r="J1006">
        <v>4</v>
      </c>
      <c r="K1006">
        <v>1.07</v>
      </c>
      <c r="L1006">
        <v>0</v>
      </c>
      <c r="M1006" t="s">
        <v>4810</v>
      </c>
      <c r="N1006" t="s">
        <v>4900</v>
      </c>
      <c r="O1006" t="s">
        <v>4910</v>
      </c>
    </row>
    <row r="1007" spans="1:15" x14ac:dyDescent="0.35">
      <c r="A1007" t="s">
        <v>1010</v>
      </c>
      <c r="B1007">
        <v>65</v>
      </c>
      <c r="C1007" t="s">
        <v>4802</v>
      </c>
      <c r="D1007" t="s">
        <v>13</v>
      </c>
      <c r="E1007">
        <v>67</v>
      </c>
      <c r="F1007">
        <v>43</v>
      </c>
      <c r="G1007" t="s">
        <v>4800</v>
      </c>
      <c r="H1007" t="s">
        <v>4806</v>
      </c>
      <c r="I1007">
        <v>13.99</v>
      </c>
      <c r="J1007">
        <v>3</v>
      </c>
      <c r="K1007">
        <v>2.23</v>
      </c>
      <c r="L1007">
        <v>0</v>
      </c>
      <c r="M1007" t="s">
        <v>4808</v>
      </c>
      <c r="N1007" t="s">
        <v>4900</v>
      </c>
      <c r="O1007" t="s">
        <v>4911</v>
      </c>
    </row>
    <row r="1008" spans="1:15" x14ac:dyDescent="0.35">
      <c r="A1008" t="s">
        <v>1011</v>
      </c>
      <c r="B1008">
        <v>35</v>
      </c>
      <c r="C1008" t="s">
        <v>4802</v>
      </c>
      <c r="D1008" t="s">
        <v>13</v>
      </c>
      <c r="E1008">
        <v>49</v>
      </c>
      <c r="F1008">
        <v>10</v>
      </c>
      <c r="G1008" t="s">
        <v>4798</v>
      </c>
      <c r="H1008" t="s">
        <v>4804</v>
      </c>
      <c r="I1008">
        <v>13.99</v>
      </c>
      <c r="J1008">
        <v>2</v>
      </c>
      <c r="K1008">
        <v>1.63</v>
      </c>
      <c r="L1008">
        <v>0</v>
      </c>
      <c r="M1008" t="s">
        <v>4809</v>
      </c>
      <c r="N1008" t="s">
        <v>4900</v>
      </c>
      <c r="O1008" t="s">
        <v>4910</v>
      </c>
    </row>
    <row r="1009" spans="1:15" x14ac:dyDescent="0.35">
      <c r="A1009" t="s">
        <v>1012</v>
      </c>
      <c r="B1009">
        <v>39</v>
      </c>
      <c r="C1009" t="s">
        <v>4802</v>
      </c>
      <c r="D1009" t="s">
        <v>15</v>
      </c>
      <c r="E1009">
        <v>103</v>
      </c>
      <c r="F1009">
        <v>44</v>
      </c>
      <c r="G1009" t="s">
        <v>4798</v>
      </c>
      <c r="H1009" t="s">
        <v>4804</v>
      </c>
      <c r="I1009">
        <v>17.989999999999998</v>
      </c>
      <c r="J1009">
        <v>4</v>
      </c>
      <c r="K1009">
        <v>3.43</v>
      </c>
      <c r="L1009">
        <v>1</v>
      </c>
      <c r="M1009" t="s">
        <v>4811</v>
      </c>
      <c r="N1009" t="s">
        <v>4899</v>
      </c>
      <c r="O1009" t="s">
        <v>4910</v>
      </c>
    </row>
    <row r="1010" spans="1:15" x14ac:dyDescent="0.35">
      <c r="A1010" t="s">
        <v>4856</v>
      </c>
      <c r="B1010">
        <v>51</v>
      </c>
      <c r="C1010" t="s">
        <v>4803</v>
      </c>
      <c r="D1010" t="s">
        <v>13</v>
      </c>
      <c r="E1010">
        <v>69</v>
      </c>
      <c r="F1010">
        <v>53</v>
      </c>
      <c r="G1010" t="s">
        <v>4799</v>
      </c>
      <c r="H1010" t="s">
        <v>4804</v>
      </c>
      <c r="I1010">
        <v>13.99</v>
      </c>
      <c r="J1010">
        <v>4</v>
      </c>
      <c r="K1010">
        <v>2.2999999999999998</v>
      </c>
      <c r="L1010">
        <v>1</v>
      </c>
      <c r="M1010" t="s">
        <v>4808</v>
      </c>
      <c r="N1010" t="s">
        <v>4899</v>
      </c>
      <c r="O1010" t="s">
        <v>4910</v>
      </c>
    </row>
    <row r="1011" spans="1:15" x14ac:dyDescent="0.35">
      <c r="A1011" t="s">
        <v>1013</v>
      </c>
      <c r="B1011">
        <v>26</v>
      </c>
      <c r="C1011" t="s">
        <v>4802</v>
      </c>
      <c r="D1011" t="s">
        <v>14</v>
      </c>
      <c r="E1011">
        <v>43</v>
      </c>
      <c r="F1011">
        <v>56</v>
      </c>
      <c r="G1011" t="s">
        <v>4799</v>
      </c>
      <c r="H1011" t="s">
        <v>4805</v>
      </c>
      <c r="I1011">
        <v>8.99</v>
      </c>
      <c r="J1011">
        <v>2</v>
      </c>
      <c r="K1011">
        <v>1.43</v>
      </c>
      <c r="L1011">
        <v>0</v>
      </c>
      <c r="M1011" t="s">
        <v>4808</v>
      </c>
      <c r="N1011" t="s">
        <v>4900</v>
      </c>
      <c r="O1011" t="s">
        <v>4912</v>
      </c>
    </row>
    <row r="1012" spans="1:15" x14ac:dyDescent="0.35">
      <c r="A1012" t="s">
        <v>1014</v>
      </c>
      <c r="B1012">
        <v>18</v>
      </c>
      <c r="C1012" t="s">
        <v>4803</v>
      </c>
      <c r="D1012" t="s">
        <v>15</v>
      </c>
      <c r="E1012">
        <v>113</v>
      </c>
      <c r="F1012">
        <v>48</v>
      </c>
      <c r="G1012" t="s">
        <v>4797</v>
      </c>
      <c r="H1012" t="s">
        <v>4805</v>
      </c>
      <c r="I1012">
        <v>17.989999999999998</v>
      </c>
      <c r="J1012">
        <v>3</v>
      </c>
      <c r="K1012">
        <v>3.77</v>
      </c>
      <c r="L1012">
        <v>1</v>
      </c>
      <c r="M1012" t="s">
        <v>4809</v>
      </c>
      <c r="N1012" t="s">
        <v>4899</v>
      </c>
      <c r="O1012" t="s">
        <v>4912</v>
      </c>
    </row>
    <row r="1013" spans="1:15" x14ac:dyDescent="0.35">
      <c r="A1013" t="s">
        <v>1015</v>
      </c>
      <c r="B1013">
        <v>48</v>
      </c>
      <c r="C1013" t="s">
        <v>4802</v>
      </c>
      <c r="D1013" t="s">
        <v>13</v>
      </c>
      <c r="E1013">
        <v>41</v>
      </c>
      <c r="F1013">
        <v>17</v>
      </c>
      <c r="G1013" t="s">
        <v>4799</v>
      </c>
      <c r="H1013" t="s">
        <v>4805</v>
      </c>
      <c r="I1013">
        <v>13.99</v>
      </c>
      <c r="J1013">
        <v>1</v>
      </c>
      <c r="K1013">
        <v>1.37</v>
      </c>
      <c r="L1013">
        <v>0</v>
      </c>
      <c r="M1013" t="s">
        <v>4812</v>
      </c>
      <c r="N1013" t="s">
        <v>4900</v>
      </c>
      <c r="O1013" t="s">
        <v>4910</v>
      </c>
    </row>
    <row r="1014" spans="1:15" x14ac:dyDescent="0.35">
      <c r="A1014" t="s">
        <v>1016</v>
      </c>
      <c r="B1014">
        <v>65</v>
      </c>
      <c r="C1014" t="s">
        <v>4803</v>
      </c>
      <c r="D1014" t="s">
        <v>15</v>
      </c>
      <c r="E1014">
        <v>112</v>
      </c>
      <c r="F1014">
        <v>5</v>
      </c>
      <c r="G1014" t="s">
        <v>4797</v>
      </c>
      <c r="H1014" t="s">
        <v>4805</v>
      </c>
      <c r="I1014">
        <v>17.989999999999998</v>
      </c>
      <c r="J1014">
        <v>4</v>
      </c>
      <c r="K1014">
        <v>3.73</v>
      </c>
      <c r="L1014">
        <v>0</v>
      </c>
      <c r="M1014" t="s">
        <v>4812</v>
      </c>
      <c r="N1014" t="s">
        <v>4900</v>
      </c>
      <c r="O1014" t="s">
        <v>4911</v>
      </c>
    </row>
    <row r="1015" spans="1:15" x14ac:dyDescent="0.35">
      <c r="A1015" t="s">
        <v>1017</v>
      </c>
      <c r="B1015">
        <v>38</v>
      </c>
      <c r="C1015" t="s">
        <v>4803</v>
      </c>
      <c r="D1015" t="s">
        <v>13</v>
      </c>
      <c r="E1015">
        <v>57</v>
      </c>
      <c r="F1015">
        <v>13</v>
      </c>
      <c r="G1015" t="s">
        <v>4798</v>
      </c>
      <c r="H1015" t="s">
        <v>4805</v>
      </c>
      <c r="I1015">
        <v>13.99</v>
      </c>
      <c r="J1015">
        <v>3</v>
      </c>
      <c r="K1015">
        <v>1.9</v>
      </c>
      <c r="L1015">
        <v>0</v>
      </c>
      <c r="M1015" t="s">
        <v>4811</v>
      </c>
      <c r="N1015" t="s">
        <v>4900</v>
      </c>
      <c r="O1015" t="s">
        <v>4910</v>
      </c>
    </row>
    <row r="1016" spans="1:15" x14ac:dyDescent="0.35">
      <c r="A1016" t="s">
        <v>1018</v>
      </c>
      <c r="B1016">
        <v>44</v>
      </c>
      <c r="C1016" t="s">
        <v>4803</v>
      </c>
      <c r="D1016" t="s">
        <v>13</v>
      </c>
      <c r="E1016">
        <v>57</v>
      </c>
      <c r="F1016">
        <v>36</v>
      </c>
      <c r="G1016" t="s">
        <v>4799</v>
      </c>
      <c r="H1016" t="s">
        <v>4804</v>
      </c>
      <c r="I1016">
        <v>13.99</v>
      </c>
      <c r="J1016">
        <v>3</v>
      </c>
      <c r="K1016">
        <v>1.9</v>
      </c>
      <c r="L1016">
        <v>0</v>
      </c>
      <c r="M1016" t="s">
        <v>4809</v>
      </c>
      <c r="N1016" t="s">
        <v>4900</v>
      </c>
      <c r="O1016" t="s">
        <v>4910</v>
      </c>
    </row>
    <row r="1017" spans="1:15" x14ac:dyDescent="0.35">
      <c r="A1017" t="s">
        <v>1019</v>
      </c>
      <c r="B1017">
        <v>51</v>
      </c>
      <c r="C1017" t="s">
        <v>4803</v>
      </c>
      <c r="D1017" t="s">
        <v>13</v>
      </c>
      <c r="E1017">
        <v>52</v>
      </c>
      <c r="F1017">
        <v>18</v>
      </c>
      <c r="G1017" t="s">
        <v>4797</v>
      </c>
      <c r="H1017" t="s">
        <v>4804</v>
      </c>
      <c r="I1017">
        <v>13.99</v>
      </c>
      <c r="J1017">
        <v>3</v>
      </c>
      <c r="K1017">
        <v>1.73</v>
      </c>
      <c r="L1017">
        <v>0</v>
      </c>
      <c r="M1017" t="s">
        <v>4808</v>
      </c>
      <c r="N1017" t="s">
        <v>4900</v>
      </c>
      <c r="O1017" t="s">
        <v>4910</v>
      </c>
    </row>
    <row r="1018" spans="1:15" x14ac:dyDescent="0.35">
      <c r="A1018" t="s">
        <v>1020</v>
      </c>
      <c r="B1018">
        <v>62</v>
      </c>
      <c r="C1018" t="s">
        <v>4803</v>
      </c>
      <c r="D1018" t="s">
        <v>13</v>
      </c>
      <c r="E1018">
        <v>49</v>
      </c>
      <c r="F1018">
        <v>43</v>
      </c>
      <c r="G1018" t="s">
        <v>4798</v>
      </c>
      <c r="H1018" t="s">
        <v>4804</v>
      </c>
      <c r="I1018">
        <v>13.99</v>
      </c>
      <c r="J1018">
        <v>3</v>
      </c>
      <c r="K1018">
        <v>1.63</v>
      </c>
      <c r="L1018">
        <v>0</v>
      </c>
      <c r="M1018" t="s">
        <v>4811</v>
      </c>
      <c r="N1018" t="s">
        <v>4900</v>
      </c>
      <c r="O1018" t="s">
        <v>4911</v>
      </c>
    </row>
    <row r="1019" spans="1:15" x14ac:dyDescent="0.35">
      <c r="A1019" t="s">
        <v>1021</v>
      </c>
      <c r="B1019">
        <v>57</v>
      </c>
      <c r="C1019" t="s">
        <v>4803</v>
      </c>
      <c r="D1019" t="s">
        <v>15</v>
      </c>
      <c r="E1019">
        <v>69</v>
      </c>
      <c r="F1019">
        <v>32</v>
      </c>
      <c r="G1019" t="s">
        <v>4799</v>
      </c>
      <c r="H1019" t="s">
        <v>4804</v>
      </c>
      <c r="I1019">
        <v>17.989999999999998</v>
      </c>
      <c r="J1019">
        <v>2</v>
      </c>
      <c r="K1019">
        <v>2.2999999999999998</v>
      </c>
      <c r="L1019">
        <v>0</v>
      </c>
      <c r="M1019" t="s">
        <v>4811</v>
      </c>
      <c r="N1019" t="s">
        <v>4900</v>
      </c>
      <c r="O1019" t="s">
        <v>4911</v>
      </c>
    </row>
    <row r="1020" spans="1:15" x14ac:dyDescent="0.35">
      <c r="A1020" t="s">
        <v>1022</v>
      </c>
      <c r="B1020">
        <v>20</v>
      </c>
      <c r="C1020" t="s">
        <v>4803</v>
      </c>
      <c r="D1020" t="s">
        <v>13</v>
      </c>
      <c r="E1020">
        <v>44</v>
      </c>
      <c r="F1020">
        <v>55</v>
      </c>
      <c r="G1020" t="s">
        <v>4798</v>
      </c>
      <c r="H1020" t="s">
        <v>4805</v>
      </c>
      <c r="I1020">
        <v>13.99</v>
      </c>
      <c r="J1020">
        <v>2</v>
      </c>
      <c r="K1020">
        <v>1.47</v>
      </c>
      <c r="L1020">
        <v>0</v>
      </c>
      <c r="M1020" t="s">
        <v>4810</v>
      </c>
      <c r="N1020" t="s">
        <v>4900</v>
      </c>
      <c r="O1020" t="s">
        <v>4912</v>
      </c>
    </row>
    <row r="1021" spans="1:15" x14ac:dyDescent="0.35">
      <c r="A1021" t="s">
        <v>1023</v>
      </c>
      <c r="B1021">
        <v>50</v>
      </c>
      <c r="C1021" t="s">
        <v>4803</v>
      </c>
      <c r="D1021" t="s">
        <v>15</v>
      </c>
      <c r="E1021">
        <v>61</v>
      </c>
      <c r="F1021">
        <v>2</v>
      </c>
      <c r="G1021" t="s">
        <v>4798</v>
      </c>
      <c r="H1021" t="s">
        <v>4806</v>
      </c>
      <c r="I1021">
        <v>17.989999999999998</v>
      </c>
      <c r="J1021">
        <v>5</v>
      </c>
      <c r="K1021">
        <v>2.0299999999999998</v>
      </c>
      <c r="L1021">
        <v>0</v>
      </c>
      <c r="M1021" t="s">
        <v>4811</v>
      </c>
      <c r="N1021" t="s">
        <v>4900</v>
      </c>
      <c r="O1021" t="s">
        <v>4910</v>
      </c>
    </row>
    <row r="1022" spans="1:15" x14ac:dyDescent="0.35">
      <c r="A1022" t="s">
        <v>1024</v>
      </c>
      <c r="B1022">
        <v>39</v>
      </c>
      <c r="C1022" t="s">
        <v>4803</v>
      </c>
      <c r="D1022" t="s">
        <v>15</v>
      </c>
      <c r="E1022">
        <v>72</v>
      </c>
      <c r="F1022">
        <v>51</v>
      </c>
      <c r="G1022" t="s">
        <v>4800</v>
      </c>
      <c r="H1022" t="s">
        <v>4806</v>
      </c>
      <c r="I1022">
        <v>17.989999999999998</v>
      </c>
      <c r="J1022">
        <v>3</v>
      </c>
      <c r="K1022">
        <v>2.4</v>
      </c>
      <c r="L1022">
        <v>0</v>
      </c>
      <c r="M1022" t="s">
        <v>4810</v>
      </c>
      <c r="N1022" t="s">
        <v>4900</v>
      </c>
      <c r="O1022" t="s">
        <v>4910</v>
      </c>
    </row>
    <row r="1023" spans="1:15" x14ac:dyDescent="0.35">
      <c r="A1023" t="s">
        <v>1025</v>
      </c>
      <c r="B1023">
        <v>43</v>
      </c>
      <c r="C1023" t="s">
        <v>4803</v>
      </c>
      <c r="D1023" t="s">
        <v>13</v>
      </c>
      <c r="E1023">
        <v>60</v>
      </c>
      <c r="F1023">
        <v>14</v>
      </c>
      <c r="G1023" t="s">
        <v>4797</v>
      </c>
      <c r="H1023" t="s">
        <v>4804</v>
      </c>
      <c r="I1023">
        <v>13.99</v>
      </c>
      <c r="J1023">
        <v>2</v>
      </c>
      <c r="K1023">
        <v>2.0299999999999998</v>
      </c>
      <c r="L1023">
        <v>0</v>
      </c>
      <c r="M1023" t="s">
        <v>4808</v>
      </c>
      <c r="N1023" t="s">
        <v>4900</v>
      </c>
      <c r="O1023" t="s">
        <v>4910</v>
      </c>
    </row>
    <row r="1024" spans="1:15" x14ac:dyDescent="0.35">
      <c r="A1024" t="s">
        <v>1026</v>
      </c>
      <c r="B1024">
        <v>29</v>
      </c>
      <c r="C1024" t="s">
        <v>4803</v>
      </c>
      <c r="D1024" t="s">
        <v>15</v>
      </c>
      <c r="E1024">
        <v>67</v>
      </c>
      <c r="F1024">
        <v>22</v>
      </c>
      <c r="G1024" t="s">
        <v>4797</v>
      </c>
      <c r="H1024" t="s">
        <v>4804</v>
      </c>
      <c r="I1024">
        <v>17.989999999999998</v>
      </c>
      <c r="J1024">
        <v>5</v>
      </c>
      <c r="K1024">
        <v>2.23</v>
      </c>
      <c r="L1024">
        <v>0</v>
      </c>
      <c r="M1024" t="s">
        <v>4810</v>
      </c>
      <c r="N1024" t="s">
        <v>4900</v>
      </c>
      <c r="O1024" t="s">
        <v>4912</v>
      </c>
    </row>
    <row r="1025" spans="1:15" x14ac:dyDescent="0.35">
      <c r="A1025" t="s">
        <v>1027</v>
      </c>
      <c r="B1025">
        <v>55</v>
      </c>
      <c r="C1025" t="s">
        <v>4803</v>
      </c>
      <c r="D1025" t="s">
        <v>15</v>
      </c>
      <c r="E1025">
        <v>96</v>
      </c>
      <c r="F1025">
        <v>4</v>
      </c>
      <c r="G1025" t="s">
        <v>4798</v>
      </c>
      <c r="H1025" t="s">
        <v>4804</v>
      </c>
      <c r="I1025">
        <v>17.989999999999998</v>
      </c>
      <c r="J1025">
        <v>5</v>
      </c>
      <c r="K1025">
        <v>3.2</v>
      </c>
      <c r="L1025">
        <v>0</v>
      </c>
      <c r="M1025" t="s">
        <v>4808</v>
      </c>
      <c r="N1025" t="s">
        <v>4900</v>
      </c>
      <c r="O1025" t="s">
        <v>4911</v>
      </c>
    </row>
    <row r="1026" spans="1:15" x14ac:dyDescent="0.35">
      <c r="A1026" t="s">
        <v>1028</v>
      </c>
      <c r="B1026">
        <v>35</v>
      </c>
      <c r="C1026" t="s">
        <v>4802</v>
      </c>
      <c r="D1026" t="s">
        <v>13</v>
      </c>
      <c r="E1026">
        <v>61</v>
      </c>
      <c r="F1026">
        <v>47</v>
      </c>
      <c r="G1026" t="s">
        <v>4798</v>
      </c>
      <c r="H1026" t="s">
        <v>4804</v>
      </c>
      <c r="I1026">
        <v>13.99</v>
      </c>
      <c r="J1026">
        <v>2</v>
      </c>
      <c r="K1026">
        <v>2.0299999999999998</v>
      </c>
      <c r="L1026">
        <v>0</v>
      </c>
      <c r="M1026" t="s">
        <v>4809</v>
      </c>
      <c r="N1026" t="s">
        <v>4900</v>
      </c>
      <c r="O1026" t="s">
        <v>4910</v>
      </c>
    </row>
    <row r="1027" spans="1:15" x14ac:dyDescent="0.35">
      <c r="A1027" t="s">
        <v>1029</v>
      </c>
      <c r="B1027">
        <v>62</v>
      </c>
      <c r="C1027" t="s">
        <v>4803</v>
      </c>
      <c r="D1027" t="s">
        <v>13</v>
      </c>
      <c r="E1027">
        <v>59</v>
      </c>
      <c r="F1027">
        <v>51</v>
      </c>
      <c r="G1027" t="s">
        <v>4798</v>
      </c>
      <c r="H1027" t="s">
        <v>4804</v>
      </c>
      <c r="I1027">
        <v>13.99</v>
      </c>
      <c r="J1027">
        <v>3</v>
      </c>
      <c r="K1027">
        <v>1.97</v>
      </c>
      <c r="L1027">
        <v>0</v>
      </c>
      <c r="M1027" t="s">
        <v>4812</v>
      </c>
      <c r="N1027" t="s">
        <v>4900</v>
      </c>
      <c r="O1027" t="s">
        <v>4911</v>
      </c>
    </row>
    <row r="1028" spans="1:15" x14ac:dyDescent="0.35">
      <c r="A1028" t="s">
        <v>1030</v>
      </c>
      <c r="B1028">
        <v>52</v>
      </c>
      <c r="C1028" t="s">
        <v>4802</v>
      </c>
      <c r="D1028" t="s">
        <v>13</v>
      </c>
      <c r="E1028">
        <v>34</v>
      </c>
      <c r="F1028">
        <v>2</v>
      </c>
      <c r="G1028" t="s">
        <v>4797</v>
      </c>
      <c r="H1028" t="s">
        <v>4804</v>
      </c>
      <c r="I1028">
        <v>13.99</v>
      </c>
      <c r="J1028">
        <v>1</v>
      </c>
      <c r="K1028">
        <v>1.1299999999999999</v>
      </c>
      <c r="L1028">
        <v>0</v>
      </c>
      <c r="M1028" t="s">
        <v>4809</v>
      </c>
      <c r="N1028" t="s">
        <v>4900</v>
      </c>
      <c r="O1028" t="s">
        <v>4910</v>
      </c>
    </row>
    <row r="1029" spans="1:15" x14ac:dyDescent="0.35">
      <c r="A1029" t="s">
        <v>1031</v>
      </c>
      <c r="B1029">
        <v>29</v>
      </c>
      <c r="C1029" t="s">
        <v>4802</v>
      </c>
      <c r="D1029" t="s">
        <v>13</v>
      </c>
      <c r="E1029">
        <v>49</v>
      </c>
      <c r="F1029">
        <v>24</v>
      </c>
      <c r="G1029" t="s">
        <v>4798</v>
      </c>
      <c r="H1029" t="s">
        <v>4805</v>
      </c>
      <c r="I1029">
        <v>13.99</v>
      </c>
      <c r="J1029">
        <v>3</v>
      </c>
      <c r="K1029">
        <v>1.63</v>
      </c>
      <c r="L1029">
        <v>0</v>
      </c>
      <c r="M1029" t="s">
        <v>4808</v>
      </c>
      <c r="N1029" t="s">
        <v>4900</v>
      </c>
      <c r="O1029" t="s">
        <v>4912</v>
      </c>
    </row>
    <row r="1030" spans="1:15" x14ac:dyDescent="0.35">
      <c r="A1030" t="s">
        <v>1032</v>
      </c>
      <c r="B1030">
        <v>38</v>
      </c>
      <c r="C1030" t="s">
        <v>4803</v>
      </c>
      <c r="D1030" t="s">
        <v>13</v>
      </c>
      <c r="E1030">
        <v>49</v>
      </c>
      <c r="F1030">
        <v>28</v>
      </c>
      <c r="G1030" t="s">
        <v>4798</v>
      </c>
      <c r="H1030" t="s">
        <v>4805</v>
      </c>
      <c r="I1030">
        <v>13.99</v>
      </c>
      <c r="J1030">
        <v>2</v>
      </c>
      <c r="K1030">
        <v>1.63</v>
      </c>
      <c r="L1030">
        <v>0</v>
      </c>
      <c r="M1030" t="s">
        <v>4812</v>
      </c>
      <c r="N1030" t="s">
        <v>4900</v>
      </c>
      <c r="O1030" t="s">
        <v>4910</v>
      </c>
    </row>
    <row r="1031" spans="1:15" x14ac:dyDescent="0.35">
      <c r="A1031" t="s">
        <v>1033</v>
      </c>
      <c r="B1031">
        <v>25</v>
      </c>
      <c r="C1031" t="s">
        <v>4802</v>
      </c>
      <c r="D1031" t="s">
        <v>13</v>
      </c>
      <c r="E1031">
        <v>43</v>
      </c>
      <c r="F1031">
        <v>38</v>
      </c>
      <c r="G1031" t="s">
        <v>4799</v>
      </c>
      <c r="H1031" t="s">
        <v>4804</v>
      </c>
      <c r="I1031">
        <v>13.99</v>
      </c>
      <c r="J1031">
        <v>4</v>
      </c>
      <c r="K1031">
        <v>1.43</v>
      </c>
      <c r="L1031">
        <v>0</v>
      </c>
      <c r="M1031" t="s">
        <v>4811</v>
      </c>
      <c r="N1031" t="s">
        <v>4900</v>
      </c>
      <c r="O1031" t="s">
        <v>4912</v>
      </c>
    </row>
    <row r="1032" spans="1:15" x14ac:dyDescent="0.35">
      <c r="A1032" t="s">
        <v>1034</v>
      </c>
      <c r="B1032">
        <v>24</v>
      </c>
      <c r="C1032" t="s">
        <v>4802</v>
      </c>
      <c r="D1032" t="s">
        <v>13</v>
      </c>
      <c r="E1032">
        <v>34</v>
      </c>
      <c r="F1032">
        <v>26</v>
      </c>
      <c r="G1032" t="s">
        <v>4798</v>
      </c>
      <c r="H1032" t="s">
        <v>4805</v>
      </c>
      <c r="I1032">
        <v>13.99</v>
      </c>
      <c r="J1032">
        <v>3</v>
      </c>
      <c r="K1032">
        <v>1.1299999999999999</v>
      </c>
      <c r="L1032">
        <v>0</v>
      </c>
      <c r="M1032" t="s">
        <v>4808</v>
      </c>
      <c r="N1032" t="s">
        <v>4900</v>
      </c>
      <c r="O1032" t="s">
        <v>4912</v>
      </c>
    </row>
    <row r="1033" spans="1:15" x14ac:dyDescent="0.35">
      <c r="A1033" t="s">
        <v>1035</v>
      </c>
      <c r="B1033">
        <v>21</v>
      </c>
      <c r="C1033" t="s">
        <v>4803</v>
      </c>
      <c r="D1033" t="s">
        <v>13</v>
      </c>
      <c r="E1033">
        <v>39</v>
      </c>
      <c r="F1033">
        <v>31</v>
      </c>
      <c r="G1033" t="s">
        <v>4798</v>
      </c>
      <c r="H1033" t="s">
        <v>4806</v>
      </c>
      <c r="I1033">
        <v>13.99</v>
      </c>
      <c r="J1033">
        <v>2</v>
      </c>
      <c r="K1033">
        <v>1.3</v>
      </c>
      <c r="L1033">
        <v>1</v>
      </c>
      <c r="M1033" t="s">
        <v>4810</v>
      </c>
      <c r="N1033" t="s">
        <v>4899</v>
      </c>
      <c r="O1033" t="s">
        <v>4912</v>
      </c>
    </row>
    <row r="1034" spans="1:15" x14ac:dyDescent="0.35">
      <c r="A1034" t="s">
        <v>1036</v>
      </c>
      <c r="B1034">
        <v>40</v>
      </c>
      <c r="C1034" t="s">
        <v>4803</v>
      </c>
      <c r="D1034" t="s">
        <v>13</v>
      </c>
      <c r="E1034">
        <v>78</v>
      </c>
      <c r="F1034">
        <v>33</v>
      </c>
      <c r="G1034" t="s">
        <v>4797</v>
      </c>
      <c r="H1034" t="s">
        <v>4805</v>
      </c>
      <c r="I1034">
        <v>13.99</v>
      </c>
      <c r="J1034">
        <v>1</v>
      </c>
      <c r="K1034">
        <v>2.0299999999999998</v>
      </c>
      <c r="L1034">
        <v>0</v>
      </c>
      <c r="M1034" t="s">
        <v>4811</v>
      </c>
      <c r="N1034" t="s">
        <v>4900</v>
      </c>
      <c r="O1034" t="s">
        <v>4910</v>
      </c>
    </row>
    <row r="1035" spans="1:15" x14ac:dyDescent="0.35">
      <c r="A1035" t="s">
        <v>4819</v>
      </c>
      <c r="B1035">
        <v>26</v>
      </c>
      <c r="C1035" t="s">
        <v>4803</v>
      </c>
      <c r="D1035" t="s">
        <v>13</v>
      </c>
      <c r="E1035">
        <v>67</v>
      </c>
      <c r="F1035">
        <v>8</v>
      </c>
      <c r="G1035" t="s">
        <v>4799</v>
      </c>
      <c r="H1035" t="s">
        <v>4805</v>
      </c>
      <c r="I1035">
        <v>13.99</v>
      </c>
      <c r="J1035">
        <v>1</v>
      </c>
      <c r="K1035">
        <v>2.23</v>
      </c>
      <c r="L1035">
        <v>0</v>
      </c>
      <c r="M1035" t="s">
        <v>4809</v>
      </c>
      <c r="N1035" t="s">
        <v>4900</v>
      </c>
      <c r="O1035" t="s">
        <v>4912</v>
      </c>
    </row>
    <row r="1036" spans="1:15" x14ac:dyDescent="0.35">
      <c r="A1036" t="s">
        <v>1037</v>
      </c>
      <c r="B1036">
        <v>32</v>
      </c>
      <c r="C1036" t="s">
        <v>4803</v>
      </c>
      <c r="D1036" t="s">
        <v>14</v>
      </c>
      <c r="E1036">
        <v>29</v>
      </c>
      <c r="F1036">
        <v>32</v>
      </c>
      <c r="G1036" t="s">
        <v>4798</v>
      </c>
      <c r="H1036" t="s">
        <v>4807</v>
      </c>
      <c r="I1036">
        <v>8.99</v>
      </c>
      <c r="J1036">
        <v>1</v>
      </c>
      <c r="K1036">
        <v>0.97</v>
      </c>
      <c r="L1036">
        <v>0</v>
      </c>
      <c r="M1036" t="s">
        <v>4811</v>
      </c>
      <c r="N1036" t="s">
        <v>4900</v>
      </c>
      <c r="O1036" t="s">
        <v>4912</v>
      </c>
    </row>
    <row r="1037" spans="1:15" x14ac:dyDescent="0.35">
      <c r="A1037" t="s">
        <v>1038</v>
      </c>
      <c r="B1037">
        <v>52</v>
      </c>
      <c r="C1037" t="s">
        <v>4802</v>
      </c>
      <c r="D1037" t="s">
        <v>13</v>
      </c>
      <c r="E1037">
        <v>45</v>
      </c>
      <c r="F1037">
        <v>28</v>
      </c>
      <c r="G1037" t="s">
        <v>4797</v>
      </c>
      <c r="H1037" t="s">
        <v>4804</v>
      </c>
      <c r="I1037">
        <v>13.99</v>
      </c>
      <c r="J1037">
        <v>3</v>
      </c>
      <c r="K1037">
        <v>1.5</v>
      </c>
      <c r="L1037">
        <v>0</v>
      </c>
      <c r="M1037" t="s">
        <v>4808</v>
      </c>
      <c r="N1037" t="s">
        <v>4900</v>
      </c>
      <c r="O1037" t="s">
        <v>4910</v>
      </c>
    </row>
    <row r="1038" spans="1:15" x14ac:dyDescent="0.35">
      <c r="A1038" t="s">
        <v>1039</v>
      </c>
      <c r="B1038">
        <v>37</v>
      </c>
      <c r="C1038" t="s">
        <v>4803</v>
      </c>
      <c r="D1038" t="s">
        <v>13</v>
      </c>
      <c r="E1038">
        <v>41</v>
      </c>
      <c r="F1038">
        <v>26</v>
      </c>
      <c r="G1038" t="s">
        <v>4797</v>
      </c>
      <c r="H1038" t="s">
        <v>4806</v>
      </c>
      <c r="I1038">
        <v>13.99</v>
      </c>
      <c r="J1038">
        <v>4</v>
      </c>
      <c r="K1038">
        <v>1.37</v>
      </c>
      <c r="L1038">
        <v>0</v>
      </c>
      <c r="M1038" t="s">
        <v>4810</v>
      </c>
      <c r="N1038" t="s">
        <v>4900</v>
      </c>
      <c r="O1038" t="s">
        <v>4910</v>
      </c>
    </row>
    <row r="1039" spans="1:15" x14ac:dyDescent="0.35">
      <c r="A1039" t="s">
        <v>1040</v>
      </c>
      <c r="B1039">
        <v>65</v>
      </c>
      <c r="C1039" t="s">
        <v>4802</v>
      </c>
      <c r="D1039" t="s">
        <v>13</v>
      </c>
      <c r="E1039">
        <v>32</v>
      </c>
      <c r="F1039">
        <v>18</v>
      </c>
      <c r="G1039" t="s">
        <v>4798</v>
      </c>
      <c r="H1039" t="s">
        <v>4804</v>
      </c>
      <c r="I1039">
        <v>13.99</v>
      </c>
      <c r="J1039">
        <v>3</v>
      </c>
      <c r="K1039">
        <v>1.07</v>
      </c>
      <c r="L1039">
        <v>0</v>
      </c>
      <c r="M1039" t="s">
        <v>4811</v>
      </c>
      <c r="N1039" t="s">
        <v>4900</v>
      </c>
      <c r="O1039" t="s">
        <v>4911</v>
      </c>
    </row>
    <row r="1040" spans="1:15" x14ac:dyDescent="0.35">
      <c r="A1040" t="s">
        <v>1041</v>
      </c>
      <c r="B1040">
        <v>43</v>
      </c>
      <c r="C1040" t="s">
        <v>4803</v>
      </c>
      <c r="D1040" t="s">
        <v>15</v>
      </c>
      <c r="E1040">
        <v>92</v>
      </c>
      <c r="F1040">
        <v>25</v>
      </c>
      <c r="G1040" t="s">
        <v>4799</v>
      </c>
      <c r="H1040" t="s">
        <v>4805</v>
      </c>
      <c r="I1040">
        <v>17.989999999999998</v>
      </c>
      <c r="J1040">
        <v>4</v>
      </c>
      <c r="K1040">
        <v>3.07</v>
      </c>
      <c r="L1040">
        <v>0</v>
      </c>
      <c r="M1040" t="s">
        <v>4808</v>
      </c>
      <c r="N1040" t="s">
        <v>4900</v>
      </c>
      <c r="O1040" t="s">
        <v>4910</v>
      </c>
    </row>
    <row r="1041" spans="1:15" x14ac:dyDescent="0.35">
      <c r="A1041" t="s">
        <v>1042</v>
      </c>
      <c r="B1041">
        <v>56</v>
      </c>
      <c r="C1041" t="s">
        <v>4803</v>
      </c>
      <c r="D1041" t="s">
        <v>15</v>
      </c>
      <c r="E1041">
        <v>104</v>
      </c>
      <c r="F1041">
        <v>1</v>
      </c>
      <c r="G1041" t="s">
        <v>4799</v>
      </c>
      <c r="H1041" t="s">
        <v>4804</v>
      </c>
      <c r="I1041">
        <v>17.989999999999998</v>
      </c>
      <c r="J1041">
        <v>4</v>
      </c>
      <c r="K1041">
        <v>3.47</v>
      </c>
      <c r="L1041">
        <v>0</v>
      </c>
      <c r="M1041" t="s">
        <v>4812</v>
      </c>
      <c r="N1041" t="s">
        <v>4900</v>
      </c>
      <c r="O1041" t="s">
        <v>4911</v>
      </c>
    </row>
    <row r="1042" spans="1:15" x14ac:dyDescent="0.35">
      <c r="A1042" t="s">
        <v>1043</v>
      </c>
      <c r="B1042">
        <v>64</v>
      </c>
      <c r="C1042" t="s">
        <v>4803</v>
      </c>
      <c r="D1042" t="s">
        <v>13</v>
      </c>
      <c r="E1042">
        <v>77</v>
      </c>
      <c r="F1042">
        <v>23</v>
      </c>
      <c r="G1042" t="s">
        <v>4799</v>
      </c>
      <c r="H1042" t="s">
        <v>4805</v>
      </c>
      <c r="I1042">
        <v>13.99</v>
      </c>
      <c r="J1042">
        <v>4</v>
      </c>
      <c r="K1042">
        <v>2.57</v>
      </c>
      <c r="L1042">
        <v>0</v>
      </c>
      <c r="M1042" t="s">
        <v>4809</v>
      </c>
      <c r="N1042" t="s">
        <v>4900</v>
      </c>
      <c r="O1042" t="s">
        <v>4911</v>
      </c>
    </row>
    <row r="1043" spans="1:15" x14ac:dyDescent="0.35">
      <c r="A1043" t="s">
        <v>1044</v>
      </c>
      <c r="B1043">
        <v>47</v>
      </c>
      <c r="C1043" t="s">
        <v>4802</v>
      </c>
      <c r="D1043" t="s">
        <v>15</v>
      </c>
      <c r="E1043">
        <v>90</v>
      </c>
      <c r="F1043">
        <v>25</v>
      </c>
      <c r="G1043" t="s">
        <v>4799</v>
      </c>
      <c r="H1043" t="s">
        <v>4804</v>
      </c>
      <c r="I1043">
        <v>17.989999999999998</v>
      </c>
      <c r="J1043">
        <v>5</v>
      </c>
      <c r="K1043">
        <v>3</v>
      </c>
      <c r="L1043">
        <v>0</v>
      </c>
      <c r="M1043" t="s">
        <v>4811</v>
      </c>
      <c r="N1043" t="s">
        <v>4900</v>
      </c>
      <c r="O1043" t="s">
        <v>4910</v>
      </c>
    </row>
    <row r="1044" spans="1:15" x14ac:dyDescent="0.35">
      <c r="A1044" t="s">
        <v>1045</v>
      </c>
      <c r="B1044">
        <v>59</v>
      </c>
      <c r="C1044" t="s">
        <v>4802</v>
      </c>
      <c r="D1044" t="s">
        <v>15</v>
      </c>
      <c r="E1044">
        <v>111</v>
      </c>
      <c r="F1044">
        <v>48</v>
      </c>
      <c r="G1044" t="s">
        <v>4799</v>
      </c>
      <c r="H1044" t="s">
        <v>4804</v>
      </c>
      <c r="I1044">
        <v>17.989999999999998</v>
      </c>
      <c r="J1044">
        <v>5</v>
      </c>
      <c r="K1044">
        <v>3.7</v>
      </c>
      <c r="L1044">
        <v>0</v>
      </c>
      <c r="M1044" t="s">
        <v>4808</v>
      </c>
      <c r="N1044" t="s">
        <v>4900</v>
      </c>
      <c r="O1044" t="s">
        <v>4911</v>
      </c>
    </row>
    <row r="1045" spans="1:15" x14ac:dyDescent="0.35">
      <c r="A1045" t="s">
        <v>1046</v>
      </c>
      <c r="B1045">
        <v>41</v>
      </c>
      <c r="C1045" t="s">
        <v>4803</v>
      </c>
      <c r="D1045" t="s">
        <v>15</v>
      </c>
      <c r="E1045">
        <v>97</v>
      </c>
      <c r="F1045">
        <v>1</v>
      </c>
      <c r="G1045" t="s">
        <v>4800</v>
      </c>
      <c r="H1045" t="s">
        <v>4806</v>
      </c>
      <c r="I1045">
        <v>17.989999999999998</v>
      </c>
      <c r="J1045">
        <v>2</v>
      </c>
      <c r="K1045">
        <v>2.0299999999999998</v>
      </c>
      <c r="L1045">
        <v>0</v>
      </c>
      <c r="M1045" t="s">
        <v>4810</v>
      </c>
      <c r="N1045" t="s">
        <v>4900</v>
      </c>
      <c r="O1045" t="s">
        <v>4910</v>
      </c>
    </row>
    <row r="1046" spans="1:15" x14ac:dyDescent="0.35">
      <c r="A1046" t="s">
        <v>1047</v>
      </c>
      <c r="B1046">
        <v>57</v>
      </c>
      <c r="C1046" t="s">
        <v>4803</v>
      </c>
      <c r="D1046" t="s">
        <v>13</v>
      </c>
      <c r="E1046">
        <v>71</v>
      </c>
      <c r="F1046">
        <v>7</v>
      </c>
      <c r="G1046" t="s">
        <v>4799</v>
      </c>
      <c r="H1046" t="s">
        <v>4805</v>
      </c>
      <c r="I1046">
        <v>13.99</v>
      </c>
      <c r="J1046">
        <v>2</v>
      </c>
      <c r="K1046">
        <v>2.37</v>
      </c>
      <c r="L1046">
        <v>0</v>
      </c>
      <c r="M1046" t="s">
        <v>4812</v>
      </c>
      <c r="N1046" t="s">
        <v>4900</v>
      </c>
      <c r="O1046" t="s">
        <v>4911</v>
      </c>
    </row>
    <row r="1047" spans="1:15" x14ac:dyDescent="0.35">
      <c r="A1047" t="s">
        <v>1048</v>
      </c>
      <c r="B1047">
        <v>25</v>
      </c>
      <c r="C1047" t="s">
        <v>4802</v>
      </c>
      <c r="D1047" t="s">
        <v>13</v>
      </c>
      <c r="E1047">
        <v>52</v>
      </c>
      <c r="F1047">
        <v>29</v>
      </c>
      <c r="G1047" t="s">
        <v>4798</v>
      </c>
      <c r="H1047" t="s">
        <v>4804</v>
      </c>
      <c r="I1047">
        <v>13.99</v>
      </c>
      <c r="J1047">
        <v>1</v>
      </c>
      <c r="K1047">
        <v>1.73</v>
      </c>
      <c r="L1047">
        <v>0</v>
      </c>
      <c r="M1047" t="s">
        <v>4808</v>
      </c>
      <c r="N1047" t="s">
        <v>4900</v>
      </c>
      <c r="O1047" t="s">
        <v>4912</v>
      </c>
    </row>
    <row r="1048" spans="1:15" x14ac:dyDescent="0.35">
      <c r="A1048" t="s">
        <v>1049</v>
      </c>
      <c r="B1048">
        <v>26</v>
      </c>
      <c r="C1048" t="s">
        <v>4802</v>
      </c>
      <c r="D1048" t="s">
        <v>13</v>
      </c>
      <c r="E1048">
        <v>44</v>
      </c>
      <c r="F1048">
        <v>25</v>
      </c>
      <c r="G1048" t="s">
        <v>4799</v>
      </c>
      <c r="H1048" t="s">
        <v>4807</v>
      </c>
      <c r="I1048">
        <v>13.99</v>
      </c>
      <c r="J1048">
        <v>4</v>
      </c>
      <c r="K1048">
        <v>1.47</v>
      </c>
      <c r="L1048">
        <v>0</v>
      </c>
      <c r="M1048" t="s">
        <v>4812</v>
      </c>
      <c r="N1048" t="s">
        <v>4900</v>
      </c>
      <c r="O1048" t="s">
        <v>4912</v>
      </c>
    </row>
    <row r="1049" spans="1:15" x14ac:dyDescent="0.35">
      <c r="A1049" t="s">
        <v>1050</v>
      </c>
      <c r="B1049">
        <v>34</v>
      </c>
      <c r="C1049" t="s">
        <v>4802</v>
      </c>
      <c r="D1049" t="s">
        <v>13</v>
      </c>
      <c r="E1049">
        <v>59</v>
      </c>
      <c r="F1049">
        <v>49</v>
      </c>
      <c r="G1049" t="s">
        <v>4798</v>
      </c>
      <c r="H1049" t="s">
        <v>4804</v>
      </c>
      <c r="I1049">
        <v>13.99</v>
      </c>
      <c r="J1049">
        <v>3</v>
      </c>
      <c r="K1049">
        <v>1.97</v>
      </c>
      <c r="L1049">
        <v>0</v>
      </c>
      <c r="M1049" t="s">
        <v>4812</v>
      </c>
      <c r="N1049" t="s">
        <v>4900</v>
      </c>
      <c r="O1049" t="s">
        <v>4912</v>
      </c>
    </row>
    <row r="1050" spans="1:15" x14ac:dyDescent="0.35">
      <c r="A1050" t="s">
        <v>1051</v>
      </c>
      <c r="B1050">
        <v>42</v>
      </c>
      <c r="C1050" t="s">
        <v>4802</v>
      </c>
      <c r="D1050" t="s">
        <v>13</v>
      </c>
      <c r="E1050">
        <v>30</v>
      </c>
      <c r="F1050">
        <v>23</v>
      </c>
      <c r="G1050" t="s">
        <v>4799</v>
      </c>
      <c r="H1050" t="s">
        <v>4804</v>
      </c>
      <c r="I1050">
        <v>13.99</v>
      </c>
      <c r="J1050">
        <v>3</v>
      </c>
      <c r="K1050">
        <v>1</v>
      </c>
      <c r="L1050">
        <v>0</v>
      </c>
      <c r="M1050" t="s">
        <v>4812</v>
      </c>
      <c r="N1050" t="s">
        <v>4900</v>
      </c>
      <c r="O1050" t="s">
        <v>4910</v>
      </c>
    </row>
    <row r="1051" spans="1:15" x14ac:dyDescent="0.35">
      <c r="A1051" t="s">
        <v>1052</v>
      </c>
      <c r="B1051">
        <v>22</v>
      </c>
      <c r="C1051" t="s">
        <v>4803</v>
      </c>
      <c r="D1051" t="s">
        <v>13</v>
      </c>
      <c r="E1051">
        <v>34</v>
      </c>
      <c r="F1051">
        <v>23</v>
      </c>
      <c r="G1051" t="s">
        <v>4797</v>
      </c>
      <c r="H1051" t="s">
        <v>4804</v>
      </c>
      <c r="I1051">
        <v>13.99</v>
      </c>
      <c r="J1051">
        <v>3</v>
      </c>
      <c r="K1051">
        <v>1.1299999999999999</v>
      </c>
      <c r="L1051">
        <v>0</v>
      </c>
      <c r="M1051" t="s">
        <v>4810</v>
      </c>
      <c r="N1051" t="s">
        <v>4900</v>
      </c>
      <c r="O1051" t="s">
        <v>4912</v>
      </c>
    </row>
    <row r="1052" spans="1:15" x14ac:dyDescent="0.35">
      <c r="A1052" t="s">
        <v>1053</v>
      </c>
      <c r="B1052">
        <v>61</v>
      </c>
      <c r="C1052" t="s">
        <v>4802</v>
      </c>
      <c r="D1052" t="s">
        <v>13</v>
      </c>
      <c r="E1052">
        <v>55</v>
      </c>
      <c r="F1052">
        <v>23</v>
      </c>
      <c r="G1052" t="s">
        <v>4799</v>
      </c>
      <c r="H1052" t="s">
        <v>4806</v>
      </c>
      <c r="I1052">
        <v>13.99</v>
      </c>
      <c r="J1052">
        <v>2</v>
      </c>
      <c r="K1052">
        <v>1.83</v>
      </c>
      <c r="L1052">
        <v>0</v>
      </c>
      <c r="M1052" t="s">
        <v>4811</v>
      </c>
      <c r="N1052" t="s">
        <v>4900</v>
      </c>
      <c r="O1052" t="s">
        <v>4911</v>
      </c>
    </row>
    <row r="1053" spans="1:15" x14ac:dyDescent="0.35">
      <c r="A1053" t="s">
        <v>1054</v>
      </c>
      <c r="B1053">
        <v>21</v>
      </c>
      <c r="C1053" t="s">
        <v>4802</v>
      </c>
      <c r="D1053" t="s">
        <v>13</v>
      </c>
      <c r="E1053">
        <v>64</v>
      </c>
      <c r="F1053">
        <v>32</v>
      </c>
      <c r="G1053" t="s">
        <v>4798</v>
      </c>
      <c r="H1053" t="s">
        <v>4804</v>
      </c>
      <c r="I1053">
        <v>13.99</v>
      </c>
      <c r="J1053">
        <v>1</v>
      </c>
      <c r="K1053">
        <v>2.13</v>
      </c>
      <c r="L1053">
        <v>0</v>
      </c>
      <c r="M1053" t="s">
        <v>4811</v>
      </c>
      <c r="N1053" t="s">
        <v>4900</v>
      </c>
      <c r="O1053" t="s">
        <v>4912</v>
      </c>
    </row>
    <row r="1054" spans="1:15" x14ac:dyDescent="0.35">
      <c r="A1054" t="s">
        <v>1055</v>
      </c>
      <c r="B1054">
        <v>59</v>
      </c>
      <c r="C1054" t="s">
        <v>4803</v>
      </c>
      <c r="D1054" t="s">
        <v>13</v>
      </c>
      <c r="E1054">
        <v>44</v>
      </c>
      <c r="F1054">
        <v>57</v>
      </c>
      <c r="G1054" t="s">
        <v>4798</v>
      </c>
      <c r="H1054" t="s">
        <v>4804</v>
      </c>
      <c r="I1054">
        <v>13.99</v>
      </c>
      <c r="J1054">
        <v>4</v>
      </c>
      <c r="K1054">
        <v>1.47</v>
      </c>
      <c r="L1054">
        <v>1</v>
      </c>
      <c r="M1054" t="s">
        <v>4811</v>
      </c>
      <c r="N1054" t="s">
        <v>4899</v>
      </c>
      <c r="O1054" t="s">
        <v>4911</v>
      </c>
    </row>
    <row r="1055" spans="1:15" x14ac:dyDescent="0.35">
      <c r="A1055" t="s">
        <v>1056</v>
      </c>
      <c r="B1055">
        <v>46</v>
      </c>
      <c r="C1055" t="s">
        <v>4803</v>
      </c>
      <c r="D1055" t="s">
        <v>15</v>
      </c>
      <c r="E1055">
        <v>81</v>
      </c>
      <c r="F1055">
        <v>45</v>
      </c>
      <c r="G1055" t="s">
        <v>4799</v>
      </c>
      <c r="H1055" t="s">
        <v>4806</v>
      </c>
      <c r="I1055">
        <v>17.989999999999998</v>
      </c>
      <c r="J1055">
        <v>2</v>
      </c>
      <c r="K1055">
        <v>2.7</v>
      </c>
      <c r="L1055">
        <v>1</v>
      </c>
      <c r="M1055" t="s">
        <v>4810</v>
      </c>
      <c r="N1055" t="s">
        <v>4899</v>
      </c>
      <c r="O1055" t="s">
        <v>4910</v>
      </c>
    </row>
    <row r="1056" spans="1:15" x14ac:dyDescent="0.35">
      <c r="A1056" t="s">
        <v>1057</v>
      </c>
      <c r="B1056">
        <v>45</v>
      </c>
      <c r="C1056" t="s">
        <v>4803</v>
      </c>
      <c r="D1056" t="s">
        <v>15</v>
      </c>
      <c r="E1056">
        <v>106</v>
      </c>
      <c r="F1056">
        <v>0</v>
      </c>
      <c r="G1056" t="s">
        <v>4799</v>
      </c>
      <c r="H1056" t="s">
        <v>4806</v>
      </c>
      <c r="I1056">
        <v>17.989999999999998</v>
      </c>
      <c r="J1056">
        <v>5</v>
      </c>
      <c r="K1056">
        <v>3.53</v>
      </c>
      <c r="L1056">
        <v>0</v>
      </c>
      <c r="M1056" t="s">
        <v>4809</v>
      </c>
      <c r="N1056" t="s">
        <v>4900</v>
      </c>
      <c r="O1056" t="s">
        <v>4910</v>
      </c>
    </row>
    <row r="1057" spans="1:15" x14ac:dyDescent="0.35">
      <c r="A1057" t="s">
        <v>1058</v>
      </c>
      <c r="B1057">
        <v>52</v>
      </c>
      <c r="C1057" t="s">
        <v>4802</v>
      </c>
      <c r="D1057" t="s">
        <v>13</v>
      </c>
      <c r="E1057">
        <v>54</v>
      </c>
      <c r="F1057">
        <v>48</v>
      </c>
      <c r="G1057" t="s">
        <v>4798</v>
      </c>
      <c r="H1057" t="s">
        <v>4805</v>
      </c>
      <c r="I1057">
        <v>13.99</v>
      </c>
      <c r="J1057">
        <v>2</v>
      </c>
      <c r="K1057">
        <v>1.8</v>
      </c>
      <c r="L1057">
        <v>1</v>
      </c>
      <c r="M1057" t="s">
        <v>4810</v>
      </c>
      <c r="N1057" t="s">
        <v>4899</v>
      </c>
      <c r="O1057" t="s">
        <v>4910</v>
      </c>
    </row>
    <row r="1058" spans="1:15" x14ac:dyDescent="0.35">
      <c r="A1058" t="s">
        <v>1059</v>
      </c>
      <c r="B1058">
        <v>60</v>
      </c>
      <c r="C1058" t="s">
        <v>4802</v>
      </c>
      <c r="D1058" t="s">
        <v>13</v>
      </c>
      <c r="E1058">
        <v>53</v>
      </c>
      <c r="F1058">
        <v>24</v>
      </c>
      <c r="G1058" t="s">
        <v>4797</v>
      </c>
      <c r="H1058" t="s">
        <v>4806</v>
      </c>
      <c r="I1058">
        <v>13.99</v>
      </c>
      <c r="J1058">
        <v>3</v>
      </c>
      <c r="K1058">
        <v>1.77</v>
      </c>
      <c r="L1058">
        <v>0</v>
      </c>
      <c r="M1058" t="s">
        <v>4808</v>
      </c>
      <c r="N1058" t="s">
        <v>4900</v>
      </c>
      <c r="O1058" t="s">
        <v>4911</v>
      </c>
    </row>
    <row r="1059" spans="1:15" x14ac:dyDescent="0.35">
      <c r="A1059" t="s">
        <v>1060</v>
      </c>
      <c r="B1059">
        <v>22</v>
      </c>
      <c r="C1059" t="s">
        <v>4802</v>
      </c>
      <c r="D1059" t="s">
        <v>15</v>
      </c>
      <c r="E1059">
        <v>87</v>
      </c>
      <c r="F1059">
        <v>7</v>
      </c>
      <c r="G1059" t="s">
        <v>4799</v>
      </c>
      <c r="H1059" t="s">
        <v>4805</v>
      </c>
      <c r="I1059">
        <v>17.989999999999998</v>
      </c>
      <c r="J1059">
        <v>3</v>
      </c>
      <c r="K1059">
        <v>5</v>
      </c>
      <c r="L1059">
        <v>0</v>
      </c>
      <c r="M1059" t="s">
        <v>4812</v>
      </c>
      <c r="N1059" t="s">
        <v>4900</v>
      </c>
      <c r="O1059" t="s">
        <v>4912</v>
      </c>
    </row>
    <row r="1060" spans="1:15" x14ac:dyDescent="0.35">
      <c r="A1060" t="s">
        <v>1061</v>
      </c>
      <c r="B1060">
        <v>54</v>
      </c>
      <c r="C1060" t="s">
        <v>4803</v>
      </c>
      <c r="D1060" t="s">
        <v>13</v>
      </c>
      <c r="E1060">
        <v>61</v>
      </c>
      <c r="F1060">
        <v>4</v>
      </c>
      <c r="G1060" t="s">
        <v>4799</v>
      </c>
      <c r="H1060" t="s">
        <v>4806</v>
      </c>
      <c r="I1060">
        <v>13.99</v>
      </c>
      <c r="J1060">
        <v>2</v>
      </c>
      <c r="K1060">
        <v>2.0299999999999998</v>
      </c>
      <c r="L1060">
        <v>0</v>
      </c>
      <c r="M1060" t="s">
        <v>4808</v>
      </c>
      <c r="N1060" t="s">
        <v>4900</v>
      </c>
      <c r="O1060" t="s">
        <v>4910</v>
      </c>
    </row>
    <row r="1061" spans="1:15" x14ac:dyDescent="0.35">
      <c r="A1061" t="s">
        <v>1062</v>
      </c>
      <c r="B1061">
        <v>24</v>
      </c>
      <c r="C1061" t="s">
        <v>4802</v>
      </c>
      <c r="D1061" t="s">
        <v>13</v>
      </c>
      <c r="E1061">
        <v>71</v>
      </c>
      <c r="F1061">
        <v>37</v>
      </c>
      <c r="G1061" t="s">
        <v>4801</v>
      </c>
      <c r="H1061" t="s">
        <v>4806</v>
      </c>
      <c r="I1061">
        <v>13.99</v>
      </c>
      <c r="J1061">
        <v>1</v>
      </c>
      <c r="K1061">
        <v>2.37</v>
      </c>
      <c r="L1061">
        <v>0</v>
      </c>
      <c r="M1061" t="s">
        <v>4809</v>
      </c>
      <c r="N1061" t="s">
        <v>4900</v>
      </c>
      <c r="O1061" t="s">
        <v>4912</v>
      </c>
    </row>
    <row r="1062" spans="1:15" x14ac:dyDescent="0.35">
      <c r="A1062" t="s">
        <v>1063</v>
      </c>
      <c r="B1062">
        <v>29</v>
      </c>
      <c r="C1062" t="s">
        <v>4802</v>
      </c>
      <c r="D1062" t="s">
        <v>15</v>
      </c>
      <c r="E1062">
        <v>93</v>
      </c>
      <c r="F1062">
        <v>13</v>
      </c>
      <c r="G1062" t="s">
        <v>4797</v>
      </c>
      <c r="H1062" t="s">
        <v>4804</v>
      </c>
      <c r="I1062">
        <v>17.989999999999998</v>
      </c>
      <c r="J1062">
        <v>4</v>
      </c>
      <c r="K1062">
        <v>2.0299999999999998</v>
      </c>
      <c r="L1062">
        <v>0</v>
      </c>
      <c r="M1062" t="s">
        <v>4810</v>
      </c>
      <c r="N1062" t="s">
        <v>4900</v>
      </c>
      <c r="O1062" t="s">
        <v>4912</v>
      </c>
    </row>
    <row r="1063" spans="1:15" x14ac:dyDescent="0.35">
      <c r="A1063" t="s">
        <v>1064</v>
      </c>
      <c r="B1063">
        <v>53</v>
      </c>
      <c r="C1063" t="s">
        <v>4803</v>
      </c>
      <c r="D1063" t="s">
        <v>15</v>
      </c>
      <c r="E1063">
        <v>59</v>
      </c>
      <c r="F1063">
        <v>58</v>
      </c>
      <c r="G1063" t="s">
        <v>4798</v>
      </c>
      <c r="H1063" t="s">
        <v>4806</v>
      </c>
      <c r="I1063">
        <v>17.989999999999998</v>
      </c>
      <c r="J1063">
        <v>2</v>
      </c>
      <c r="K1063">
        <v>1.97</v>
      </c>
      <c r="L1063">
        <v>0</v>
      </c>
      <c r="M1063" t="s">
        <v>4811</v>
      </c>
      <c r="N1063" t="s">
        <v>4900</v>
      </c>
      <c r="O1063" t="s">
        <v>4910</v>
      </c>
    </row>
    <row r="1064" spans="1:15" x14ac:dyDescent="0.35">
      <c r="A1064" t="s">
        <v>4820</v>
      </c>
      <c r="B1064">
        <v>58</v>
      </c>
      <c r="C1064" t="s">
        <v>4803</v>
      </c>
      <c r="D1064" t="s">
        <v>13</v>
      </c>
      <c r="E1064">
        <v>43</v>
      </c>
      <c r="F1064">
        <v>18</v>
      </c>
      <c r="G1064" t="s">
        <v>4798</v>
      </c>
      <c r="H1064" t="s">
        <v>4805</v>
      </c>
      <c r="I1064">
        <v>13.99</v>
      </c>
      <c r="J1064">
        <v>3</v>
      </c>
      <c r="K1064">
        <v>1.43</v>
      </c>
      <c r="L1064">
        <v>0</v>
      </c>
      <c r="M1064" t="s">
        <v>4810</v>
      </c>
      <c r="N1064" t="s">
        <v>4900</v>
      </c>
      <c r="O1064" t="s">
        <v>4911</v>
      </c>
    </row>
    <row r="1065" spans="1:15" x14ac:dyDescent="0.35">
      <c r="A1065" t="s">
        <v>1065</v>
      </c>
      <c r="B1065">
        <v>49</v>
      </c>
      <c r="C1065" t="s">
        <v>4802</v>
      </c>
      <c r="D1065" t="s">
        <v>15</v>
      </c>
      <c r="E1065">
        <v>109</v>
      </c>
      <c r="F1065">
        <v>18</v>
      </c>
      <c r="G1065" t="s">
        <v>4797</v>
      </c>
      <c r="H1065" t="s">
        <v>4805</v>
      </c>
      <c r="I1065">
        <v>17.989999999999998</v>
      </c>
      <c r="J1065">
        <v>3</v>
      </c>
      <c r="K1065">
        <v>3.63</v>
      </c>
      <c r="L1065">
        <v>0</v>
      </c>
      <c r="M1065" t="s">
        <v>4811</v>
      </c>
      <c r="N1065" t="s">
        <v>4900</v>
      </c>
      <c r="O1065" t="s">
        <v>4910</v>
      </c>
    </row>
    <row r="1066" spans="1:15" x14ac:dyDescent="0.35">
      <c r="A1066" t="s">
        <v>1066</v>
      </c>
      <c r="B1066">
        <v>20</v>
      </c>
      <c r="C1066" t="s">
        <v>4802</v>
      </c>
      <c r="D1066" t="s">
        <v>13</v>
      </c>
      <c r="E1066">
        <v>36</v>
      </c>
      <c r="F1066">
        <v>44</v>
      </c>
      <c r="G1066" t="s">
        <v>4798</v>
      </c>
      <c r="H1066" t="s">
        <v>4806</v>
      </c>
      <c r="I1066">
        <v>13.99</v>
      </c>
      <c r="J1066">
        <v>4</v>
      </c>
      <c r="K1066">
        <v>1.2</v>
      </c>
      <c r="L1066">
        <v>0</v>
      </c>
      <c r="M1066" t="s">
        <v>4809</v>
      </c>
      <c r="N1066" t="s">
        <v>4900</v>
      </c>
      <c r="O1066" t="s">
        <v>4912</v>
      </c>
    </row>
    <row r="1067" spans="1:15" x14ac:dyDescent="0.35">
      <c r="A1067" t="s">
        <v>1067</v>
      </c>
      <c r="B1067">
        <v>19</v>
      </c>
      <c r="C1067" t="s">
        <v>4803</v>
      </c>
      <c r="D1067" t="s">
        <v>13</v>
      </c>
      <c r="E1067">
        <v>47</v>
      </c>
      <c r="F1067">
        <v>23</v>
      </c>
      <c r="G1067" t="s">
        <v>4798</v>
      </c>
      <c r="H1067" t="s">
        <v>4806</v>
      </c>
      <c r="I1067">
        <v>13.99</v>
      </c>
      <c r="J1067">
        <v>2</v>
      </c>
      <c r="K1067">
        <v>1.57</v>
      </c>
      <c r="L1067">
        <v>1</v>
      </c>
      <c r="M1067" t="s">
        <v>4809</v>
      </c>
      <c r="N1067" t="s">
        <v>4899</v>
      </c>
      <c r="O1067" t="s">
        <v>4912</v>
      </c>
    </row>
    <row r="1068" spans="1:15" x14ac:dyDescent="0.35">
      <c r="A1068" t="s">
        <v>1068</v>
      </c>
      <c r="B1068">
        <v>60</v>
      </c>
      <c r="C1068" t="s">
        <v>4802</v>
      </c>
      <c r="D1068" t="s">
        <v>13</v>
      </c>
      <c r="E1068">
        <v>78</v>
      </c>
      <c r="F1068">
        <v>56</v>
      </c>
      <c r="G1068" t="s">
        <v>4798</v>
      </c>
      <c r="H1068" t="s">
        <v>4804</v>
      </c>
      <c r="I1068">
        <v>13.99</v>
      </c>
      <c r="J1068">
        <v>4</v>
      </c>
      <c r="K1068">
        <v>2.6</v>
      </c>
      <c r="L1068">
        <v>1</v>
      </c>
      <c r="M1068" t="s">
        <v>4809</v>
      </c>
      <c r="N1068" t="s">
        <v>4899</v>
      </c>
      <c r="O1068" t="s">
        <v>4911</v>
      </c>
    </row>
    <row r="1069" spans="1:15" x14ac:dyDescent="0.35">
      <c r="A1069" t="s">
        <v>1069</v>
      </c>
      <c r="B1069">
        <v>20</v>
      </c>
      <c r="C1069" t="s">
        <v>4803</v>
      </c>
      <c r="D1069" t="s">
        <v>13</v>
      </c>
      <c r="E1069">
        <v>33</v>
      </c>
      <c r="F1069">
        <v>28</v>
      </c>
      <c r="G1069" t="s">
        <v>4799</v>
      </c>
      <c r="H1069" t="s">
        <v>4805</v>
      </c>
      <c r="I1069">
        <v>13.99</v>
      </c>
      <c r="J1069">
        <v>3</v>
      </c>
      <c r="K1069">
        <v>1.1000000000000001</v>
      </c>
      <c r="L1069">
        <v>0</v>
      </c>
      <c r="M1069" t="s">
        <v>4808</v>
      </c>
      <c r="N1069" t="s">
        <v>4900</v>
      </c>
      <c r="O1069" t="s">
        <v>4912</v>
      </c>
    </row>
    <row r="1070" spans="1:15" x14ac:dyDescent="0.35">
      <c r="A1070" t="s">
        <v>1070</v>
      </c>
      <c r="B1070">
        <v>23</v>
      </c>
      <c r="C1070" t="s">
        <v>4802</v>
      </c>
      <c r="D1070" t="s">
        <v>13</v>
      </c>
      <c r="E1070">
        <v>40</v>
      </c>
      <c r="F1070">
        <v>52</v>
      </c>
      <c r="G1070" t="s">
        <v>4799</v>
      </c>
      <c r="H1070" t="s">
        <v>4804</v>
      </c>
      <c r="I1070">
        <v>13.99</v>
      </c>
      <c r="J1070">
        <v>4</v>
      </c>
      <c r="K1070">
        <v>2.0299999999999998</v>
      </c>
      <c r="L1070">
        <v>0</v>
      </c>
      <c r="M1070" t="s">
        <v>4810</v>
      </c>
      <c r="N1070" t="s">
        <v>4900</v>
      </c>
      <c r="O1070" t="s">
        <v>4912</v>
      </c>
    </row>
    <row r="1071" spans="1:15" x14ac:dyDescent="0.35">
      <c r="A1071" t="s">
        <v>1071</v>
      </c>
      <c r="B1071">
        <v>52</v>
      </c>
      <c r="C1071" t="s">
        <v>4803</v>
      </c>
      <c r="D1071" t="s">
        <v>13</v>
      </c>
      <c r="E1071">
        <v>72</v>
      </c>
      <c r="F1071">
        <v>37</v>
      </c>
      <c r="G1071" t="s">
        <v>4799</v>
      </c>
      <c r="H1071" t="s">
        <v>4805</v>
      </c>
      <c r="I1071">
        <v>13.99</v>
      </c>
      <c r="J1071">
        <v>2</v>
      </c>
      <c r="K1071">
        <v>2.4</v>
      </c>
      <c r="L1071">
        <v>0</v>
      </c>
      <c r="M1071" t="s">
        <v>4811</v>
      </c>
      <c r="N1071" t="s">
        <v>4900</v>
      </c>
      <c r="O1071" t="s">
        <v>4910</v>
      </c>
    </row>
    <row r="1072" spans="1:15" x14ac:dyDescent="0.35">
      <c r="A1072" t="s">
        <v>4821</v>
      </c>
      <c r="B1072">
        <v>41</v>
      </c>
      <c r="C1072" t="s">
        <v>4802</v>
      </c>
      <c r="D1072" t="s">
        <v>13</v>
      </c>
      <c r="E1072">
        <v>32</v>
      </c>
      <c r="F1072">
        <v>52</v>
      </c>
      <c r="G1072" t="s">
        <v>4799</v>
      </c>
      <c r="H1072" t="s">
        <v>4804</v>
      </c>
      <c r="I1072">
        <v>13.99</v>
      </c>
      <c r="J1072">
        <v>4</v>
      </c>
      <c r="K1072">
        <v>2.0299999999999998</v>
      </c>
      <c r="L1072">
        <v>0</v>
      </c>
      <c r="M1072" t="s">
        <v>4811</v>
      </c>
      <c r="N1072" t="s">
        <v>4900</v>
      </c>
      <c r="O1072" t="s">
        <v>4910</v>
      </c>
    </row>
    <row r="1073" spans="1:15" x14ac:dyDescent="0.35">
      <c r="A1073" t="s">
        <v>1072</v>
      </c>
      <c r="B1073">
        <v>21</v>
      </c>
      <c r="C1073" t="s">
        <v>4803</v>
      </c>
      <c r="D1073" t="s">
        <v>13</v>
      </c>
      <c r="E1073">
        <v>51</v>
      </c>
      <c r="F1073">
        <v>34</v>
      </c>
      <c r="G1073" t="s">
        <v>4798</v>
      </c>
      <c r="H1073" t="s">
        <v>4804</v>
      </c>
      <c r="I1073">
        <v>13.99</v>
      </c>
      <c r="J1073">
        <v>2</v>
      </c>
      <c r="K1073">
        <v>1.7</v>
      </c>
      <c r="L1073">
        <v>1</v>
      </c>
      <c r="M1073" t="s">
        <v>4810</v>
      </c>
      <c r="N1073" t="s">
        <v>4899</v>
      </c>
      <c r="O1073" t="s">
        <v>4912</v>
      </c>
    </row>
    <row r="1074" spans="1:15" x14ac:dyDescent="0.35">
      <c r="A1074" t="s">
        <v>1073</v>
      </c>
      <c r="B1074">
        <v>18</v>
      </c>
      <c r="C1074" t="s">
        <v>4803</v>
      </c>
      <c r="D1074" t="s">
        <v>13</v>
      </c>
      <c r="E1074">
        <v>59</v>
      </c>
      <c r="F1074">
        <v>36</v>
      </c>
      <c r="G1074" t="s">
        <v>4800</v>
      </c>
      <c r="H1074" t="s">
        <v>4805</v>
      </c>
      <c r="I1074">
        <v>13.99</v>
      </c>
      <c r="J1074">
        <v>2</v>
      </c>
      <c r="K1074">
        <v>1.97</v>
      </c>
      <c r="L1074">
        <v>0</v>
      </c>
      <c r="M1074" t="s">
        <v>4809</v>
      </c>
      <c r="N1074" t="s">
        <v>4900</v>
      </c>
      <c r="O1074" t="s">
        <v>4912</v>
      </c>
    </row>
    <row r="1075" spans="1:15" x14ac:dyDescent="0.35">
      <c r="A1075" t="s">
        <v>1074</v>
      </c>
      <c r="B1075">
        <v>40</v>
      </c>
      <c r="C1075" t="s">
        <v>4802</v>
      </c>
      <c r="D1075" t="s">
        <v>15</v>
      </c>
      <c r="E1075">
        <v>79</v>
      </c>
      <c r="F1075">
        <v>38</v>
      </c>
      <c r="G1075" t="s">
        <v>4797</v>
      </c>
      <c r="H1075" t="s">
        <v>4804</v>
      </c>
      <c r="I1075">
        <v>17.989999999999998</v>
      </c>
      <c r="J1075">
        <v>3</v>
      </c>
      <c r="K1075">
        <v>2.63</v>
      </c>
      <c r="L1075">
        <v>0</v>
      </c>
      <c r="M1075" t="s">
        <v>4811</v>
      </c>
      <c r="N1075" t="s">
        <v>4900</v>
      </c>
      <c r="O1075" t="s">
        <v>4910</v>
      </c>
    </row>
    <row r="1076" spans="1:15" x14ac:dyDescent="0.35">
      <c r="A1076" t="s">
        <v>1075</v>
      </c>
      <c r="B1076">
        <v>54</v>
      </c>
      <c r="C1076" t="s">
        <v>4803</v>
      </c>
      <c r="D1076" t="s">
        <v>15</v>
      </c>
      <c r="E1076">
        <v>63</v>
      </c>
      <c r="F1076">
        <v>21</v>
      </c>
      <c r="G1076" t="s">
        <v>4797</v>
      </c>
      <c r="H1076" t="s">
        <v>4806</v>
      </c>
      <c r="I1076">
        <v>17.989999999999998</v>
      </c>
      <c r="J1076">
        <v>5</v>
      </c>
      <c r="K1076">
        <v>2.1</v>
      </c>
      <c r="L1076">
        <v>1</v>
      </c>
      <c r="M1076" t="s">
        <v>4810</v>
      </c>
      <c r="N1076" t="s">
        <v>4899</v>
      </c>
      <c r="O1076" t="s">
        <v>4910</v>
      </c>
    </row>
    <row r="1077" spans="1:15" x14ac:dyDescent="0.35">
      <c r="A1077" t="s">
        <v>1076</v>
      </c>
      <c r="B1077">
        <v>46</v>
      </c>
      <c r="C1077" t="s">
        <v>4803</v>
      </c>
      <c r="D1077" t="s">
        <v>13</v>
      </c>
      <c r="E1077">
        <v>55</v>
      </c>
      <c r="F1077">
        <v>4</v>
      </c>
      <c r="G1077" t="s">
        <v>4797</v>
      </c>
      <c r="H1077" t="s">
        <v>4806</v>
      </c>
      <c r="I1077">
        <v>13.99</v>
      </c>
      <c r="J1077">
        <v>2</v>
      </c>
      <c r="K1077">
        <v>1.83</v>
      </c>
      <c r="L1077">
        <v>0</v>
      </c>
      <c r="M1077" t="s">
        <v>4812</v>
      </c>
      <c r="N1077" t="s">
        <v>4900</v>
      </c>
      <c r="O1077" t="s">
        <v>4910</v>
      </c>
    </row>
    <row r="1078" spans="1:15" x14ac:dyDescent="0.35">
      <c r="A1078" t="s">
        <v>1077</v>
      </c>
      <c r="B1078">
        <v>56</v>
      </c>
      <c r="C1078" t="s">
        <v>4803</v>
      </c>
      <c r="D1078" t="s">
        <v>15</v>
      </c>
      <c r="E1078">
        <v>84</v>
      </c>
      <c r="F1078" t="s">
        <v>4814</v>
      </c>
      <c r="G1078" t="s">
        <v>4798</v>
      </c>
      <c r="H1078" t="s">
        <v>4805</v>
      </c>
      <c r="I1078">
        <v>17.989999999999998</v>
      </c>
      <c r="J1078">
        <v>3</v>
      </c>
      <c r="K1078">
        <v>2.8</v>
      </c>
      <c r="L1078">
        <v>0</v>
      </c>
      <c r="M1078" t="s">
        <v>4808</v>
      </c>
      <c r="N1078" t="s">
        <v>4900</v>
      </c>
      <c r="O1078" t="s">
        <v>4911</v>
      </c>
    </row>
    <row r="1079" spans="1:15" x14ac:dyDescent="0.35">
      <c r="A1079" t="s">
        <v>1078</v>
      </c>
      <c r="B1079">
        <v>57</v>
      </c>
      <c r="C1079" t="s">
        <v>4802</v>
      </c>
      <c r="D1079" t="s">
        <v>13</v>
      </c>
      <c r="E1079">
        <v>60</v>
      </c>
      <c r="F1079">
        <v>14</v>
      </c>
      <c r="G1079" t="s">
        <v>4798</v>
      </c>
      <c r="H1079" t="s">
        <v>4805</v>
      </c>
      <c r="I1079">
        <v>13.99</v>
      </c>
      <c r="J1079">
        <v>2</v>
      </c>
      <c r="K1079">
        <v>2</v>
      </c>
      <c r="L1079">
        <v>0</v>
      </c>
      <c r="M1079" t="s">
        <v>4810</v>
      </c>
      <c r="N1079" t="s">
        <v>4900</v>
      </c>
      <c r="O1079" t="s">
        <v>4911</v>
      </c>
    </row>
    <row r="1080" spans="1:15" x14ac:dyDescent="0.35">
      <c r="A1080" t="s">
        <v>1079</v>
      </c>
      <c r="B1080">
        <v>44</v>
      </c>
      <c r="C1080" t="s">
        <v>4802</v>
      </c>
      <c r="D1080" t="s">
        <v>15</v>
      </c>
      <c r="E1080">
        <v>52</v>
      </c>
      <c r="F1080">
        <v>4</v>
      </c>
      <c r="G1080" t="s">
        <v>4798</v>
      </c>
      <c r="H1080" t="s">
        <v>4804</v>
      </c>
      <c r="I1080">
        <v>17.989999999999998</v>
      </c>
      <c r="J1080">
        <v>3</v>
      </c>
      <c r="K1080">
        <v>1.73</v>
      </c>
      <c r="L1080">
        <v>0</v>
      </c>
      <c r="M1080" t="s">
        <v>4812</v>
      </c>
      <c r="N1080" t="s">
        <v>4900</v>
      </c>
      <c r="O1080" t="s">
        <v>4910</v>
      </c>
    </row>
    <row r="1081" spans="1:15" x14ac:dyDescent="0.35">
      <c r="A1081" t="s">
        <v>4857</v>
      </c>
      <c r="B1081">
        <v>26</v>
      </c>
      <c r="C1081" t="s">
        <v>4802</v>
      </c>
      <c r="D1081" t="s">
        <v>13</v>
      </c>
      <c r="E1081">
        <v>44</v>
      </c>
      <c r="F1081">
        <v>36</v>
      </c>
      <c r="G1081" t="s">
        <v>4799</v>
      </c>
      <c r="H1081" t="s">
        <v>4805</v>
      </c>
      <c r="I1081">
        <v>13.99</v>
      </c>
      <c r="J1081">
        <v>3</v>
      </c>
      <c r="K1081">
        <v>1.47</v>
      </c>
      <c r="L1081">
        <v>1</v>
      </c>
      <c r="M1081" t="s">
        <v>4809</v>
      </c>
      <c r="N1081" t="s">
        <v>4899</v>
      </c>
      <c r="O1081" t="s">
        <v>4912</v>
      </c>
    </row>
    <row r="1082" spans="1:15" x14ac:dyDescent="0.35">
      <c r="A1082" t="s">
        <v>1080</v>
      </c>
      <c r="B1082">
        <v>23</v>
      </c>
      <c r="C1082" t="s">
        <v>4803</v>
      </c>
      <c r="D1082" t="s">
        <v>13</v>
      </c>
      <c r="E1082">
        <v>38</v>
      </c>
      <c r="F1082">
        <v>37</v>
      </c>
      <c r="G1082" t="s">
        <v>4797</v>
      </c>
      <c r="H1082" t="s">
        <v>4807</v>
      </c>
      <c r="I1082">
        <v>13.99</v>
      </c>
      <c r="J1082">
        <v>4</v>
      </c>
      <c r="K1082">
        <v>2.0299999999999998</v>
      </c>
      <c r="L1082">
        <v>0</v>
      </c>
      <c r="M1082" t="s">
        <v>4811</v>
      </c>
      <c r="N1082" t="s">
        <v>4900</v>
      </c>
      <c r="O1082" t="s">
        <v>4912</v>
      </c>
    </row>
    <row r="1083" spans="1:15" x14ac:dyDescent="0.35">
      <c r="A1083" t="s">
        <v>1081</v>
      </c>
      <c r="B1083">
        <v>61</v>
      </c>
      <c r="C1083" t="s">
        <v>4803</v>
      </c>
      <c r="D1083" t="s">
        <v>14</v>
      </c>
      <c r="E1083">
        <v>22</v>
      </c>
      <c r="F1083">
        <v>17</v>
      </c>
      <c r="G1083" t="s">
        <v>4798</v>
      </c>
      <c r="H1083" t="s">
        <v>4805</v>
      </c>
      <c r="I1083">
        <v>8.99</v>
      </c>
      <c r="J1083">
        <v>1</v>
      </c>
      <c r="K1083">
        <v>0.73</v>
      </c>
      <c r="L1083">
        <v>0</v>
      </c>
      <c r="M1083" t="s">
        <v>4808</v>
      </c>
      <c r="N1083" t="s">
        <v>4900</v>
      </c>
      <c r="O1083" t="s">
        <v>4911</v>
      </c>
    </row>
    <row r="1084" spans="1:15" x14ac:dyDescent="0.35">
      <c r="A1084" t="s">
        <v>1082</v>
      </c>
      <c r="B1084">
        <v>59</v>
      </c>
      <c r="C1084" t="s">
        <v>4803</v>
      </c>
      <c r="D1084" t="s">
        <v>13</v>
      </c>
      <c r="E1084">
        <v>38</v>
      </c>
      <c r="F1084">
        <v>33</v>
      </c>
      <c r="G1084" t="s">
        <v>4798</v>
      </c>
      <c r="H1084" t="s">
        <v>4806</v>
      </c>
      <c r="I1084">
        <v>13.99</v>
      </c>
      <c r="J1084">
        <v>3</v>
      </c>
      <c r="K1084">
        <v>1.27</v>
      </c>
      <c r="L1084">
        <v>0</v>
      </c>
      <c r="M1084" t="s">
        <v>4811</v>
      </c>
      <c r="N1084" t="s">
        <v>4900</v>
      </c>
      <c r="O1084" t="s">
        <v>4911</v>
      </c>
    </row>
    <row r="1085" spans="1:15" x14ac:dyDescent="0.35">
      <c r="A1085" t="s">
        <v>1083</v>
      </c>
      <c r="B1085">
        <v>64</v>
      </c>
      <c r="C1085" t="s">
        <v>4802</v>
      </c>
      <c r="D1085" t="s">
        <v>13</v>
      </c>
      <c r="E1085">
        <v>42</v>
      </c>
      <c r="F1085">
        <v>14</v>
      </c>
      <c r="G1085" t="s">
        <v>4798</v>
      </c>
      <c r="H1085" t="s">
        <v>4804</v>
      </c>
      <c r="I1085">
        <v>13.99</v>
      </c>
      <c r="J1085">
        <v>2</v>
      </c>
      <c r="K1085">
        <v>1.4</v>
      </c>
      <c r="L1085">
        <v>0</v>
      </c>
      <c r="M1085" t="s">
        <v>4811</v>
      </c>
      <c r="N1085" t="s">
        <v>4900</v>
      </c>
      <c r="O1085" t="s">
        <v>4911</v>
      </c>
    </row>
    <row r="1086" spans="1:15" x14ac:dyDescent="0.35">
      <c r="A1086" t="s">
        <v>1084</v>
      </c>
      <c r="B1086">
        <v>57</v>
      </c>
      <c r="C1086" t="s">
        <v>4802</v>
      </c>
      <c r="D1086" t="s">
        <v>13</v>
      </c>
      <c r="E1086">
        <v>70</v>
      </c>
      <c r="F1086">
        <v>21</v>
      </c>
      <c r="G1086" t="s">
        <v>4798</v>
      </c>
      <c r="H1086" t="s">
        <v>4805</v>
      </c>
      <c r="I1086">
        <v>13.99</v>
      </c>
      <c r="J1086">
        <v>2</v>
      </c>
      <c r="K1086">
        <v>2.33</v>
      </c>
      <c r="L1086">
        <v>0</v>
      </c>
      <c r="M1086" t="s">
        <v>4808</v>
      </c>
      <c r="N1086" t="s">
        <v>4900</v>
      </c>
      <c r="O1086" t="s">
        <v>4911</v>
      </c>
    </row>
    <row r="1087" spans="1:15" x14ac:dyDescent="0.35">
      <c r="A1087" t="s">
        <v>1085</v>
      </c>
      <c r="B1087">
        <v>41</v>
      </c>
      <c r="C1087" t="s">
        <v>4803</v>
      </c>
      <c r="D1087" t="s">
        <v>15</v>
      </c>
      <c r="E1087">
        <v>43</v>
      </c>
      <c r="F1087">
        <v>24</v>
      </c>
      <c r="G1087" t="s">
        <v>4799</v>
      </c>
      <c r="H1087" t="s">
        <v>4805</v>
      </c>
      <c r="I1087">
        <v>17.989999999999998</v>
      </c>
      <c r="J1087">
        <v>4</v>
      </c>
      <c r="K1087">
        <v>1.43</v>
      </c>
      <c r="L1087">
        <v>0</v>
      </c>
      <c r="M1087" t="s">
        <v>4810</v>
      </c>
      <c r="N1087" t="s">
        <v>4900</v>
      </c>
      <c r="O1087" t="s">
        <v>4910</v>
      </c>
    </row>
    <row r="1088" spans="1:15" x14ac:dyDescent="0.35">
      <c r="A1088" t="s">
        <v>1086</v>
      </c>
      <c r="B1088">
        <v>54</v>
      </c>
      <c r="C1088" t="s">
        <v>4803</v>
      </c>
      <c r="D1088" t="s">
        <v>15</v>
      </c>
      <c r="E1088">
        <v>81</v>
      </c>
      <c r="F1088">
        <v>39</v>
      </c>
      <c r="G1088" t="s">
        <v>4798</v>
      </c>
      <c r="H1088" t="s">
        <v>4805</v>
      </c>
      <c r="I1088">
        <v>17.989999999999998</v>
      </c>
      <c r="J1088">
        <v>3</v>
      </c>
      <c r="K1088">
        <v>2.7</v>
      </c>
      <c r="L1088">
        <v>0</v>
      </c>
      <c r="M1088" t="s">
        <v>4811</v>
      </c>
      <c r="N1088" t="s">
        <v>4900</v>
      </c>
      <c r="O1088" t="s">
        <v>4910</v>
      </c>
    </row>
    <row r="1089" spans="1:15" x14ac:dyDescent="0.35">
      <c r="A1089" t="s">
        <v>1087</v>
      </c>
      <c r="B1089">
        <v>40</v>
      </c>
      <c r="C1089" t="s">
        <v>4803</v>
      </c>
      <c r="D1089" t="s">
        <v>15</v>
      </c>
      <c r="E1089">
        <v>108</v>
      </c>
      <c r="F1089">
        <v>999</v>
      </c>
      <c r="G1089" t="s">
        <v>4798</v>
      </c>
      <c r="H1089" t="s">
        <v>4804</v>
      </c>
      <c r="I1089">
        <v>17.989999999999998</v>
      </c>
      <c r="J1089">
        <v>3</v>
      </c>
      <c r="K1089">
        <v>3.6</v>
      </c>
      <c r="L1089">
        <v>0</v>
      </c>
      <c r="M1089" t="s">
        <v>4811</v>
      </c>
      <c r="N1089" t="s">
        <v>4900</v>
      </c>
      <c r="O1089" t="s">
        <v>4910</v>
      </c>
    </row>
    <row r="1090" spans="1:15" x14ac:dyDescent="0.35">
      <c r="A1090" t="s">
        <v>1088</v>
      </c>
      <c r="B1090">
        <v>59</v>
      </c>
      <c r="C1090" t="s">
        <v>4803</v>
      </c>
      <c r="D1090" t="s">
        <v>13</v>
      </c>
      <c r="E1090">
        <v>79</v>
      </c>
      <c r="F1090">
        <v>41</v>
      </c>
      <c r="G1090" t="s">
        <v>4797</v>
      </c>
      <c r="H1090" t="s">
        <v>4805</v>
      </c>
      <c r="I1090">
        <v>13.99</v>
      </c>
      <c r="J1090">
        <v>4</v>
      </c>
      <c r="K1090">
        <v>2.63</v>
      </c>
      <c r="L1090">
        <v>0</v>
      </c>
      <c r="M1090" t="s">
        <v>4810</v>
      </c>
      <c r="N1090" t="s">
        <v>4900</v>
      </c>
      <c r="O1090" t="s">
        <v>4911</v>
      </c>
    </row>
    <row r="1091" spans="1:15" x14ac:dyDescent="0.35">
      <c r="A1091" t="s">
        <v>1089</v>
      </c>
      <c r="B1091">
        <v>52</v>
      </c>
      <c r="C1091" t="s">
        <v>4803</v>
      </c>
      <c r="D1091" t="s">
        <v>13</v>
      </c>
      <c r="E1091">
        <v>36</v>
      </c>
      <c r="F1091">
        <v>55</v>
      </c>
      <c r="G1091" t="s">
        <v>4797</v>
      </c>
      <c r="H1091" t="s">
        <v>4805</v>
      </c>
      <c r="I1091">
        <v>13.99</v>
      </c>
      <c r="J1091">
        <v>4</v>
      </c>
      <c r="K1091">
        <v>1.2</v>
      </c>
      <c r="L1091">
        <v>0</v>
      </c>
      <c r="M1091" t="s">
        <v>4810</v>
      </c>
      <c r="N1091" t="s">
        <v>4900</v>
      </c>
      <c r="O1091" t="s">
        <v>4910</v>
      </c>
    </row>
    <row r="1092" spans="1:15" x14ac:dyDescent="0.35">
      <c r="A1092" t="s">
        <v>1090</v>
      </c>
      <c r="B1092">
        <v>31</v>
      </c>
      <c r="C1092" t="s">
        <v>4802</v>
      </c>
      <c r="D1092" t="s">
        <v>13</v>
      </c>
      <c r="E1092">
        <v>36</v>
      </c>
      <c r="F1092">
        <v>39</v>
      </c>
      <c r="G1092" t="s">
        <v>4798</v>
      </c>
      <c r="H1092" t="s">
        <v>4804</v>
      </c>
      <c r="I1092">
        <v>13.99</v>
      </c>
      <c r="J1092">
        <v>3</v>
      </c>
      <c r="K1092">
        <v>1.2</v>
      </c>
      <c r="L1092">
        <v>0</v>
      </c>
      <c r="M1092" t="s">
        <v>4808</v>
      </c>
      <c r="N1092" t="s">
        <v>4900</v>
      </c>
      <c r="O1092" t="s">
        <v>4912</v>
      </c>
    </row>
    <row r="1093" spans="1:15" x14ac:dyDescent="0.35">
      <c r="A1093" t="s">
        <v>1091</v>
      </c>
      <c r="B1093">
        <v>45</v>
      </c>
      <c r="C1093" t="s">
        <v>4803</v>
      </c>
      <c r="D1093" t="s">
        <v>13</v>
      </c>
      <c r="E1093">
        <v>77</v>
      </c>
      <c r="F1093">
        <v>55</v>
      </c>
      <c r="G1093" t="s">
        <v>4799</v>
      </c>
      <c r="H1093" t="s">
        <v>4806</v>
      </c>
      <c r="I1093">
        <v>13.99</v>
      </c>
      <c r="J1093">
        <v>1</v>
      </c>
      <c r="K1093">
        <v>2.57</v>
      </c>
      <c r="L1093">
        <v>0</v>
      </c>
      <c r="M1093" t="s">
        <v>4811</v>
      </c>
      <c r="N1093" t="s">
        <v>4900</v>
      </c>
      <c r="O1093" t="s">
        <v>4910</v>
      </c>
    </row>
    <row r="1094" spans="1:15" x14ac:dyDescent="0.35">
      <c r="A1094" t="s">
        <v>1092</v>
      </c>
      <c r="B1094">
        <v>45</v>
      </c>
      <c r="C1094" t="s">
        <v>4803</v>
      </c>
      <c r="D1094" t="s">
        <v>15</v>
      </c>
      <c r="E1094">
        <v>106</v>
      </c>
      <c r="F1094">
        <v>12</v>
      </c>
      <c r="G1094" t="s">
        <v>4797</v>
      </c>
      <c r="H1094" t="s">
        <v>4805</v>
      </c>
      <c r="I1094">
        <v>17.989999999999998</v>
      </c>
      <c r="J1094">
        <v>2</v>
      </c>
      <c r="K1094">
        <v>3.53</v>
      </c>
      <c r="L1094">
        <v>0</v>
      </c>
      <c r="M1094" t="s">
        <v>4809</v>
      </c>
      <c r="N1094" t="s">
        <v>4900</v>
      </c>
      <c r="O1094" t="s">
        <v>4910</v>
      </c>
    </row>
    <row r="1095" spans="1:15" x14ac:dyDescent="0.35">
      <c r="A1095" t="s">
        <v>1093</v>
      </c>
      <c r="B1095">
        <v>20</v>
      </c>
      <c r="C1095" t="s">
        <v>4803</v>
      </c>
      <c r="D1095" t="s">
        <v>13</v>
      </c>
      <c r="E1095">
        <v>49</v>
      </c>
      <c r="F1095">
        <v>19</v>
      </c>
      <c r="G1095" t="s">
        <v>4798</v>
      </c>
      <c r="H1095" t="s">
        <v>4807</v>
      </c>
      <c r="I1095">
        <v>13.99</v>
      </c>
      <c r="J1095">
        <v>3</v>
      </c>
      <c r="K1095">
        <v>2.0299999999999998</v>
      </c>
      <c r="L1095">
        <v>0</v>
      </c>
      <c r="M1095" t="s">
        <v>4811</v>
      </c>
      <c r="N1095" t="s">
        <v>4900</v>
      </c>
      <c r="O1095" t="s">
        <v>4912</v>
      </c>
    </row>
    <row r="1096" spans="1:15" x14ac:dyDescent="0.35">
      <c r="A1096" t="s">
        <v>1094</v>
      </c>
      <c r="B1096">
        <v>25</v>
      </c>
      <c r="C1096" t="s">
        <v>4803</v>
      </c>
      <c r="D1096" t="s">
        <v>15</v>
      </c>
      <c r="E1096">
        <v>80</v>
      </c>
      <c r="F1096">
        <v>10</v>
      </c>
      <c r="G1096" t="s">
        <v>4799</v>
      </c>
      <c r="H1096" t="s">
        <v>4805</v>
      </c>
      <c r="I1096">
        <v>17.989999999999998</v>
      </c>
      <c r="J1096">
        <v>3</v>
      </c>
      <c r="K1096">
        <v>5</v>
      </c>
      <c r="L1096">
        <v>0</v>
      </c>
      <c r="M1096" t="s">
        <v>4810</v>
      </c>
      <c r="N1096" t="s">
        <v>4900</v>
      </c>
      <c r="O1096" t="s">
        <v>4912</v>
      </c>
    </row>
    <row r="1097" spans="1:15" x14ac:dyDescent="0.35">
      <c r="A1097" t="s">
        <v>1095</v>
      </c>
      <c r="B1097">
        <v>44</v>
      </c>
      <c r="C1097" t="s">
        <v>4803</v>
      </c>
      <c r="D1097" t="s">
        <v>15</v>
      </c>
      <c r="E1097">
        <v>68</v>
      </c>
      <c r="F1097">
        <v>21</v>
      </c>
      <c r="G1097" t="s">
        <v>4798</v>
      </c>
      <c r="H1097" t="s">
        <v>4805</v>
      </c>
      <c r="I1097">
        <v>17.989999999999998</v>
      </c>
      <c r="J1097">
        <v>5</v>
      </c>
      <c r="K1097">
        <v>2.0299999999999998</v>
      </c>
      <c r="L1097">
        <v>0</v>
      </c>
      <c r="M1097" t="s">
        <v>4812</v>
      </c>
      <c r="N1097" t="s">
        <v>4900</v>
      </c>
      <c r="O1097" t="s">
        <v>4910</v>
      </c>
    </row>
    <row r="1098" spans="1:15" x14ac:dyDescent="0.35">
      <c r="A1098" t="s">
        <v>1096</v>
      </c>
      <c r="B1098">
        <v>42</v>
      </c>
      <c r="C1098" t="s">
        <v>4803</v>
      </c>
      <c r="D1098" t="s">
        <v>15</v>
      </c>
      <c r="E1098">
        <v>103</v>
      </c>
      <c r="F1098">
        <v>999</v>
      </c>
      <c r="G1098" t="s">
        <v>4798</v>
      </c>
      <c r="H1098" t="s">
        <v>4805</v>
      </c>
      <c r="I1098">
        <v>17.989999999999998</v>
      </c>
      <c r="J1098">
        <v>5</v>
      </c>
      <c r="K1098">
        <v>3.43</v>
      </c>
      <c r="L1098">
        <v>1</v>
      </c>
      <c r="M1098" t="s">
        <v>4812</v>
      </c>
      <c r="N1098" t="s">
        <v>4899</v>
      </c>
      <c r="O1098" t="s">
        <v>4910</v>
      </c>
    </row>
    <row r="1099" spans="1:15" x14ac:dyDescent="0.35">
      <c r="A1099" t="s">
        <v>1097</v>
      </c>
      <c r="B1099">
        <v>49</v>
      </c>
      <c r="C1099" t="s">
        <v>4803</v>
      </c>
      <c r="D1099" t="s">
        <v>14</v>
      </c>
      <c r="E1099">
        <v>10</v>
      </c>
      <c r="F1099">
        <v>23</v>
      </c>
      <c r="G1099" t="s">
        <v>4799</v>
      </c>
      <c r="H1099" t="s">
        <v>4807</v>
      </c>
      <c r="I1099">
        <v>8.99</v>
      </c>
      <c r="J1099">
        <v>1</v>
      </c>
      <c r="K1099">
        <v>0.33</v>
      </c>
      <c r="L1099">
        <v>0</v>
      </c>
      <c r="M1099" t="s">
        <v>4811</v>
      </c>
      <c r="N1099" t="s">
        <v>4900</v>
      </c>
      <c r="O1099" t="s">
        <v>4910</v>
      </c>
    </row>
    <row r="1100" spans="1:15" x14ac:dyDescent="0.35">
      <c r="A1100" t="s">
        <v>1098</v>
      </c>
      <c r="B1100">
        <v>24</v>
      </c>
      <c r="C1100" t="s">
        <v>4802</v>
      </c>
      <c r="D1100" t="s">
        <v>13</v>
      </c>
      <c r="E1100">
        <v>45</v>
      </c>
      <c r="F1100">
        <v>10</v>
      </c>
      <c r="G1100" t="s">
        <v>4798</v>
      </c>
      <c r="H1100" t="s">
        <v>4804</v>
      </c>
      <c r="I1100">
        <v>13.99</v>
      </c>
      <c r="J1100">
        <v>1</v>
      </c>
      <c r="K1100">
        <v>1.5</v>
      </c>
      <c r="L1100">
        <v>0</v>
      </c>
      <c r="M1100" t="s">
        <v>4811</v>
      </c>
      <c r="N1100" t="s">
        <v>4900</v>
      </c>
      <c r="O1100" t="s">
        <v>4912</v>
      </c>
    </row>
    <row r="1101" spans="1:15" x14ac:dyDescent="0.35">
      <c r="A1101" t="s">
        <v>1099</v>
      </c>
      <c r="B1101">
        <v>32</v>
      </c>
      <c r="C1101" t="s">
        <v>4802</v>
      </c>
      <c r="D1101" t="s">
        <v>13</v>
      </c>
      <c r="E1101">
        <v>38</v>
      </c>
      <c r="F1101" t="s">
        <v>4814</v>
      </c>
      <c r="G1101" t="s">
        <v>4798</v>
      </c>
      <c r="H1101" t="s">
        <v>4804</v>
      </c>
      <c r="I1101">
        <v>13.99</v>
      </c>
      <c r="J1101">
        <v>4</v>
      </c>
      <c r="K1101">
        <v>1.27</v>
      </c>
      <c r="L1101">
        <v>0</v>
      </c>
      <c r="M1101" t="s">
        <v>4811</v>
      </c>
      <c r="N1101" t="s">
        <v>4900</v>
      </c>
      <c r="O1101" t="s">
        <v>4912</v>
      </c>
    </row>
    <row r="1102" spans="1:15" x14ac:dyDescent="0.35">
      <c r="A1102" t="s">
        <v>1100</v>
      </c>
      <c r="B1102">
        <v>21</v>
      </c>
      <c r="C1102" t="s">
        <v>4802</v>
      </c>
      <c r="D1102" t="s">
        <v>13</v>
      </c>
      <c r="E1102">
        <v>65</v>
      </c>
      <c r="F1102">
        <v>43</v>
      </c>
      <c r="G1102" t="s">
        <v>4799</v>
      </c>
      <c r="H1102" t="s">
        <v>4805</v>
      </c>
      <c r="I1102">
        <v>13.99</v>
      </c>
      <c r="J1102">
        <v>4</v>
      </c>
      <c r="K1102">
        <v>2.17</v>
      </c>
      <c r="L1102">
        <v>1</v>
      </c>
      <c r="M1102" t="s">
        <v>4808</v>
      </c>
      <c r="N1102" t="s">
        <v>4899</v>
      </c>
      <c r="O1102" t="s">
        <v>4912</v>
      </c>
    </row>
    <row r="1103" spans="1:15" x14ac:dyDescent="0.35">
      <c r="A1103" t="s">
        <v>1101</v>
      </c>
      <c r="B1103">
        <v>54</v>
      </c>
      <c r="C1103" t="s">
        <v>4802</v>
      </c>
      <c r="D1103" t="s">
        <v>13</v>
      </c>
      <c r="E1103">
        <v>67</v>
      </c>
      <c r="F1103">
        <v>52</v>
      </c>
      <c r="G1103" t="s">
        <v>4799</v>
      </c>
      <c r="H1103" t="s">
        <v>4806</v>
      </c>
      <c r="I1103">
        <v>13.99</v>
      </c>
      <c r="J1103">
        <v>2</v>
      </c>
      <c r="K1103">
        <v>2.23</v>
      </c>
      <c r="L1103">
        <v>0</v>
      </c>
      <c r="M1103" t="s">
        <v>4808</v>
      </c>
      <c r="N1103" t="s">
        <v>4900</v>
      </c>
      <c r="O1103" t="s">
        <v>4910</v>
      </c>
    </row>
    <row r="1104" spans="1:15" x14ac:dyDescent="0.35">
      <c r="A1104" t="s">
        <v>1102</v>
      </c>
      <c r="B1104">
        <v>25</v>
      </c>
      <c r="C1104" t="s">
        <v>4802</v>
      </c>
      <c r="D1104" t="s">
        <v>13</v>
      </c>
      <c r="E1104">
        <v>48</v>
      </c>
      <c r="F1104">
        <v>1</v>
      </c>
      <c r="G1104" t="s">
        <v>4797</v>
      </c>
      <c r="H1104" t="s">
        <v>4804</v>
      </c>
      <c r="I1104">
        <v>13.99</v>
      </c>
      <c r="J1104">
        <v>1</v>
      </c>
      <c r="K1104">
        <v>1.6</v>
      </c>
      <c r="L1104">
        <v>0</v>
      </c>
      <c r="M1104" t="s">
        <v>4809</v>
      </c>
      <c r="N1104" t="s">
        <v>4900</v>
      </c>
      <c r="O1104" t="s">
        <v>4912</v>
      </c>
    </row>
    <row r="1105" spans="1:15" x14ac:dyDescent="0.35">
      <c r="A1105" t="s">
        <v>1103</v>
      </c>
      <c r="B1105">
        <v>25</v>
      </c>
      <c r="C1105" t="s">
        <v>4803</v>
      </c>
      <c r="D1105" t="s">
        <v>13</v>
      </c>
      <c r="E1105">
        <v>52</v>
      </c>
      <c r="F1105">
        <v>36</v>
      </c>
      <c r="G1105" t="s">
        <v>4798</v>
      </c>
      <c r="H1105" t="s">
        <v>4806</v>
      </c>
      <c r="I1105">
        <v>13.99</v>
      </c>
      <c r="J1105">
        <v>4</v>
      </c>
      <c r="K1105">
        <v>1.73</v>
      </c>
      <c r="L1105">
        <v>1</v>
      </c>
      <c r="M1105" t="s">
        <v>4809</v>
      </c>
      <c r="N1105" t="s">
        <v>4899</v>
      </c>
      <c r="O1105" t="s">
        <v>4912</v>
      </c>
    </row>
    <row r="1106" spans="1:15" x14ac:dyDescent="0.35">
      <c r="A1106" t="s">
        <v>1104</v>
      </c>
      <c r="B1106">
        <v>29</v>
      </c>
      <c r="C1106" t="s">
        <v>4802</v>
      </c>
      <c r="D1106" t="s">
        <v>13</v>
      </c>
      <c r="E1106">
        <v>66</v>
      </c>
      <c r="F1106">
        <v>32</v>
      </c>
      <c r="G1106" t="s">
        <v>4797</v>
      </c>
      <c r="H1106" t="s">
        <v>4804</v>
      </c>
      <c r="I1106">
        <v>13.99</v>
      </c>
      <c r="J1106">
        <v>3</v>
      </c>
      <c r="K1106">
        <v>2.2000000000000002</v>
      </c>
      <c r="L1106">
        <v>0</v>
      </c>
      <c r="M1106" t="s">
        <v>4811</v>
      </c>
      <c r="N1106" t="s">
        <v>4900</v>
      </c>
      <c r="O1106" t="s">
        <v>4912</v>
      </c>
    </row>
    <row r="1107" spans="1:15" x14ac:dyDescent="0.35">
      <c r="A1107" t="s">
        <v>1105</v>
      </c>
      <c r="B1107">
        <v>23</v>
      </c>
      <c r="C1107" t="s">
        <v>4803</v>
      </c>
      <c r="D1107" t="s">
        <v>15</v>
      </c>
      <c r="E1107">
        <v>56</v>
      </c>
      <c r="F1107" t="s">
        <v>4814</v>
      </c>
      <c r="G1107" t="s">
        <v>4799</v>
      </c>
      <c r="H1107" t="s">
        <v>4807</v>
      </c>
      <c r="I1107">
        <v>17.989999999999998</v>
      </c>
      <c r="J1107">
        <v>5</v>
      </c>
      <c r="K1107">
        <v>1.87</v>
      </c>
      <c r="L1107">
        <v>0</v>
      </c>
      <c r="M1107" t="s">
        <v>4810</v>
      </c>
      <c r="N1107" t="s">
        <v>4900</v>
      </c>
      <c r="O1107" t="s">
        <v>4912</v>
      </c>
    </row>
    <row r="1108" spans="1:15" x14ac:dyDescent="0.35">
      <c r="A1108" t="s">
        <v>1106</v>
      </c>
      <c r="B1108">
        <v>52</v>
      </c>
      <c r="C1108" t="s">
        <v>4802</v>
      </c>
      <c r="D1108" t="s">
        <v>13</v>
      </c>
      <c r="E1108">
        <v>78</v>
      </c>
      <c r="F1108">
        <v>55</v>
      </c>
      <c r="G1108" t="s">
        <v>4799</v>
      </c>
      <c r="H1108" t="s">
        <v>4804</v>
      </c>
      <c r="I1108">
        <v>13.99</v>
      </c>
      <c r="J1108">
        <v>1</v>
      </c>
      <c r="K1108">
        <v>2.6</v>
      </c>
      <c r="L1108">
        <v>0</v>
      </c>
      <c r="M1108" t="s">
        <v>4808</v>
      </c>
      <c r="N1108" t="s">
        <v>4900</v>
      </c>
      <c r="O1108" t="s">
        <v>4910</v>
      </c>
    </row>
    <row r="1109" spans="1:15" x14ac:dyDescent="0.35">
      <c r="A1109" t="s">
        <v>1107</v>
      </c>
      <c r="B1109">
        <v>31</v>
      </c>
      <c r="C1109" t="s">
        <v>4803</v>
      </c>
      <c r="D1109" t="s">
        <v>15</v>
      </c>
      <c r="E1109">
        <v>101</v>
      </c>
      <c r="F1109">
        <v>60</v>
      </c>
      <c r="G1109" t="s">
        <v>4797</v>
      </c>
      <c r="H1109" t="s">
        <v>4806</v>
      </c>
      <c r="I1109">
        <v>17.989999999999998</v>
      </c>
      <c r="J1109">
        <v>4</v>
      </c>
      <c r="K1109">
        <v>3.37</v>
      </c>
      <c r="L1109">
        <v>0</v>
      </c>
      <c r="M1109" t="s">
        <v>4810</v>
      </c>
      <c r="N1109" t="s">
        <v>4900</v>
      </c>
      <c r="O1109" t="s">
        <v>4912</v>
      </c>
    </row>
    <row r="1110" spans="1:15" x14ac:dyDescent="0.35">
      <c r="A1110" t="s">
        <v>1108</v>
      </c>
      <c r="B1110">
        <v>57</v>
      </c>
      <c r="C1110" t="s">
        <v>4803</v>
      </c>
      <c r="D1110" t="s">
        <v>13</v>
      </c>
      <c r="E1110">
        <v>41</v>
      </c>
      <c r="F1110">
        <v>9</v>
      </c>
      <c r="G1110" t="s">
        <v>4799</v>
      </c>
      <c r="H1110" t="s">
        <v>4806</v>
      </c>
      <c r="I1110">
        <v>13.99</v>
      </c>
      <c r="J1110">
        <v>2</v>
      </c>
      <c r="K1110">
        <v>1.37</v>
      </c>
      <c r="L1110">
        <v>0</v>
      </c>
      <c r="M1110" t="s">
        <v>4810</v>
      </c>
      <c r="N1110" t="s">
        <v>4900</v>
      </c>
      <c r="O1110" t="s">
        <v>4911</v>
      </c>
    </row>
    <row r="1111" spans="1:15" x14ac:dyDescent="0.35">
      <c r="A1111" t="s">
        <v>1109</v>
      </c>
      <c r="B1111">
        <v>52</v>
      </c>
      <c r="C1111" t="s">
        <v>4803</v>
      </c>
      <c r="D1111" t="s">
        <v>13</v>
      </c>
      <c r="E1111">
        <v>43</v>
      </c>
      <c r="F1111">
        <v>59</v>
      </c>
      <c r="G1111" t="s">
        <v>4801</v>
      </c>
      <c r="H1111" t="s">
        <v>4806</v>
      </c>
      <c r="I1111">
        <v>13.99</v>
      </c>
      <c r="J1111">
        <v>2</v>
      </c>
      <c r="K1111">
        <v>1.43</v>
      </c>
      <c r="L1111">
        <v>0</v>
      </c>
      <c r="M1111" t="s">
        <v>4809</v>
      </c>
      <c r="N1111" t="s">
        <v>4900</v>
      </c>
      <c r="O1111" t="s">
        <v>4910</v>
      </c>
    </row>
    <row r="1112" spans="1:15" x14ac:dyDescent="0.35">
      <c r="A1112" t="s">
        <v>1110</v>
      </c>
      <c r="B1112">
        <v>46</v>
      </c>
      <c r="C1112" t="s">
        <v>4802</v>
      </c>
      <c r="D1112" t="s">
        <v>15</v>
      </c>
      <c r="E1112">
        <v>98</v>
      </c>
      <c r="F1112">
        <v>6</v>
      </c>
      <c r="G1112" t="s">
        <v>4798</v>
      </c>
      <c r="H1112" t="s">
        <v>4804</v>
      </c>
      <c r="I1112">
        <v>17.989999999999998</v>
      </c>
      <c r="J1112">
        <v>2</v>
      </c>
      <c r="K1112">
        <v>3.27</v>
      </c>
      <c r="L1112">
        <v>0</v>
      </c>
      <c r="M1112" t="s">
        <v>4810</v>
      </c>
      <c r="N1112" t="s">
        <v>4900</v>
      </c>
      <c r="O1112" t="s">
        <v>4910</v>
      </c>
    </row>
    <row r="1113" spans="1:15" x14ac:dyDescent="0.35">
      <c r="A1113" t="s">
        <v>1111</v>
      </c>
      <c r="B1113">
        <v>27</v>
      </c>
      <c r="C1113" t="s">
        <v>4802</v>
      </c>
      <c r="D1113" t="s">
        <v>13</v>
      </c>
      <c r="E1113">
        <v>63</v>
      </c>
      <c r="F1113">
        <v>58</v>
      </c>
      <c r="G1113" t="s">
        <v>4799</v>
      </c>
      <c r="H1113" t="s">
        <v>4805</v>
      </c>
      <c r="I1113">
        <v>13.99</v>
      </c>
      <c r="J1113">
        <v>1</v>
      </c>
      <c r="K1113">
        <v>2.1</v>
      </c>
      <c r="L1113">
        <v>0</v>
      </c>
      <c r="M1113" t="s">
        <v>4811</v>
      </c>
      <c r="N1113" t="s">
        <v>4900</v>
      </c>
      <c r="O1113" t="s">
        <v>4912</v>
      </c>
    </row>
    <row r="1114" spans="1:15" x14ac:dyDescent="0.35">
      <c r="A1114" t="s">
        <v>1112</v>
      </c>
      <c r="B1114">
        <v>22</v>
      </c>
      <c r="C1114" t="s">
        <v>4802</v>
      </c>
      <c r="D1114" t="s">
        <v>13</v>
      </c>
      <c r="E1114">
        <v>68</v>
      </c>
      <c r="F1114">
        <v>52</v>
      </c>
      <c r="G1114" t="s">
        <v>4798</v>
      </c>
      <c r="H1114" t="s">
        <v>4804</v>
      </c>
      <c r="I1114">
        <v>13.99</v>
      </c>
      <c r="J1114">
        <v>4</v>
      </c>
      <c r="K1114">
        <v>2.27</v>
      </c>
      <c r="L1114">
        <v>0</v>
      </c>
      <c r="M1114" t="s">
        <v>4812</v>
      </c>
      <c r="N1114" t="s">
        <v>4900</v>
      </c>
      <c r="O1114" t="s">
        <v>4912</v>
      </c>
    </row>
    <row r="1115" spans="1:15" x14ac:dyDescent="0.35">
      <c r="A1115" t="s">
        <v>1113</v>
      </c>
      <c r="B1115">
        <v>35</v>
      </c>
      <c r="C1115" t="s">
        <v>4802</v>
      </c>
      <c r="D1115" t="s">
        <v>13</v>
      </c>
      <c r="E1115">
        <v>79</v>
      </c>
      <c r="F1115">
        <v>35</v>
      </c>
      <c r="G1115" t="s">
        <v>4797</v>
      </c>
      <c r="H1115" t="s">
        <v>4805</v>
      </c>
      <c r="I1115">
        <v>13.99</v>
      </c>
      <c r="J1115">
        <v>2</v>
      </c>
      <c r="K1115">
        <v>2.63</v>
      </c>
      <c r="L1115">
        <v>0</v>
      </c>
      <c r="M1115" t="s">
        <v>4810</v>
      </c>
      <c r="N1115" t="s">
        <v>4900</v>
      </c>
      <c r="O1115" t="s">
        <v>4910</v>
      </c>
    </row>
    <row r="1116" spans="1:15" x14ac:dyDescent="0.35">
      <c r="A1116" t="s">
        <v>1114</v>
      </c>
      <c r="B1116">
        <v>58</v>
      </c>
      <c r="C1116" t="s">
        <v>4803</v>
      </c>
      <c r="D1116" t="s">
        <v>13</v>
      </c>
      <c r="E1116">
        <v>61</v>
      </c>
      <c r="F1116">
        <v>57</v>
      </c>
      <c r="G1116" t="s">
        <v>4799</v>
      </c>
      <c r="H1116" t="s">
        <v>4806</v>
      </c>
      <c r="I1116">
        <v>13.99</v>
      </c>
      <c r="J1116">
        <v>4</v>
      </c>
      <c r="K1116">
        <v>2.0299999999999998</v>
      </c>
      <c r="L1116">
        <v>0</v>
      </c>
      <c r="M1116" t="s">
        <v>4810</v>
      </c>
      <c r="N1116" t="s">
        <v>4900</v>
      </c>
      <c r="O1116" t="s">
        <v>4911</v>
      </c>
    </row>
    <row r="1117" spans="1:15" x14ac:dyDescent="0.35">
      <c r="A1117" t="s">
        <v>1115</v>
      </c>
      <c r="B1117">
        <v>29</v>
      </c>
      <c r="C1117" t="s">
        <v>4802</v>
      </c>
      <c r="D1117" t="s">
        <v>13</v>
      </c>
      <c r="E1117">
        <v>46</v>
      </c>
      <c r="F1117">
        <v>13</v>
      </c>
      <c r="G1117" t="s">
        <v>4797</v>
      </c>
      <c r="H1117" t="s">
        <v>4806</v>
      </c>
      <c r="I1117">
        <v>13.99</v>
      </c>
      <c r="J1117">
        <v>2</v>
      </c>
      <c r="K1117">
        <v>1.53</v>
      </c>
      <c r="L1117">
        <v>0</v>
      </c>
      <c r="M1117" t="s">
        <v>4810</v>
      </c>
      <c r="N1117" t="s">
        <v>4900</v>
      </c>
      <c r="O1117" t="s">
        <v>4912</v>
      </c>
    </row>
    <row r="1118" spans="1:15" x14ac:dyDescent="0.35">
      <c r="A1118" t="s">
        <v>1116</v>
      </c>
      <c r="B1118">
        <v>61</v>
      </c>
      <c r="C1118" t="s">
        <v>4802</v>
      </c>
      <c r="D1118" t="s">
        <v>13</v>
      </c>
      <c r="E1118">
        <v>57</v>
      </c>
      <c r="F1118">
        <v>26</v>
      </c>
      <c r="G1118" t="s">
        <v>4797</v>
      </c>
      <c r="H1118" t="s">
        <v>4804</v>
      </c>
      <c r="I1118">
        <v>13.99</v>
      </c>
      <c r="J1118">
        <v>4</v>
      </c>
      <c r="K1118">
        <v>1.9</v>
      </c>
      <c r="L1118">
        <v>1</v>
      </c>
      <c r="M1118" t="s">
        <v>4812</v>
      </c>
      <c r="N1118" t="s">
        <v>4899</v>
      </c>
      <c r="O1118" t="s">
        <v>4911</v>
      </c>
    </row>
    <row r="1119" spans="1:15" x14ac:dyDescent="0.35">
      <c r="A1119" t="s">
        <v>1117</v>
      </c>
      <c r="B1119">
        <v>26</v>
      </c>
      <c r="C1119" t="s">
        <v>4803</v>
      </c>
      <c r="D1119" t="s">
        <v>15</v>
      </c>
      <c r="E1119">
        <v>70</v>
      </c>
      <c r="F1119">
        <v>35</v>
      </c>
      <c r="G1119" t="s">
        <v>4797</v>
      </c>
      <c r="H1119" t="s">
        <v>4804</v>
      </c>
      <c r="I1119">
        <v>17.989999999999998</v>
      </c>
      <c r="J1119">
        <v>5</v>
      </c>
      <c r="K1119">
        <v>2.33</v>
      </c>
      <c r="L1119">
        <v>0</v>
      </c>
      <c r="M1119" t="s">
        <v>4809</v>
      </c>
      <c r="N1119" t="s">
        <v>4900</v>
      </c>
      <c r="O1119" t="s">
        <v>4912</v>
      </c>
    </row>
    <row r="1120" spans="1:15" x14ac:dyDescent="0.35">
      <c r="A1120" t="s">
        <v>1118</v>
      </c>
      <c r="B1120">
        <v>26</v>
      </c>
      <c r="C1120" t="s">
        <v>4803</v>
      </c>
      <c r="D1120" t="s">
        <v>13</v>
      </c>
      <c r="E1120">
        <v>72</v>
      </c>
      <c r="F1120">
        <v>48</v>
      </c>
      <c r="G1120" t="s">
        <v>4798</v>
      </c>
      <c r="H1120" t="s">
        <v>4805</v>
      </c>
      <c r="I1120">
        <v>13.99</v>
      </c>
      <c r="J1120">
        <v>4</v>
      </c>
      <c r="K1120">
        <v>2.4</v>
      </c>
      <c r="L1120">
        <v>0</v>
      </c>
      <c r="M1120" t="s">
        <v>4812</v>
      </c>
      <c r="N1120" t="s">
        <v>4900</v>
      </c>
      <c r="O1120" t="s">
        <v>4912</v>
      </c>
    </row>
    <row r="1121" spans="1:15" x14ac:dyDescent="0.35">
      <c r="A1121" t="s">
        <v>1119</v>
      </c>
      <c r="B1121">
        <v>28</v>
      </c>
      <c r="C1121" t="s">
        <v>4803</v>
      </c>
      <c r="D1121" t="s">
        <v>13</v>
      </c>
      <c r="E1121">
        <v>63</v>
      </c>
      <c r="F1121">
        <v>19</v>
      </c>
      <c r="G1121" t="s">
        <v>4798</v>
      </c>
      <c r="H1121" t="s">
        <v>4807</v>
      </c>
      <c r="I1121">
        <v>13.99</v>
      </c>
      <c r="J1121">
        <v>1</v>
      </c>
      <c r="K1121">
        <v>2.1</v>
      </c>
      <c r="L1121">
        <v>0</v>
      </c>
      <c r="M1121" t="s">
        <v>4809</v>
      </c>
      <c r="N1121" t="s">
        <v>4900</v>
      </c>
      <c r="O1121" t="s">
        <v>4912</v>
      </c>
    </row>
    <row r="1122" spans="1:15" x14ac:dyDescent="0.35">
      <c r="A1122" t="s">
        <v>1120</v>
      </c>
      <c r="B1122">
        <v>30</v>
      </c>
      <c r="C1122" t="s">
        <v>4803</v>
      </c>
      <c r="D1122" t="s">
        <v>13</v>
      </c>
      <c r="E1122">
        <v>72</v>
      </c>
      <c r="F1122">
        <v>51</v>
      </c>
      <c r="G1122" t="s">
        <v>4799</v>
      </c>
      <c r="H1122" t="s">
        <v>4805</v>
      </c>
      <c r="I1122">
        <v>13.99</v>
      </c>
      <c r="J1122">
        <v>1</v>
      </c>
      <c r="K1122">
        <v>2.4</v>
      </c>
      <c r="L1122">
        <v>1</v>
      </c>
      <c r="M1122" t="s">
        <v>4812</v>
      </c>
      <c r="N1122" t="s">
        <v>4899</v>
      </c>
      <c r="O1122" t="s">
        <v>4912</v>
      </c>
    </row>
    <row r="1123" spans="1:15" x14ac:dyDescent="0.35">
      <c r="A1123" t="s">
        <v>1121</v>
      </c>
      <c r="B1123">
        <v>33</v>
      </c>
      <c r="C1123" t="s">
        <v>4802</v>
      </c>
      <c r="D1123" t="s">
        <v>15</v>
      </c>
      <c r="E1123">
        <v>97</v>
      </c>
      <c r="F1123">
        <v>41</v>
      </c>
      <c r="G1123" t="s">
        <v>4797</v>
      </c>
      <c r="H1123" t="s">
        <v>4805</v>
      </c>
      <c r="I1123">
        <v>17.989999999999998</v>
      </c>
      <c r="J1123">
        <v>5</v>
      </c>
      <c r="K1123">
        <v>3.23</v>
      </c>
      <c r="L1123">
        <v>0</v>
      </c>
      <c r="M1123" t="s">
        <v>4812</v>
      </c>
      <c r="N1123" t="s">
        <v>4900</v>
      </c>
      <c r="O1123" t="s">
        <v>4912</v>
      </c>
    </row>
    <row r="1124" spans="1:15" x14ac:dyDescent="0.35">
      <c r="A1124" t="s">
        <v>1122</v>
      </c>
      <c r="B1124">
        <v>60</v>
      </c>
      <c r="C1124" t="s">
        <v>4802</v>
      </c>
      <c r="D1124" t="s">
        <v>13</v>
      </c>
      <c r="E1124">
        <v>61</v>
      </c>
      <c r="F1124">
        <v>24</v>
      </c>
      <c r="G1124" t="s">
        <v>4799</v>
      </c>
      <c r="H1124" t="s">
        <v>4806</v>
      </c>
      <c r="I1124">
        <v>13.99</v>
      </c>
      <c r="J1124">
        <v>4</v>
      </c>
      <c r="K1124">
        <v>2.0299999999999998</v>
      </c>
      <c r="L1124">
        <v>1</v>
      </c>
      <c r="M1124" t="s">
        <v>4810</v>
      </c>
      <c r="N1124" t="s">
        <v>4899</v>
      </c>
      <c r="O1124" t="s">
        <v>4911</v>
      </c>
    </row>
    <row r="1125" spans="1:15" x14ac:dyDescent="0.35">
      <c r="A1125" t="s">
        <v>1123</v>
      </c>
      <c r="B1125">
        <v>39</v>
      </c>
      <c r="C1125" t="s">
        <v>4803</v>
      </c>
      <c r="D1125" t="s">
        <v>13</v>
      </c>
      <c r="E1125">
        <v>52</v>
      </c>
      <c r="F1125">
        <v>56</v>
      </c>
      <c r="G1125" t="s">
        <v>4797</v>
      </c>
      <c r="H1125" t="s">
        <v>4804</v>
      </c>
      <c r="I1125">
        <v>13.99</v>
      </c>
      <c r="J1125">
        <v>4</v>
      </c>
      <c r="K1125">
        <v>1.73</v>
      </c>
      <c r="L1125">
        <v>0</v>
      </c>
      <c r="M1125" t="s">
        <v>4808</v>
      </c>
      <c r="N1125" t="s">
        <v>4900</v>
      </c>
      <c r="O1125" t="s">
        <v>4910</v>
      </c>
    </row>
    <row r="1126" spans="1:15" x14ac:dyDescent="0.35">
      <c r="A1126" t="s">
        <v>1124</v>
      </c>
      <c r="B1126">
        <v>25</v>
      </c>
      <c r="C1126" t="s">
        <v>4802</v>
      </c>
      <c r="D1126" t="s">
        <v>13</v>
      </c>
      <c r="E1126">
        <v>35</v>
      </c>
      <c r="F1126">
        <v>57</v>
      </c>
      <c r="G1126" t="s">
        <v>4800</v>
      </c>
      <c r="H1126" t="s">
        <v>4805</v>
      </c>
      <c r="I1126">
        <v>13.99</v>
      </c>
      <c r="J1126">
        <v>1</v>
      </c>
      <c r="K1126">
        <v>1.17</v>
      </c>
      <c r="L1126">
        <v>0</v>
      </c>
      <c r="M1126" t="s">
        <v>4810</v>
      </c>
      <c r="N1126" t="s">
        <v>4900</v>
      </c>
      <c r="O1126" t="s">
        <v>4912</v>
      </c>
    </row>
    <row r="1127" spans="1:15" x14ac:dyDescent="0.35">
      <c r="A1127" t="s">
        <v>1125</v>
      </c>
      <c r="B1127">
        <v>63</v>
      </c>
      <c r="C1127" t="s">
        <v>4802</v>
      </c>
      <c r="D1127" t="s">
        <v>15</v>
      </c>
      <c r="E1127">
        <v>119</v>
      </c>
      <c r="F1127">
        <v>49</v>
      </c>
      <c r="G1127" t="s">
        <v>4798</v>
      </c>
      <c r="H1127" t="s">
        <v>4807</v>
      </c>
      <c r="I1127">
        <v>17.989999999999998</v>
      </c>
      <c r="J1127">
        <v>2</v>
      </c>
      <c r="K1127">
        <v>3.97</v>
      </c>
      <c r="L1127">
        <v>0</v>
      </c>
      <c r="M1127" t="s">
        <v>4808</v>
      </c>
      <c r="N1127" t="s">
        <v>4900</v>
      </c>
      <c r="O1127" t="s">
        <v>4911</v>
      </c>
    </row>
    <row r="1128" spans="1:15" x14ac:dyDescent="0.35">
      <c r="A1128" t="s">
        <v>1126</v>
      </c>
      <c r="B1128">
        <v>55</v>
      </c>
      <c r="C1128" t="s">
        <v>4802</v>
      </c>
      <c r="D1128" t="s">
        <v>13</v>
      </c>
      <c r="E1128">
        <v>63</v>
      </c>
      <c r="F1128">
        <v>54</v>
      </c>
      <c r="G1128" t="s">
        <v>4798</v>
      </c>
      <c r="H1128" t="s">
        <v>4804</v>
      </c>
      <c r="I1128">
        <v>13.99</v>
      </c>
      <c r="J1128">
        <v>2</v>
      </c>
      <c r="K1128">
        <v>2.0299999999999998</v>
      </c>
      <c r="L1128">
        <v>0</v>
      </c>
      <c r="M1128" t="s">
        <v>4809</v>
      </c>
      <c r="N1128" t="s">
        <v>4900</v>
      </c>
      <c r="O1128" t="s">
        <v>4911</v>
      </c>
    </row>
    <row r="1129" spans="1:15" x14ac:dyDescent="0.35">
      <c r="A1129" t="s">
        <v>1127</v>
      </c>
      <c r="B1129">
        <v>44</v>
      </c>
      <c r="C1129" t="s">
        <v>4803</v>
      </c>
      <c r="D1129" t="s">
        <v>13</v>
      </c>
      <c r="E1129">
        <v>35</v>
      </c>
      <c r="F1129">
        <v>4</v>
      </c>
      <c r="G1129" t="s">
        <v>4798</v>
      </c>
      <c r="H1129" t="s">
        <v>4804</v>
      </c>
      <c r="I1129">
        <v>13.99</v>
      </c>
      <c r="J1129">
        <v>4</v>
      </c>
      <c r="K1129">
        <v>1.17</v>
      </c>
      <c r="L1129">
        <v>0</v>
      </c>
      <c r="M1129" t="s">
        <v>4809</v>
      </c>
      <c r="N1129" t="s">
        <v>4900</v>
      </c>
      <c r="O1129" t="s">
        <v>4910</v>
      </c>
    </row>
    <row r="1130" spans="1:15" x14ac:dyDescent="0.35">
      <c r="A1130" t="s">
        <v>1128</v>
      </c>
      <c r="B1130">
        <v>44</v>
      </c>
      <c r="C1130" t="s">
        <v>4802</v>
      </c>
      <c r="D1130" t="s">
        <v>13</v>
      </c>
      <c r="E1130">
        <v>77</v>
      </c>
      <c r="F1130">
        <v>6</v>
      </c>
      <c r="G1130" t="s">
        <v>4798</v>
      </c>
      <c r="H1130" t="s">
        <v>4804</v>
      </c>
      <c r="I1130">
        <v>13.99</v>
      </c>
      <c r="J1130">
        <v>3</v>
      </c>
      <c r="K1130">
        <v>2.57</v>
      </c>
      <c r="L1130">
        <v>0</v>
      </c>
      <c r="M1130" t="s">
        <v>4811</v>
      </c>
      <c r="N1130" t="s">
        <v>4900</v>
      </c>
      <c r="O1130" t="s">
        <v>4910</v>
      </c>
    </row>
    <row r="1131" spans="1:15" x14ac:dyDescent="0.35">
      <c r="A1131" t="s">
        <v>1129</v>
      </c>
      <c r="B1131">
        <v>48</v>
      </c>
      <c r="C1131" t="s">
        <v>4803</v>
      </c>
      <c r="D1131" t="s">
        <v>13</v>
      </c>
      <c r="E1131">
        <v>42</v>
      </c>
      <c r="F1131">
        <v>0</v>
      </c>
      <c r="G1131" t="s">
        <v>4799</v>
      </c>
      <c r="H1131" t="s">
        <v>4806</v>
      </c>
      <c r="I1131">
        <v>13.99</v>
      </c>
      <c r="J1131">
        <v>2</v>
      </c>
      <c r="K1131">
        <v>2.0299999999999998</v>
      </c>
      <c r="L1131">
        <v>0</v>
      </c>
      <c r="M1131" t="s">
        <v>4810</v>
      </c>
      <c r="N1131" t="s">
        <v>4900</v>
      </c>
      <c r="O1131" t="s">
        <v>4910</v>
      </c>
    </row>
    <row r="1132" spans="1:15" x14ac:dyDescent="0.35">
      <c r="A1132" t="s">
        <v>1130</v>
      </c>
      <c r="B1132">
        <v>36</v>
      </c>
      <c r="C1132" t="s">
        <v>4802</v>
      </c>
      <c r="D1132" t="s">
        <v>13</v>
      </c>
      <c r="E1132">
        <v>48</v>
      </c>
      <c r="F1132">
        <v>999</v>
      </c>
      <c r="G1132" t="s">
        <v>4797</v>
      </c>
      <c r="H1132" t="s">
        <v>4806</v>
      </c>
      <c r="I1132">
        <v>13.99</v>
      </c>
      <c r="J1132">
        <v>1</v>
      </c>
      <c r="K1132">
        <v>1.6</v>
      </c>
      <c r="L1132">
        <v>0</v>
      </c>
      <c r="M1132" t="s">
        <v>4812</v>
      </c>
      <c r="N1132" t="s">
        <v>4900</v>
      </c>
      <c r="O1132" t="s">
        <v>4910</v>
      </c>
    </row>
    <row r="1133" spans="1:15" x14ac:dyDescent="0.35">
      <c r="A1133" t="s">
        <v>1131</v>
      </c>
      <c r="B1133">
        <v>27</v>
      </c>
      <c r="C1133" t="s">
        <v>4802</v>
      </c>
      <c r="D1133" t="s">
        <v>15</v>
      </c>
      <c r="E1133">
        <v>78</v>
      </c>
      <c r="F1133">
        <v>7</v>
      </c>
      <c r="G1133" t="s">
        <v>4798</v>
      </c>
      <c r="H1133" t="s">
        <v>4804</v>
      </c>
      <c r="I1133">
        <v>17.989999999999998</v>
      </c>
      <c r="J1133">
        <v>4</v>
      </c>
      <c r="K1133">
        <v>2.6</v>
      </c>
      <c r="L1133">
        <v>0</v>
      </c>
      <c r="M1133" t="s">
        <v>4812</v>
      </c>
      <c r="N1133" t="s">
        <v>4900</v>
      </c>
      <c r="O1133" t="s">
        <v>4912</v>
      </c>
    </row>
    <row r="1134" spans="1:15" x14ac:dyDescent="0.35">
      <c r="A1134" t="s">
        <v>1132</v>
      </c>
      <c r="B1134">
        <v>52</v>
      </c>
      <c r="C1134" t="s">
        <v>4802</v>
      </c>
      <c r="D1134" t="s">
        <v>13</v>
      </c>
      <c r="E1134">
        <v>56</v>
      </c>
      <c r="F1134">
        <v>11</v>
      </c>
      <c r="G1134" t="s">
        <v>4798</v>
      </c>
      <c r="H1134" t="s">
        <v>4805</v>
      </c>
      <c r="I1134">
        <v>13.99</v>
      </c>
      <c r="J1134">
        <v>3</v>
      </c>
      <c r="K1134">
        <v>1.87</v>
      </c>
      <c r="L1134">
        <v>0</v>
      </c>
      <c r="M1134" t="s">
        <v>4810</v>
      </c>
      <c r="N1134" t="s">
        <v>4900</v>
      </c>
      <c r="O1134" t="s">
        <v>4910</v>
      </c>
    </row>
    <row r="1135" spans="1:15" x14ac:dyDescent="0.35">
      <c r="A1135" t="s">
        <v>1133</v>
      </c>
      <c r="B1135">
        <v>34</v>
      </c>
      <c r="C1135" t="s">
        <v>4802</v>
      </c>
      <c r="D1135" t="s">
        <v>15</v>
      </c>
      <c r="E1135">
        <v>51</v>
      </c>
      <c r="F1135">
        <v>11</v>
      </c>
      <c r="G1135" t="s">
        <v>4799</v>
      </c>
      <c r="H1135" t="s">
        <v>4807</v>
      </c>
      <c r="I1135">
        <v>17.989999999999998</v>
      </c>
      <c r="J1135">
        <v>2</v>
      </c>
      <c r="K1135">
        <v>1.7</v>
      </c>
      <c r="L1135">
        <v>0</v>
      </c>
      <c r="M1135" t="s">
        <v>4810</v>
      </c>
      <c r="N1135" t="s">
        <v>4900</v>
      </c>
      <c r="O1135" t="s">
        <v>4912</v>
      </c>
    </row>
    <row r="1136" spans="1:15" x14ac:dyDescent="0.35">
      <c r="A1136" t="s">
        <v>1134</v>
      </c>
      <c r="B1136">
        <v>58</v>
      </c>
      <c r="C1136" t="s">
        <v>4802</v>
      </c>
      <c r="D1136" t="s">
        <v>14</v>
      </c>
      <c r="E1136">
        <v>17</v>
      </c>
      <c r="F1136">
        <v>45</v>
      </c>
      <c r="G1136" t="s">
        <v>4799</v>
      </c>
      <c r="H1136" t="s">
        <v>4806</v>
      </c>
      <c r="I1136">
        <v>8.99</v>
      </c>
      <c r="J1136">
        <v>2</v>
      </c>
      <c r="K1136">
        <v>5</v>
      </c>
      <c r="L1136">
        <v>0</v>
      </c>
      <c r="M1136" t="s">
        <v>4811</v>
      </c>
      <c r="N1136" t="s">
        <v>4900</v>
      </c>
      <c r="O1136" t="s">
        <v>4911</v>
      </c>
    </row>
    <row r="1137" spans="1:15" x14ac:dyDescent="0.35">
      <c r="A1137" t="s">
        <v>1135</v>
      </c>
      <c r="B1137">
        <v>49</v>
      </c>
      <c r="C1137" t="s">
        <v>4803</v>
      </c>
      <c r="D1137" t="s">
        <v>13</v>
      </c>
      <c r="E1137">
        <v>79</v>
      </c>
      <c r="F1137">
        <v>40</v>
      </c>
      <c r="G1137" t="s">
        <v>4797</v>
      </c>
      <c r="H1137" t="s">
        <v>4806</v>
      </c>
      <c r="I1137">
        <v>13.99</v>
      </c>
      <c r="J1137">
        <v>1</v>
      </c>
      <c r="K1137">
        <v>2.0299999999999998</v>
      </c>
      <c r="L1137">
        <v>0</v>
      </c>
      <c r="M1137" t="s">
        <v>4810</v>
      </c>
      <c r="N1137" t="s">
        <v>4900</v>
      </c>
      <c r="O1137" t="s">
        <v>4910</v>
      </c>
    </row>
    <row r="1138" spans="1:15" x14ac:dyDescent="0.35">
      <c r="A1138" t="s">
        <v>1136</v>
      </c>
      <c r="B1138">
        <v>63</v>
      </c>
      <c r="C1138" t="s">
        <v>4802</v>
      </c>
      <c r="D1138" t="s">
        <v>13</v>
      </c>
      <c r="E1138">
        <v>57</v>
      </c>
      <c r="F1138">
        <v>51</v>
      </c>
      <c r="G1138" t="s">
        <v>4799</v>
      </c>
      <c r="H1138" t="s">
        <v>4804</v>
      </c>
      <c r="I1138">
        <v>13.99</v>
      </c>
      <c r="J1138">
        <v>4</v>
      </c>
      <c r="K1138">
        <v>1.9</v>
      </c>
      <c r="L1138">
        <v>0</v>
      </c>
      <c r="M1138" t="s">
        <v>4811</v>
      </c>
      <c r="N1138" t="s">
        <v>4900</v>
      </c>
      <c r="O1138" t="s">
        <v>4911</v>
      </c>
    </row>
    <row r="1139" spans="1:15" x14ac:dyDescent="0.35">
      <c r="A1139" t="s">
        <v>1137</v>
      </c>
      <c r="B1139">
        <v>41</v>
      </c>
      <c r="C1139" t="s">
        <v>4803</v>
      </c>
      <c r="D1139" t="s">
        <v>13</v>
      </c>
      <c r="E1139">
        <v>41</v>
      </c>
      <c r="F1139">
        <v>7</v>
      </c>
      <c r="G1139" t="s">
        <v>4800</v>
      </c>
      <c r="H1139" t="s">
        <v>4806</v>
      </c>
      <c r="I1139">
        <v>13.99</v>
      </c>
      <c r="J1139">
        <v>4</v>
      </c>
      <c r="K1139">
        <v>5</v>
      </c>
      <c r="L1139">
        <v>0</v>
      </c>
      <c r="M1139" t="s">
        <v>4810</v>
      </c>
      <c r="N1139" t="s">
        <v>4900</v>
      </c>
      <c r="O1139" t="s">
        <v>4910</v>
      </c>
    </row>
    <row r="1140" spans="1:15" x14ac:dyDescent="0.35">
      <c r="A1140" t="s">
        <v>1138</v>
      </c>
      <c r="B1140">
        <v>39</v>
      </c>
      <c r="C1140" t="s">
        <v>4802</v>
      </c>
      <c r="D1140" t="s">
        <v>13</v>
      </c>
      <c r="E1140">
        <v>73</v>
      </c>
      <c r="F1140">
        <v>55</v>
      </c>
      <c r="G1140" t="s">
        <v>4799</v>
      </c>
      <c r="H1140" t="s">
        <v>4804</v>
      </c>
      <c r="I1140">
        <v>13.99</v>
      </c>
      <c r="J1140">
        <v>3</v>
      </c>
      <c r="K1140">
        <v>2.4300000000000002</v>
      </c>
      <c r="L1140">
        <v>0</v>
      </c>
      <c r="M1140" t="s">
        <v>4810</v>
      </c>
      <c r="N1140" t="s">
        <v>4900</v>
      </c>
      <c r="O1140" t="s">
        <v>4910</v>
      </c>
    </row>
    <row r="1141" spans="1:15" x14ac:dyDescent="0.35">
      <c r="A1141" t="s">
        <v>1139</v>
      </c>
      <c r="B1141">
        <v>53</v>
      </c>
      <c r="C1141" t="s">
        <v>4802</v>
      </c>
      <c r="D1141" t="s">
        <v>13</v>
      </c>
      <c r="E1141">
        <v>44</v>
      </c>
      <c r="F1141">
        <v>44</v>
      </c>
      <c r="G1141" t="s">
        <v>4798</v>
      </c>
      <c r="H1141" t="s">
        <v>4806</v>
      </c>
      <c r="I1141">
        <v>13.99</v>
      </c>
      <c r="J1141">
        <v>4</v>
      </c>
      <c r="K1141">
        <v>1.47</v>
      </c>
      <c r="L1141">
        <v>1</v>
      </c>
      <c r="M1141" t="s">
        <v>4810</v>
      </c>
      <c r="N1141" t="s">
        <v>4899</v>
      </c>
      <c r="O1141" t="s">
        <v>4910</v>
      </c>
    </row>
    <row r="1142" spans="1:15" x14ac:dyDescent="0.35">
      <c r="A1142" t="s">
        <v>1140</v>
      </c>
      <c r="B1142">
        <v>35</v>
      </c>
      <c r="C1142" t="s">
        <v>4803</v>
      </c>
      <c r="D1142" t="s">
        <v>13</v>
      </c>
      <c r="E1142">
        <v>38</v>
      </c>
      <c r="F1142">
        <v>5</v>
      </c>
      <c r="G1142" t="s">
        <v>4799</v>
      </c>
      <c r="H1142" t="s">
        <v>4805</v>
      </c>
      <c r="I1142">
        <v>13.99</v>
      </c>
      <c r="J1142">
        <v>1</v>
      </c>
      <c r="K1142">
        <v>1.27</v>
      </c>
      <c r="L1142">
        <v>0</v>
      </c>
      <c r="M1142" t="s">
        <v>4808</v>
      </c>
      <c r="N1142" t="s">
        <v>4900</v>
      </c>
      <c r="O1142" t="s">
        <v>4910</v>
      </c>
    </row>
    <row r="1143" spans="1:15" x14ac:dyDescent="0.35">
      <c r="A1143" t="s">
        <v>1141</v>
      </c>
      <c r="B1143">
        <v>25</v>
      </c>
      <c r="C1143" t="s">
        <v>4802</v>
      </c>
      <c r="D1143" t="s">
        <v>14</v>
      </c>
      <c r="E1143">
        <v>25</v>
      </c>
      <c r="F1143">
        <v>11</v>
      </c>
      <c r="G1143" t="s">
        <v>4798</v>
      </c>
      <c r="H1143" t="s">
        <v>4806</v>
      </c>
      <c r="I1143">
        <v>8.99</v>
      </c>
      <c r="J1143">
        <v>2</v>
      </c>
      <c r="K1143">
        <v>0.83</v>
      </c>
      <c r="L1143">
        <v>1</v>
      </c>
      <c r="M1143" t="s">
        <v>4810</v>
      </c>
      <c r="N1143" t="s">
        <v>4899</v>
      </c>
      <c r="O1143" t="s">
        <v>4912</v>
      </c>
    </row>
    <row r="1144" spans="1:15" x14ac:dyDescent="0.35">
      <c r="A1144" t="s">
        <v>1142</v>
      </c>
      <c r="B1144">
        <v>46</v>
      </c>
      <c r="C1144" t="s">
        <v>4802</v>
      </c>
      <c r="D1144" t="s">
        <v>13</v>
      </c>
      <c r="E1144">
        <v>32</v>
      </c>
      <c r="F1144">
        <v>41</v>
      </c>
      <c r="G1144" t="s">
        <v>4799</v>
      </c>
      <c r="H1144" t="s">
        <v>4804</v>
      </c>
      <c r="I1144">
        <v>13.99</v>
      </c>
      <c r="J1144">
        <v>1</v>
      </c>
      <c r="K1144">
        <v>1.07</v>
      </c>
      <c r="L1144">
        <v>0</v>
      </c>
      <c r="M1144" t="s">
        <v>4808</v>
      </c>
      <c r="N1144" t="s">
        <v>4900</v>
      </c>
      <c r="O1144" t="s">
        <v>4910</v>
      </c>
    </row>
    <row r="1145" spans="1:15" x14ac:dyDescent="0.35">
      <c r="A1145" t="s">
        <v>1143</v>
      </c>
      <c r="B1145">
        <v>30</v>
      </c>
      <c r="C1145" t="s">
        <v>4802</v>
      </c>
      <c r="D1145" t="s">
        <v>13</v>
      </c>
      <c r="E1145">
        <v>76</v>
      </c>
      <c r="F1145">
        <v>55</v>
      </c>
      <c r="G1145" t="s">
        <v>4799</v>
      </c>
      <c r="H1145" t="s">
        <v>4805</v>
      </c>
      <c r="I1145">
        <v>13.99</v>
      </c>
      <c r="J1145">
        <v>4</v>
      </c>
      <c r="K1145">
        <v>2.5299999999999998</v>
      </c>
      <c r="L1145">
        <v>0</v>
      </c>
      <c r="M1145" t="s">
        <v>4808</v>
      </c>
      <c r="N1145" t="s">
        <v>4900</v>
      </c>
      <c r="O1145" t="s">
        <v>4912</v>
      </c>
    </row>
    <row r="1146" spans="1:15" x14ac:dyDescent="0.35">
      <c r="A1146" t="s">
        <v>1144</v>
      </c>
      <c r="B1146">
        <v>49</v>
      </c>
      <c r="C1146" t="s">
        <v>4802</v>
      </c>
      <c r="D1146" t="s">
        <v>15</v>
      </c>
      <c r="E1146">
        <v>42</v>
      </c>
      <c r="F1146">
        <v>0</v>
      </c>
      <c r="G1146" t="s">
        <v>4798</v>
      </c>
      <c r="H1146" t="s">
        <v>4804</v>
      </c>
      <c r="I1146">
        <v>17.989999999999998</v>
      </c>
      <c r="J1146">
        <v>1</v>
      </c>
      <c r="K1146">
        <v>1.4</v>
      </c>
      <c r="L1146">
        <v>0</v>
      </c>
      <c r="M1146" t="s">
        <v>4811</v>
      </c>
      <c r="N1146" t="s">
        <v>4900</v>
      </c>
      <c r="O1146" t="s">
        <v>4910</v>
      </c>
    </row>
    <row r="1147" spans="1:15" x14ac:dyDescent="0.35">
      <c r="A1147" t="s">
        <v>1145</v>
      </c>
      <c r="B1147">
        <v>42</v>
      </c>
      <c r="C1147" t="s">
        <v>4803</v>
      </c>
      <c r="D1147" t="s">
        <v>13</v>
      </c>
      <c r="E1147">
        <v>60</v>
      </c>
      <c r="F1147">
        <v>26</v>
      </c>
      <c r="G1147" t="s">
        <v>4799</v>
      </c>
      <c r="H1147" t="s">
        <v>4805</v>
      </c>
      <c r="I1147">
        <v>13.99</v>
      </c>
      <c r="J1147">
        <v>1</v>
      </c>
      <c r="K1147">
        <v>2</v>
      </c>
      <c r="L1147">
        <v>0</v>
      </c>
      <c r="M1147" t="s">
        <v>4809</v>
      </c>
      <c r="N1147" t="s">
        <v>4900</v>
      </c>
      <c r="O1147" t="s">
        <v>4910</v>
      </c>
    </row>
    <row r="1148" spans="1:15" x14ac:dyDescent="0.35">
      <c r="A1148" t="s">
        <v>1146</v>
      </c>
      <c r="B1148">
        <v>59</v>
      </c>
      <c r="C1148" t="s">
        <v>4803</v>
      </c>
      <c r="D1148" t="s">
        <v>13</v>
      </c>
      <c r="E1148">
        <v>45</v>
      </c>
      <c r="F1148">
        <v>33</v>
      </c>
      <c r="G1148" t="s">
        <v>4798</v>
      </c>
      <c r="H1148" t="s">
        <v>4804</v>
      </c>
      <c r="I1148">
        <v>13.99</v>
      </c>
      <c r="J1148">
        <v>3</v>
      </c>
      <c r="K1148">
        <v>1.5</v>
      </c>
      <c r="L1148">
        <v>0</v>
      </c>
      <c r="M1148" t="s">
        <v>4812</v>
      </c>
      <c r="N1148" t="s">
        <v>4900</v>
      </c>
      <c r="O1148" t="s">
        <v>4911</v>
      </c>
    </row>
    <row r="1149" spans="1:15" x14ac:dyDescent="0.35">
      <c r="A1149" t="s">
        <v>1147</v>
      </c>
      <c r="B1149">
        <v>22</v>
      </c>
      <c r="C1149" t="s">
        <v>4803</v>
      </c>
      <c r="D1149" t="s">
        <v>13</v>
      </c>
      <c r="E1149">
        <v>38</v>
      </c>
      <c r="F1149">
        <v>28</v>
      </c>
      <c r="G1149" t="s">
        <v>4798</v>
      </c>
      <c r="H1149" t="s">
        <v>4804</v>
      </c>
      <c r="I1149">
        <v>13.99</v>
      </c>
      <c r="J1149">
        <v>3</v>
      </c>
      <c r="K1149">
        <v>1.27</v>
      </c>
      <c r="L1149">
        <v>0</v>
      </c>
      <c r="M1149" t="s">
        <v>4811</v>
      </c>
      <c r="N1149" t="s">
        <v>4900</v>
      </c>
      <c r="O1149" t="s">
        <v>4912</v>
      </c>
    </row>
    <row r="1150" spans="1:15" x14ac:dyDescent="0.35">
      <c r="A1150" t="s">
        <v>1148</v>
      </c>
      <c r="B1150">
        <v>45</v>
      </c>
      <c r="C1150" t="s">
        <v>4802</v>
      </c>
      <c r="D1150" t="s">
        <v>15</v>
      </c>
      <c r="E1150">
        <v>116</v>
      </c>
      <c r="F1150">
        <v>53</v>
      </c>
      <c r="G1150" t="s">
        <v>4798</v>
      </c>
      <c r="H1150" t="s">
        <v>4804</v>
      </c>
      <c r="I1150">
        <v>17.989999999999998</v>
      </c>
      <c r="J1150">
        <v>5</v>
      </c>
      <c r="K1150">
        <v>3.87</v>
      </c>
      <c r="L1150">
        <v>1</v>
      </c>
      <c r="M1150" t="s">
        <v>4809</v>
      </c>
      <c r="N1150" t="s">
        <v>4899</v>
      </c>
      <c r="O1150" t="s">
        <v>4910</v>
      </c>
    </row>
    <row r="1151" spans="1:15" x14ac:dyDescent="0.35">
      <c r="A1151" t="s">
        <v>1149</v>
      </c>
      <c r="B1151">
        <v>35</v>
      </c>
      <c r="C1151" t="s">
        <v>4802</v>
      </c>
      <c r="D1151" t="s">
        <v>13</v>
      </c>
      <c r="E1151">
        <v>71</v>
      </c>
      <c r="F1151">
        <v>45</v>
      </c>
      <c r="G1151" t="s">
        <v>4799</v>
      </c>
      <c r="H1151" t="s">
        <v>4804</v>
      </c>
      <c r="I1151">
        <v>13.99</v>
      </c>
      <c r="J1151">
        <v>1</v>
      </c>
      <c r="K1151">
        <v>2.37</v>
      </c>
      <c r="L1151">
        <v>0</v>
      </c>
      <c r="M1151" t="s">
        <v>4811</v>
      </c>
      <c r="N1151" t="s">
        <v>4900</v>
      </c>
      <c r="O1151" t="s">
        <v>4910</v>
      </c>
    </row>
    <row r="1152" spans="1:15" x14ac:dyDescent="0.35">
      <c r="A1152" t="s">
        <v>1150</v>
      </c>
      <c r="B1152">
        <v>28</v>
      </c>
      <c r="C1152" t="s">
        <v>4803</v>
      </c>
      <c r="D1152" t="s">
        <v>15</v>
      </c>
      <c r="E1152">
        <v>66</v>
      </c>
      <c r="F1152">
        <v>52</v>
      </c>
      <c r="G1152" t="s">
        <v>4799</v>
      </c>
      <c r="H1152" t="s">
        <v>4805</v>
      </c>
      <c r="I1152">
        <v>17.989999999999998</v>
      </c>
      <c r="J1152">
        <v>5</v>
      </c>
      <c r="K1152">
        <v>2.2000000000000002</v>
      </c>
      <c r="L1152">
        <v>0</v>
      </c>
      <c r="M1152" t="s">
        <v>4811</v>
      </c>
      <c r="N1152" t="s">
        <v>4900</v>
      </c>
      <c r="O1152" t="s">
        <v>4912</v>
      </c>
    </row>
    <row r="1153" spans="1:15" x14ac:dyDescent="0.35">
      <c r="A1153" t="s">
        <v>1151</v>
      </c>
      <c r="B1153">
        <v>19</v>
      </c>
      <c r="C1153" t="s">
        <v>4802</v>
      </c>
      <c r="D1153" t="s">
        <v>15</v>
      </c>
      <c r="E1153">
        <v>98</v>
      </c>
      <c r="F1153">
        <v>37</v>
      </c>
      <c r="G1153" t="s">
        <v>4799</v>
      </c>
      <c r="H1153" t="s">
        <v>4806</v>
      </c>
      <c r="I1153">
        <v>17.989999999999998</v>
      </c>
      <c r="J1153">
        <v>2</v>
      </c>
      <c r="K1153">
        <v>3.27</v>
      </c>
      <c r="L1153">
        <v>0</v>
      </c>
      <c r="M1153" t="s">
        <v>4812</v>
      </c>
      <c r="N1153" t="s">
        <v>4900</v>
      </c>
      <c r="O1153" t="s">
        <v>4912</v>
      </c>
    </row>
    <row r="1154" spans="1:15" x14ac:dyDescent="0.35">
      <c r="A1154" t="s">
        <v>1152</v>
      </c>
      <c r="B1154">
        <v>29</v>
      </c>
      <c r="C1154" t="s">
        <v>4802</v>
      </c>
      <c r="D1154" t="s">
        <v>13</v>
      </c>
      <c r="E1154">
        <v>45</v>
      </c>
      <c r="F1154">
        <v>52</v>
      </c>
      <c r="G1154" t="s">
        <v>4798</v>
      </c>
      <c r="H1154" t="s">
        <v>4804</v>
      </c>
      <c r="I1154">
        <v>13.99</v>
      </c>
      <c r="J1154">
        <v>4</v>
      </c>
      <c r="K1154">
        <v>1.5</v>
      </c>
      <c r="L1154">
        <v>0</v>
      </c>
      <c r="M1154" t="s">
        <v>4812</v>
      </c>
      <c r="N1154" t="s">
        <v>4900</v>
      </c>
      <c r="O1154" t="s">
        <v>4912</v>
      </c>
    </row>
    <row r="1155" spans="1:15" x14ac:dyDescent="0.35">
      <c r="A1155" t="s">
        <v>1153</v>
      </c>
      <c r="B1155">
        <v>28</v>
      </c>
      <c r="C1155" t="s">
        <v>4803</v>
      </c>
      <c r="D1155" t="s">
        <v>15</v>
      </c>
      <c r="E1155">
        <v>65</v>
      </c>
      <c r="F1155">
        <v>15</v>
      </c>
      <c r="G1155" t="s">
        <v>4799</v>
      </c>
      <c r="H1155" t="s">
        <v>4806</v>
      </c>
      <c r="I1155">
        <v>17.989999999999998</v>
      </c>
      <c r="J1155">
        <v>4</v>
      </c>
      <c r="K1155">
        <v>2.17</v>
      </c>
      <c r="L1155">
        <v>0</v>
      </c>
      <c r="M1155" t="s">
        <v>4810</v>
      </c>
      <c r="N1155" t="s">
        <v>4900</v>
      </c>
      <c r="O1155" t="s">
        <v>4912</v>
      </c>
    </row>
    <row r="1156" spans="1:15" x14ac:dyDescent="0.35">
      <c r="A1156" t="s">
        <v>1154</v>
      </c>
      <c r="B1156">
        <v>21</v>
      </c>
      <c r="C1156" t="s">
        <v>4803</v>
      </c>
      <c r="D1156" t="s">
        <v>13</v>
      </c>
      <c r="E1156">
        <v>64</v>
      </c>
      <c r="F1156">
        <v>33</v>
      </c>
      <c r="G1156" t="s">
        <v>4799</v>
      </c>
      <c r="H1156" t="s">
        <v>4804</v>
      </c>
      <c r="I1156">
        <v>13.99</v>
      </c>
      <c r="J1156">
        <v>3</v>
      </c>
      <c r="K1156">
        <v>2.0299999999999998</v>
      </c>
      <c r="L1156">
        <v>0</v>
      </c>
      <c r="M1156" t="s">
        <v>4812</v>
      </c>
      <c r="N1156" t="s">
        <v>4900</v>
      </c>
      <c r="O1156" t="s">
        <v>4912</v>
      </c>
    </row>
    <row r="1157" spans="1:15" x14ac:dyDescent="0.35">
      <c r="A1157" t="s">
        <v>1155</v>
      </c>
      <c r="B1157">
        <v>37</v>
      </c>
      <c r="C1157" t="s">
        <v>4802</v>
      </c>
      <c r="D1157" t="s">
        <v>15</v>
      </c>
      <c r="E1157">
        <v>51</v>
      </c>
      <c r="F1157">
        <v>7</v>
      </c>
      <c r="G1157" t="s">
        <v>4799</v>
      </c>
      <c r="H1157" t="s">
        <v>4805</v>
      </c>
      <c r="I1157">
        <v>17.989999999999998</v>
      </c>
      <c r="J1157">
        <v>5</v>
      </c>
      <c r="K1157">
        <v>1.7</v>
      </c>
      <c r="L1157">
        <v>0</v>
      </c>
      <c r="M1157" t="s">
        <v>4808</v>
      </c>
      <c r="N1157" t="s">
        <v>4900</v>
      </c>
      <c r="O1157" t="s">
        <v>4910</v>
      </c>
    </row>
    <row r="1158" spans="1:15" x14ac:dyDescent="0.35">
      <c r="A1158" t="s">
        <v>1156</v>
      </c>
      <c r="B1158">
        <v>51</v>
      </c>
      <c r="C1158" t="s">
        <v>4802</v>
      </c>
      <c r="D1158" t="s">
        <v>13</v>
      </c>
      <c r="E1158">
        <v>36</v>
      </c>
      <c r="F1158">
        <v>35</v>
      </c>
      <c r="G1158" t="s">
        <v>4798</v>
      </c>
      <c r="H1158" t="s">
        <v>4804</v>
      </c>
      <c r="I1158">
        <v>13.99</v>
      </c>
      <c r="J1158">
        <v>3</v>
      </c>
      <c r="K1158">
        <v>1.2</v>
      </c>
      <c r="L1158">
        <v>1</v>
      </c>
      <c r="M1158" t="s">
        <v>4808</v>
      </c>
      <c r="N1158" t="s">
        <v>4899</v>
      </c>
      <c r="O1158" t="s">
        <v>4910</v>
      </c>
    </row>
    <row r="1159" spans="1:15" x14ac:dyDescent="0.35">
      <c r="A1159" t="s">
        <v>1157</v>
      </c>
      <c r="B1159">
        <v>59</v>
      </c>
      <c r="C1159" t="s">
        <v>4803</v>
      </c>
      <c r="D1159" t="s">
        <v>13</v>
      </c>
      <c r="E1159">
        <v>60</v>
      </c>
      <c r="F1159">
        <v>24</v>
      </c>
      <c r="G1159" t="s">
        <v>4797</v>
      </c>
      <c r="H1159" t="s">
        <v>4805</v>
      </c>
      <c r="I1159">
        <v>13.99</v>
      </c>
      <c r="J1159">
        <v>2</v>
      </c>
      <c r="K1159">
        <v>2</v>
      </c>
      <c r="L1159">
        <v>0</v>
      </c>
      <c r="M1159" t="s">
        <v>4810</v>
      </c>
      <c r="N1159" t="s">
        <v>4900</v>
      </c>
      <c r="O1159" t="s">
        <v>4911</v>
      </c>
    </row>
    <row r="1160" spans="1:15" x14ac:dyDescent="0.35">
      <c r="A1160" t="s">
        <v>1158</v>
      </c>
      <c r="B1160">
        <v>65</v>
      </c>
      <c r="C1160" t="s">
        <v>4803</v>
      </c>
      <c r="D1160" t="s">
        <v>15</v>
      </c>
      <c r="E1160">
        <v>73</v>
      </c>
      <c r="F1160">
        <v>32</v>
      </c>
      <c r="G1160" t="s">
        <v>4799</v>
      </c>
      <c r="H1160" t="s">
        <v>4805</v>
      </c>
      <c r="I1160">
        <v>17.989999999999998</v>
      </c>
      <c r="J1160">
        <v>3</v>
      </c>
      <c r="K1160">
        <v>2.4300000000000002</v>
      </c>
      <c r="L1160">
        <v>0</v>
      </c>
      <c r="M1160" t="s">
        <v>4810</v>
      </c>
      <c r="N1160" t="s">
        <v>4900</v>
      </c>
      <c r="O1160" t="s">
        <v>4911</v>
      </c>
    </row>
    <row r="1161" spans="1:15" x14ac:dyDescent="0.35">
      <c r="A1161" t="s">
        <v>1159</v>
      </c>
      <c r="B1161">
        <v>44</v>
      </c>
      <c r="C1161" t="s">
        <v>4803</v>
      </c>
      <c r="D1161" t="s">
        <v>13</v>
      </c>
      <c r="E1161">
        <v>51</v>
      </c>
      <c r="F1161">
        <v>12</v>
      </c>
      <c r="G1161" t="s">
        <v>4797</v>
      </c>
      <c r="H1161" t="s">
        <v>4805</v>
      </c>
      <c r="I1161">
        <v>13.99</v>
      </c>
      <c r="J1161">
        <v>4</v>
      </c>
      <c r="K1161">
        <v>1.7</v>
      </c>
      <c r="L1161">
        <v>0</v>
      </c>
      <c r="M1161" t="s">
        <v>4808</v>
      </c>
      <c r="N1161" t="s">
        <v>4900</v>
      </c>
      <c r="O1161" t="s">
        <v>4910</v>
      </c>
    </row>
    <row r="1162" spans="1:15" x14ac:dyDescent="0.35">
      <c r="A1162" t="s">
        <v>1160</v>
      </c>
      <c r="B1162">
        <v>41</v>
      </c>
      <c r="C1162" t="s">
        <v>4802</v>
      </c>
      <c r="D1162" t="s">
        <v>15</v>
      </c>
      <c r="E1162">
        <v>47</v>
      </c>
      <c r="F1162">
        <v>16</v>
      </c>
      <c r="G1162" t="s">
        <v>4799</v>
      </c>
      <c r="H1162" t="s">
        <v>4805</v>
      </c>
      <c r="I1162">
        <v>17.989999999999998</v>
      </c>
      <c r="J1162">
        <v>2</v>
      </c>
      <c r="K1162">
        <v>1.57</v>
      </c>
      <c r="L1162">
        <v>0</v>
      </c>
      <c r="M1162" t="s">
        <v>4810</v>
      </c>
      <c r="N1162" t="s">
        <v>4900</v>
      </c>
      <c r="O1162" t="s">
        <v>4910</v>
      </c>
    </row>
    <row r="1163" spans="1:15" x14ac:dyDescent="0.35">
      <c r="A1163" t="s">
        <v>1161</v>
      </c>
      <c r="B1163">
        <v>40</v>
      </c>
      <c r="C1163" t="s">
        <v>4803</v>
      </c>
      <c r="D1163" t="s">
        <v>13</v>
      </c>
      <c r="E1163">
        <v>35</v>
      </c>
      <c r="F1163">
        <v>12</v>
      </c>
      <c r="G1163" t="s">
        <v>4798</v>
      </c>
      <c r="H1163" t="s">
        <v>4806</v>
      </c>
      <c r="I1163">
        <v>13.99</v>
      </c>
      <c r="J1163">
        <v>1</v>
      </c>
      <c r="K1163">
        <v>1.17</v>
      </c>
      <c r="L1163">
        <v>0</v>
      </c>
      <c r="M1163" t="s">
        <v>4808</v>
      </c>
      <c r="N1163" t="s">
        <v>4900</v>
      </c>
      <c r="O1163" t="s">
        <v>4910</v>
      </c>
    </row>
    <row r="1164" spans="1:15" x14ac:dyDescent="0.35">
      <c r="A1164" t="s">
        <v>1162</v>
      </c>
      <c r="B1164">
        <v>48</v>
      </c>
      <c r="C1164" t="s">
        <v>4802</v>
      </c>
      <c r="D1164" t="s">
        <v>13</v>
      </c>
      <c r="E1164">
        <v>61</v>
      </c>
      <c r="F1164">
        <v>50</v>
      </c>
      <c r="G1164" t="s">
        <v>4799</v>
      </c>
      <c r="H1164" t="s">
        <v>4804</v>
      </c>
      <c r="I1164">
        <v>13.99</v>
      </c>
      <c r="J1164">
        <v>3</v>
      </c>
      <c r="K1164">
        <v>2.0299999999999998</v>
      </c>
      <c r="L1164">
        <v>0</v>
      </c>
      <c r="M1164" t="s">
        <v>4810</v>
      </c>
      <c r="N1164" t="s">
        <v>4900</v>
      </c>
      <c r="O1164" t="s">
        <v>4910</v>
      </c>
    </row>
    <row r="1165" spans="1:15" x14ac:dyDescent="0.35">
      <c r="A1165" t="s">
        <v>1163</v>
      </c>
      <c r="B1165">
        <v>58</v>
      </c>
      <c r="C1165" t="s">
        <v>4803</v>
      </c>
      <c r="D1165" t="s">
        <v>13</v>
      </c>
      <c r="E1165">
        <v>35</v>
      </c>
      <c r="F1165">
        <v>59</v>
      </c>
      <c r="G1165" t="s">
        <v>4798</v>
      </c>
      <c r="H1165" t="s">
        <v>4806</v>
      </c>
      <c r="I1165">
        <v>13.99</v>
      </c>
      <c r="J1165">
        <v>2</v>
      </c>
      <c r="K1165">
        <v>1.17</v>
      </c>
      <c r="L1165">
        <v>1</v>
      </c>
      <c r="M1165" t="s">
        <v>4811</v>
      </c>
      <c r="N1165" t="s">
        <v>4899</v>
      </c>
      <c r="O1165" t="s">
        <v>4911</v>
      </c>
    </row>
    <row r="1166" spans="1:15" x14ac:dyDescent="0.35">
      <c r="A1166" t="s">
        <v>1164</v>
      </c>
      <c r="B1166">
        <v>36</v>
      </c>
      <c r="C1166" t="s">
        <v>4802</v>
      </c>
      <c r="D1166" t="s">
        <v>13</v>
      </c>
      <c r="E1166">
        <v>56</v>
      </c>
      <c r="F1166">
        <v>30</v>
      </c>
      <c r="G1166" t="s">
        <v>4799</v>
      </c>
      <c r="H1166" t="s">
        <v>4805</v>
      </c>
      <c r="I1166">
        <v>13.99</v>
      </c>
      <c r="J1166">
        <v>2</v>
      </c>
      <c r="K1166">
        <v>1.87</v>
      </c>
      <c r="L1166">
        <v>1</v>
      </c>
      <c r="M1166" t="s">
        <v>4812</v>
      </c>
      <c r="N1166" t="s">
        <v>4899</v>
      </c>
      <c r="O1166" t="s">
        <v>4910</v>
      </c>
    </row>
    <row r="1167" spans="1:15" x14ac:dyDescent="0.35">
      <c r="A1167" t="s">
        <v>1165</v>
      </c>
      <c r="B1167">
        <v>33</v>
      </c>
      <c r="C1167" t="s">
        <v>4803</v>
      </c>
      <c r="D1167" t="s">
        <v>13</v>
      </c>
      <c r="E1167">
        <v>61</v>
      </c>
      <c r="F1167">
        <v>32</v>
      </c>
      <c r="G1167" t="s">
        <v>4798</v>
      </c>
      <c r="H1167" t="s">
        <v>4806</v>
      </c>
      <c r="I1167">
        <v>13.99</v>
      </c>
      <c r="J1167">
        <v>1</v>
      </c>
      <c r="K1167">
        <v>2.0299999999999998</v>
      </c>
      <c r="L1167">
        <v>0</v>
      </c>
      <c r="M1167" t="s">
        <v>4810</v>
      </c>
      <c r="N1167" t="s">
        <v>4900</v>
      </c>
      <c r="O1167" t="s">
        <v>4912</v>
      </c>
    </row>
    <row r="1168" spans="1:15" x14ac:dyDescent="0.35">
      <c r="A1168" t="s">
        <v>1166</v>
      </c>
      <c r="B1168">
        <v>50</v>
      </c>
      <c r="C1168" t="s">
        <v>4803</v>
      </c>
      <c r="D1168" t="s">
        <v>13</v>
      </c>
      <c r="E1168">
        <v>79</v>
      </c>
      <c r="F1168">
        <v>5</v>
      </c>
      <c r="G1168" t="s">
        <v>4798</v>
      </c>
      <c r="H1168" t="s">
        <v>4805</v>
      </c>
      <c r="I1168">
        <v>13.99</v>
      </c>
      <c r="J1168">
        <v>3</v>
      </c>
      <c r="K1168">
        <v>5</v>
      </c>
      <c r="L1168">
        <v>0</v>
      </c>
      <c r="M1168" t="s">
        <v>4808</v>
      </c>
      <c r="N1168" t="s">
        <v>4900</v>
      </c>
      <c r="O1168" t="s">
        <v>4910</v>
      </c>
    </row>
    <row r="1169" spans="1:15" x14ac:dyDescent="0.35">
      <c r="A1169" t="s">
        <v>1167</v>
      </c>
      <c r="B1169">
        <v>47</v>
      </c>
      <c r="C1169" t="s">
        <v>4802</v>
      </c>
      <c r="D1169" t="s">
        <v>15</v>
      </c>
      <c r="E1169">
        <v>64</v>
      </c>
      <c r="F1169">
        <v>57</v>
      </c>
      <c r="G1169" t="s">
        <v>4798</v>
      </c>
      <c r="H1169" t="s">
        <v>4805</v>
      </c>
      <c r="I1169">
        <v>17.989999999999998</v>
      </c>
      <c r="J1169">
        <v>2</v>
      </c>
      <c r="K1169">
        <v>2.13</v>
      </c>
      <c r="L1169">
        <v>1</v>
      </c>
      <c r="M1169" t="s">
        <v>4811</v>
      </c>
      <c r="N1169" t="s">
        <v>4899</v>
      </c>
      <c r="O1169" t="s">
        <v>4910</v>
      </c>
    </row>
    <row r="1170" spans="1:15" x14ac:dyDescent="0.35">
      <c r="A1170" t="s">
        <v>1168</v>
      </c>
      <c r="B1170">
        <v>34</v>
      </c>
      <c r="C1170" t="s">
        <v>4802</v>
      </c>
      <c r="D1170" t="s">
        <v>15</v>
      </c>
      <c r="E1170">
        <v>77</v>
      </c>
      <c r="F1170">
        <v>6</v>
      </c>
      <c r="G1170" t="s">
        <v>4797</v>
      </c>
      <c r="H1170" t="s">
        <v>4805</v>
      </c>
      <c r="I1170">
        <v>17.989999999999998</v>
      </c>
      <c r="J1170">
        <v>5</v>
      </c>
      <c r="K1170">
        <v>2.57</v>
      </c>
      <c r="L1170">
        <v>0</v>
      </c>
      <c r="M1170" t="s">
        <v>4810</v>
      </c>
      <c r="N1170" t="s">
        <v>4900</v>
      </c>
      <c r="O1170" t="s">
        <v>4912</v>
      </c>
    </row>
    <row r="1171" spans="1:15" x14ac:dyDescent="0.35">
      <c r="A1171" t="s">
        <v>1169</v>
      </c>
      <c r="B1171">
        <v>65</v>
      </c>
      <c r="C1171" t="s">
        <v>4803</v>
      </c>
      <c r="D1171" t="s">
        <v>13</v>
      </c>
      <c r="E1171">
        <v>71</v>
      </c>
      <c r="F1171">
        <v>999</v>
      </c>
      <c r="G1171" t="s">
        <v>4799</v>
      </c>
      <c r="H1171" t="s">
        <v>4804</v>
      </c>
      <c r="I1171">
        <v>13.99</v>
      </c>
      <c r="J1171">
        <v>4</v>
      </c>
      <c r="K1171">
        <v>2.37</v>
      </c>
      <c r="L1171">
        <v>0</v>
      </c>
      <c r="M1171" t="s">
        <v>4812</v>
      </c>
      <c r="N1171" t="s">
        <v>4900</v>
      </c>
      <c r="O1171" t="s">
        <v>4911</v>
      </c>
    </row>
    <row r="1172" spans="1:15" x14ac:dyDescent="0.35">
      <c r="A1172" t="s">
        <v>1170</v>
      </c>
      <c r="B1172">
        <v>49</v>
      </c>
      <c r="C1172" t="s">
        <v>4802</v>
      </c>
      <c r="D1172" t="s">
        <v>13</v>
      </c>
      <c r="E1172">
        <v>68</v>
      </c>
      <c r="F1172">
        <v>16</v>
      </c>
      <c r="G1172" t="s">
        <v>4799</v>
      </c>
      <c r="H1172" t="s">
        <v>4804</v>
      </c>
      <c r="I1172">
        <v>13.99</v>
      </c>
      <c r="J1172">
        <v>2</v>
      </c>
      <c r="K1172">
        <v>2.27</v>
      </c>
      <c r="L1172">
        <v>0</v>
      </c>
      <c r="M1172" t="s">
        <v>4812</v>
      </c>
      <c r="N1172" t="s">
        <v>4900</v>
      </c>
      <c r="O1172" t="s">
        <v>4910</v>
      </c>
    </row>
    <row r="1173" spans="1:15" x14ac:dyDescent="0.35">
      <c r="A1173" t="s">
        <v>1171</v>
      </c>
      <c r="B1173">
        <v>62</v>
      </c>
      <c r="C1173" t="s">
        <v>4803</v>
      </c>
      <c r="D1173" t="s">
        <v>13</v>
      </c>
      <c r="E1173">
        <v>31</v>
      </c>
      <c r="F1173">
        <v>13</v>
      </c>
      <c r="G1173" t="s">
        <v>4798</v>
      </c>
      <c r="H1173" t="s">
        <v>4804</v>
      </c>
      <c r="I1173">
        <v>13.99</v>
      </c>
      <c r="J1173">
        <v>2</v>
      </c>
      <c r="K1173">
        <v>1.03</v>
      </c>
      <c r="L1173">
        <v>0</v>
      </c>
      <c r="M1173" t="s">
        <v>4811</v>
      </c>
      <c r="N1173" t="s">
        <v>4900</v>
      </c>
      <c r="O1173" t="s">
        <v>4911</v>
      </c>
    </row>
    <row r="1174" spans="1:15" x14ac:dyDescent="0.35">
      <c r="A1174" t="s">
        <v>1172</v>
      </c>
      <c r="B1174">
        <v>36</v>
      </c>
      <c r="C1174" t="s">
        <v>4803</v>
      </c>
      <c r="D1174" t="s">
        <v>13</v>
      </c>
      <c r="E1174">
        <v>58</v>
      </c>
      <c r="F1174">
        <v>54</v>
      </c>
      <c r="G1174" t="s">
        <v>4799</v>
      </c>
      <c r="H1174" t="s">
        <v>4806</v>
      </c>
      <c r="I1174">
        <v>13.99</v>
      </c>
      <c r="J1174">
        <v>4</v>
      </c>
      <c r="K1174">
        <v>1.93</v>
      </c>
      <c r="L1174">
        <v>1</v>
      </c>
      <c r="M1174" t="s">
        <v>4808</v>
      </c>
      <c r="N1174" t="s">
        <v>4899</v>
      </c>
      <c r="O1174" t="s">
        <v>4910</v>
      </c>
    </row>
    <row r="1175" spans="1:15" x14ac:dyDescent="0.35">
      <c r="A1175" t="s">
        <v>1173</v>
      </c>
      <c r="B1175">
        <v>43</v>
      </c>
      <c r="C1175" t="s">
        <v>4802</v>
      </c>
      <c r="D1175" t="s">
        <v>13</v>
      </c>
      <c r="E1175">
        <v>48</v>
      </c>
      <c r="F1175">
        <v>2</v>
      </c>
      <c r="G1175" t="s">
        <v>4798</v>
      </c>
      <c r="H1175" t="s">
        <v>4805</v>
      </c>
      <c r="I1175">
        <v>13.99</v>
      </c>
      <c r="J1175">
        <v>4</v>
      </c>
      <c r="K1175">
        <v>1.6</v>
      </c>
      <c r="L1175">
        <v>0</v>
      </c>
      <c r="M1175" t="s">
        <v>4811</v>
      </c>
      <c r="N1175" t="s">
        <v>4900</v>
      </c>
      <c r="O1175" t="s">
        <v>4910</v>
      </c>
    </row>
    <row r="1176" spans="1:15" x14ac:dyDescent="0.35">
      <c r="A1176" t="s">
        <v>1174</v>
      </c>
      <c r="B1176">
        <v>31</v>
      </c>
      <c r="C1176" t="s">
        <v>4803</v>
      </c>
      <c r="D1176" t="s">
        <v>13</v>
      </c>
      <c r="E1176">
        <v>56</v>
      </c>
      <c r="F1176">
        <v>5</v>
      </c>
      <c r="G1176" t="s">
        <v>4797</v>
      </c>
      <c r="H1176" t="s">
        <v>4804</v>
      </c>
      <c r="I1176">
        <v>13.99</v>
      </c>
      <c r="J1176">
        <v>4</v>
      </c>
      <c r="K1176">
        <v>1.87</v>
      </c>
      <c r="L1176">
        <v>0</v>
      </c>
      <c r="M1176" t="s">
        <v>4811</v>
      </c>
      <c r="N1176" t="s">
        <v>4900</v>
      </c>
      <c r="O1176" t="s">
        <v>4912</v>
      </c>
    </row>
    <row r="1177" spans="1:15" x14ac:dyDescent="0.35">
      <c r="A1177" t="s">
        <v>1175</v>
      </c>
      <c r="B1177">
        <v>35</v>
      </c>
      <c r="C1177" t="s">
        <v>4803</v>
      </c>
      <c r="D1177" t="s">
        <v>13</v>
      </c>
      <c r="E1177">
        <v>79</v>
      </c>
      <c r="F1177">
        <v>28</v>
      </c>
      <c r="G1177" t="s">
        <v>4797</v>
      </c>
      <c r="H1177" t="s">
        <v>4805</v>
      </c>
      <c r="I1177">
        <v>13.99</v>
      </c>
      <c r="J1177">
        <v>3</v>
      </c>
      <c r="K1177">
        <v>2.63</v>
      </c>
      <c r="L1177">
        <v>0</v>
      </c>
      <c r="M1177" t="s">
        <v>4812</v>
      </c>
      <c r="N1177" t="s">
        <v>4900</v>
      </c>
      <c r="O1177" t="s">
        <v>4910</v>
      </c>
    </row>
    <row r="1178" spans="1:15" x14ac:dyDescent="0.35">
      <c r="A1178" t="s">
        <v>1176</v>
      </c>
      <c r="B1178">
        <v>46</v>
      </c>
      <c r="C1178" t="s">
        <v>4803</v>
      </c>
      <c r="D1178" t="s">
        <v>13</v>
      </c>
      <c r="E1178">
        <v>46</v>
      </c>
      <c r="F1178">
        <v>14</v>
      </c>
      <c r="G1178" t="s">
        <v>4798</v>
      </c>
      <c r="H1178" t="s">
        <v>4805</v>
      </c>
      <c r="I1178">
        <v>13.99</v>
      </c>
      <c r="J1178">
        <v>2</v>
      </c>
      <c r="K1178">
        <v>1.53</v>
      </c>
      <c r="L1178">
        <v>0</v>
      </c>
      <c r="M1178" t="s">
        <v>4812</v>
      </c>
      <c r="N1178" t="s">
        <v>4900</v>
      </c>
      <c r="O1178" t="s">
        <v>4910</v>
      </c>
    </row>
    <row r="1179" spans="1:15" x14ac:dyDescent="0.35">
      <c r="A1179" t="s">
        <v>1177</v>
      </c>
      <c r="B1179">
        <v>32</v>
      </c>
      <c r="C1179" t="s">
        <v>4803</v>
      </c>
      <c r="D1179" t="s">
        <v>13</v>
      </c>
      <c r="E1179">
        <v>42</v>
      </c>
      <c r="F1179">
        <v>4</v>
      </c>
      <c r="G1179" t="s">
        <v>4797</v>
      </c>
      <c r="H1179" t="s">
        <v>4805</v>
      </c>
      <c r="I1179">
        <v>13.99</v>
      </c>
      <c r="J1179">
        <v>4</v>
      </c>
      <c r="K1179">
        <v>1.4</v>
      </c>
      <c r="L1179">
        <v>0</v>
      </c>
      <c r="M1179" t="s">
        <v>4811</v>
      </c>
      <c r="N1179" t="s">
        <v>4900</v>
      </c>
      <c r="O1179" t="s">
        <v>4912</v>
      </c>
    </row>
    <row r="1180" spans="1:15" x14ac:dyDescent="0.35">
      <c r="A1180" t="s">
        <v>1178</v>
      </c>
      <c r="B1180">
        <v>44</v>
      </c>
      <c r="C1180" t="s">
        <v>4803</v>
      </c>
      <c r="D1180" t="s">
        <v>15</v>
      </c>
      <c r="E1180">
        <v>94</v>
      </c>
      <c r="F1180">
        <v>48</v>
      </c>
      <c r="G1180" t="s">
        <v>4799</v>
      </c>
      <c r="H1180" t="s">
        <v>4804</v>
      </c>
      <c r="I1180">
        <v>17.989999999999998</v>
      </c>
      <c r="J1180">
        <v>4</v>
      </c>
      <c r="K1180">
        <v>3.13</v>
      </c>
      <c r="L1180">
        <v>0</v>
      </c>
      <c r="M1180" t="s">
        <v>4810</v>
      </c>
      <c r="N1180" t="s">
        <v>4900</v>
      </c>
      <c r="O1180" t="s">
        <v>4910</v>
      </c>
    </row>
    <row r="1181" spans="1:15" x14ac:dyDescent="0.35">
      <c r="A1181" t="s">
        <v>1179</v>
      </c>
      <c r="B1181">
        <v>41</v>
      </c>
      <c r="C1181" t="s">
        <v>4803</v>
      </c>
      <c r="D1181" t="s">
        <v>13</v>
      </c>
      <c r="E1181">
        <v>73</v>
      </c>
      <c r="F1181">
        <v>44</v>
      </c>
      <c r="G1181" t="s">
        <v>4798</v>
      </c>
      <c r="H1181" t="s">
        <v>4806</v>
      </c>
      <c r="I1181">
        <v>13.99</v>
      </c>
      <c r="J1181">
        <v>4</v>
      </c>
      <c r="K1181">
        <v>2.4300000000000002</v>
      </c>
      <c r="L1181">
        <v>0</v>
      </c>
      <c r="M1181" t="s">
        <v>4809</v>
      </c>
      <c r="N1181" t="s">
        <v>4900</v>
      </c>
      <c r="O1181" t="s">
        <v>4910</v>
      </c>
    </row>
    <row r="1182" spans="1:15" x14ac:dyDescent="0.35">
      <c r="A1182" t="s">
        <v>1180</v>
      </c>
      <c r="B1182">
        <v>39</v>
      </c>
      <c r="C1182" t="s">
        <v>4802</v>
      </c>
      <c r="D1182" t="s">
        <v>15</v>
      </c>
      <c r="E1182">
        <v>66</v>
      </c>
      <c r="F1182">
        <v>59</v>
      </c>
      <c r="G1182" t="s">
        <v>4799</v>
      </c>
      <c r="H1182" t="s">
        <v>4804</v>
      </c>
      <c r="I1182">
        <v>17.989999999999998</v>
      </c>
      <c r="J1182">
        <v>3</v>
      </c>
      <c r="K1182">
        <v>2.0299999999999998</v>
      </c>
      <c r="L1182">
        <v>0</v>
      </c>
      <c r="M1182" t="s">
        <v>4810</v>
      </c>
      <c r="N1182" t="s">
        <v>4900</v>
      </c>
      <c r="O1182" t="s">
        <v>4910</v>
      </c>
    </row>
    <row r="1183" spans="1:15" x14ac:dyDescent="0.35">
      <c r="A1183" t="s">
        <v>1181</v>
      </c>
      <c r="B1183">
        <v>55</v>
      </c>
      <c r="C1183" t="s">
        <v>4803</v>
      </c>
      <c r="D1183" t="s">
        <v>13</v>
      </c>
      <c r="E1183">
        <v>77</v>
      </c>
      <c r="F1183">
        <v>17</v>
      </c>
      <c r="G1183" t="s">
        <v>4799</v>
      </c>
      <c r="H1183" t="s">
        <v>4804</v>
      </c>
      <c r="I1183">
        <v>13.99</v>
      </c>
      <c r="J1183">
        <v>4</v>
      </c>
      <c r="K1183">
        <v>2.57</v>
      </c>
      <c r="L1183">
        <v>0</v>
      </c>
      <c r="M1183" t="s">
        <v>4810</v>
      </c>
      <c r="N1183" t="s">
        <v>4900</v>
      </c>
      <c r="O1183" t="s">
        <v>4911</v>
      </c>
    </row>
    <row r="1184" spans="1:15" x14ac:dyDescent="0.35">
      <c r="A1184" t="s">
        <v>1182</v>
      </c>
      <c r="B1184">
        <v>24</v>
      </c>
      <c r="C1184" t="s">
        <v>4803</v>
      </c>
      <c r="D1184" t="s">
        <v>13</v>
      </c>
      <c r="E1184">
        <v>55</v>
      </c>
      <c r="F1184">
        <v>17</v>
      </c>
      <c r="G1184" t="s">
        <v>4799</v>
      </c>
      <c r="H1184" t="s">
        <v>4804</v>
      </c>
      <c r="I1184">
        <v>13.99</v>
      </c>
      <c r="J1184">
        <v>4</v>
      </c>
      <c r="K1184">
        <v>1.83</v>
      </c>
      <c r="L1184">
        <v>0</v>
      </c>
      <c r="M1184" t="s">
        <v>4811</v>
      </c>
      <c r="N1184" t="s">
        <v>4900</v>
      </c>
      <c r="O1184" t="s">
        <v>4912</v>
      </c>
    </row>
    <row r="1185" spans="1:15" x14ac:dyDescent="0.35">
      <c r="A1185" t="s">
        <v>1183</v>
      </c>
      <c r="B1185">
        <v>25</v>
      </c>
      <c r="C1185" t="s">
        <v>4803</v>
      </c>
      <c r="D1185" t="s">
        <v>15</v>
      </c>
      <c r="E1185">
        <v>78</v>
      </c>
      <c r="F1185">
        <v>35</v>
      </c>
      <c r="G1185" t="s">
        <v>4801</v>
      </c>
      <c r="H1185" t="s">
        <v>4805</v>
      </c>
      <c r="I1185">
        <v>17.989999999999998</v>
      </c>
      <c r="J1185">
        <v>3</v>
      </c>
      <c r="K1185">
        <v>2.6</v>
      </c>
      <c r="L1185">
        <v>0</v>
      </c>
      <c r="M1185" t="s">
        <v>4811</v>
      </c>
      <c r="N1185" t="s">
        <v>4900</v>
      </c>
      <c r="O1185" t="s">
        <v>4912</v>
      </c>
    </row>
    <row r="1186" spans="1:15" x14ac:dyDescent="0.35">
      <c r="A1186" t="s">
        <v>1184</v>
      </c>
      <c r="B1186">
        <v>55</v>
      </c>
      <c r="C1186" t="s">
        <v>4802</v>
      </c>
      <c r="D1186" t="s">
        <v>13</v>
      </c>
      <c r="E1186">
        <v>38</v>
      </c>
      <c r="F1186">
        <v>7</v>
      </c>
      <c r="G1186" t="s">
        <v>4799</v>
      </c>
      <c r="H1186" t="s">
        <v>4804</v>
      </c>
      <c r="I1186">
        <v>13.99</v>
      </c>
      <c r="J1186">
        <v>4</v>
      </c>
      <c r="K1186">
        <v>5</v>
      </c>
      <c r="L1186">
        <v>0</v>
      </c>
      <c r="M1186" t="s">
        <v>4812</v>
      </c>
      <c r="N1186" t="s">
        <v>4900</v>
      </c>
      <c r="O1186" t="s">
        <v>4911</v>
      </c>
    </row>
    <row r="1187" spans="1:15" x14ac:dyDescent="0.35">
      <c r="A1187" t="s">
        <v>1185</v>
      </c>
      <c r="B1187">
        <v>22</v>
      </c>
      <c r="C1187" t="s">
        <v>4802</v>
      </c>
      <c r="D1187" t="s">
        <v>13</v>
      </c>
      <c r="E1187">
        <v>69</v>
      </c>
      <c r="F1187">
        <v>22</v>
      </c>
      <c r="G1187" t="s">
        <v>4800</v>
      </c>
      <c r="H1187" t="s">
        <v>4805</v>
      </c>
      <c r="I1187">
        <v>13.99</v>
      </c>
      <c r="J1187">
        <v>4</v>
      </c>
      <c r="K1187">
        <v>2.2999999999999998</v>
      </c>
      <c r="L1187">
        <v>0</v>
      </c>
      <c r="M1187" t="s">
        <v>4812</v>
      </c>
      <c r="N1187" t="s">
        <v>4900</v>
      </c>
      <c r="O1187" t="s">
        <v>4912</v>
      </c>
    </row>
    <row r="1188" spans="1:15" x14ac:dyDescent="0.35">
      <c r="A1188" t="s">
        <v>1186</v>
      </c>
      <c r="B1188">
        <v>20</v>
      </c>
      <c r="C1188" t="s">
        <v>4803</v>
      </c>
      <c r="D1188" t="s">
        <v>13</v>
      </c>
      <c r="E1188">
        <v>64</v>
      </c>
      <c r="F1188">
        <v>46</v>
      </c>
      <c r="G1188" t="s">
        <v>4799</v>
      </c>
      <c r="H1188" t="s">
        <v>4804</v>
      </c>
      <c r="I1188">
        <v>13.99</v>
      </c>
      <c r="J1188">
        <v>2</v>
      </c>
      <c r="K1188">
        <v>2.13</v>
      </c>
      <c r="L1188">
        <v>0</v>
      </c>
      <c r="M1188" t="s">
        <v>4812</v>
      </c>
      <c r="N1188" t="s">
        <v>4900</v>
      </c>
      <c r="O1188" t="s">
        <v>4912</v>
      </c>
    </row>
    <row r="1189" spans="1:15" x14ac:dyDescent="0.35">
      <c r="A1189" t="s">
        <v>1187</v>
      </c>
      <c r="B1189">
        <v>33</v>
      </c>
      <c r="C1189" t="s">
        <v>4803</v>
      </c>
      <c r="D1189" t="s">
        <v>13</v>
      </c>
      <c r="E1189">
        <v>75</v>
      </c>
      <c r="F1189">
        <v>6</v>
      </c>
      <c r="G1189" t="s">
        <v>4798</v>
      </c>
      <c r="H1189" t="s">
        <v>4805</v>
      </c>
      <c r="I1189">
        <v>13.99</v>
      </c>
      <c r="J1189">
        <v>1</v>
      </c>
      <c r="K1189">
        <v>2.5</v>
      </c>
      <c r="L1189">
        <v>0</v>
      </c>
      <c r="M1189" t="s">
        <v>4808</v>
      </c>
      <c r="N1189" t="s">
        <v>4900</v>
      </c>
      <c r="O1189" t="s">
        <v>4912</v>
      </c>
    </row>
    <row r="1190" spans="1:15" x14ac:dyDescent="0.35">
      <c r="A1190" t="s">
        <v>1188</v>
      </c>
      <c r="B1190">
        <v>35</v>
      </c>
      <c r="C1190" t="s">
        <v>4803</v>
      </c>
      <c r="D1190" t="s">
        <v>15</v>
      </c>
      <c r="E1190">
        <v>83</v>
      </c>
      <c r="F1190">
        <v>6</v>
      </c>
      <c r="G1190" t="s">
        <v>4799</v>
      </c>
      <c r="H1190" t="s">
        <v>4804</v>
      </c>
      <c r="I1190">
        <v>17.989999999999998</v>
      </c>
      <c r="J1190">
        <v>2</v>
      </c>
      <c r="K1190">
        <v>2.77</v>
      </c>
      <c r="L1190">
        <v>0</v>
      </c>
      <c r="M1190" t="s">
        <v>4808</v>
      </c>
      <c r="N1190" t="s">
        <v>4900</v>
      </c>
      <c r="O1190" t="s">
        <v>4910</v>
      </c>
    </row>
    <row r="1191" spans="1:15" x14ac:dyDescent="0.35">
      <c r="A1191" t="s">
        <v>1189</v>
      </c>
      <c r="B1191">
        <v>45</v>
      </c>
      <c r="C1191" t="s">
        <v>4803</v>
      </c>
      <c r="D1191" t="s">
        <v>13</v>
      </c>
      <c r="E1191">
        <v>78</v>
      </c>
      <c r="F1191">
        <v>21</v>
      </c>
      <c r="G1191" t="s">
        <v>4797</v>
      </c>
      <c r="H1191" t="s">
        <v>4805</v>
      </c>
      <c r="I1191">
        <v>13.99</v>
      </c>
      <c r="J1191">
        <v>1</v>
      </c>
      <c r="K1191">
        <v>2.6</v>
      </c>
      <c r="L1191">
        <v>0</v>
      </c>
      <c r="M1191" t="s">
        <v>4811</v>
      </c>
      <c r="N1191" t="s">
        <v>4900</v>
      </c>
      <c r="O1191" t="s">
        <v>4910</v>
      </c>
    </row>
    <row r="1192" spans="1:15" x14ac:dyDescent="0.35">
      <c r="A1192" t="s">
        <v>1190</v>
      </c>
      <c r="B1192">
        <v>47</v>
      </c>
      <c r="C1192" t="s">
        <v>4802</v>
      </c>
      <c r="D1192" t="s">
        <v>14</v>
      </c>
      <c r="E1192">
        <v>78</v>
      </c>
      <c r="F1192">
        <v>25</v>
      </c>
      <c r="G1192" t="s">
        <v>4798</v>
      </c>
      <c r="H1192" t="s">
        <v>4804</v>
      </c>
      <c r="I1192">
        <v>8.99</v>
      </c>
      <c r="J1192">
        <v>4</v>
      </c>
      <c r="K1192">
        <v>2.6</v>
      </c>
      <c r="L1192">
        <v>1</v>
      </c>
      <c r="M1192" t="s">
        <v>4812</v>
      </c>
      <c r="N1192" t="s">
        <v>4899</v>
      </c>
      <c r="O1192" t="s">
        <v>4910</v>
      </c>
    </row>
    <row r="1193" spans="1:15" x14ac:dyDescent="0.35">
      <c r="A1193" t="s">
        <v>1191</v>
      </c>
      <c r="B1193">
        <v>54</v>
      </c>
      <c r="C1193" t="s">
        <v>4802</v>
      </c>
      <c r="D1193" t="s">
        <v>13</v>
      </c>
      <c r="E1193">
        <v>36</v>
      </c>
      <c r="F1193">
        <v>58</v>
      </c>
      <c r="G1193" t="s">
        <v>4799</v>
      </c>
      <c r="H1193" t="s">
        <v>4805</v>
      </c>
      <c r="I1193">
        <v>13.99</v>
      </c>
      <c r="J1193">
        <v>1</v>
      </c>
      <c r="K1193">
        <v>1.2</v>
      </c>
      <c r="L1193">
        <v>1</v>
      </c>
      <c r="M1193" t="s">
        <v>4810</v>
      </c>
      <c r="N1193" t="s">
        <v>4899</v>
      </c>
      <c r="O1193" t="s">
        <v>4910</v>
      </c>
    </row>
    <row r="1194" spans="1:15" x14ac:dyDescent="0.35">
      <c r="A1194" t="s">
        <v>1192</v>
      </c>
      <c r="B1194">
        <v>27</v>
      </c>
      <c r="C1194" t="s">
        <v>4803</v>
      </c>
      <c r="D1194" t="s">
        <v>14</v>
      </c>
      <c r="E1194">
        <v>15</v>
      </c>
      <c r="F1194">
        <v>39</v>
      </c>
      <c r="G1194" t="s">
        <v>4797</v>
      </c>
      <c r="H1194" t="s">
        <v>4805</v>
      </c>
      <c r="I1194">
        <v>8.99</v>
      </c>
      <c r="J1194">
        <v>1</v>
      </c>
      <c r="K1194">
        <v>0.5</v>
      </c>
      <c r="L1194">
        <v>0</v>
      </c>
      <c r="M1194" t="s">
        <v>4811</v>
      </c>
      <c r="N1194" t="s">
        <v>4900</v>
      </c>
      <c r="O1194" t="s">
        <v>4912</v>
      </c>
    </row>
    <row r="1195" spans="1:15" x14ac:dyDescent="0.35">
      <c r="A1195" t="s">
        <v>1193</v>
      </c>
      <c r="B1195">
        <v>37</v>
      </c>
      <c r="C1195" t="s">
        <v>4802</v>
      </c>
      <c r="D1195" t="s">
        <v>15</v>
      </c>
      <c r="E1195">
        <v>69</v>
      </c>
      <c r="F1195">
        <v>24</v>
      </c>
      <c r="G1195" t="s">
        <v>4798</v>
      </c>
      <c r="H1195" t="s">
        <v>4805</v>
      </c>
      <c r="I1195">
        <v>17.989999999999998</v>
      </c>
      <c r="J1195">
        <v>4</v>
      </c>
      <c r="K1195">
        <v>2.2999999999999998</v>
      </c>
      <c r="L1195">
        <v>0</v>
      </c>
      <c r="M1195" t="s">
        <v>4809</v>
      </c>
      <c r="N1195" t="s">
        <v>4900</v>
      </c>
      <c r="O1195" t="s">
        <v>4910</v>
      </c>
    </row>
    <row r="1196" spans="1:15" x14ac:dyDescent="0.35">
      <c r="A1196" t="s">
        <v>1194</v>
      </c>
      <c r="B1196">
        <v>45</v>
      </c>
      <c r="C1196" t="s">
        <v>4803</v>
      </c>
      <c r="D1196" t="s">
        <v>13</v>
      </c>
      <c r="E1196">
        <v>67</v>
      </c>
      <c r="F1196">
        <v>14</v>
      </c>
      <c r="G1196" t="s">
        <v>4797</v>
      </c>
      <c r="H1196" t="s">
        <v>4804</v>
      </c>
      <c r="I1196">
        <v>13.99</v>
      </c>
      <c r="J1196">
        <v>2</v>
      </c>
      <c r="K1196">
        <v>2.23</v>
      </c>
      <c r="L1196">
        <v>0</v>
      </c>
      <c r="M1196" t="s">
        <v>4808</v>
      </c>
      <c r="N1196" t="s">
        <v>4900</v>
      </c>
      <c r="O1196" t="s">
        <v>4910</v>
      </c>
    </row>
    <row r="1197" spans="1:15" x14ac:dyDescent="0.35">
      <c r="A1197" t="s">
        <v>1195</v>
      </c>
      <c r="B1197">
        <v>45</v>
      </c>
      <c r="C1197" t="s">
        <v>4803</v>
      </c>
      <c r="D1197" t="s">
        <v>13</v>
      </c>
      <c r="E1197">
        <v>73</v>
      </c>
      <c r="F1197">
        <v>13</v>
      </c>
      <c r="G1197" t="s">
        <v>4799</v>
      </c>
      <c r="H1197" t="s">
        <v>4804</v>
      </c>
      <c r="I1197">
        <v>13.99</v>
      </c>
      <c r="J1197">
        <v>3</v>
      </c>
      <c r="K1197">
        <v>2.4300000000000002</v>
      </c>
      <c r="L1197">
        <v>0</v>
      </c>
      <c r="M1197" t="s">
        <v>4810</v>
      </c>
      <c r="N1197" t="s">
        <v>4900</v>
      </c>
      <c r="O1197" t="s">
        <v>4910</v>
      </c>
    </row>
    <row r="1198" spans="1:15" x14ac:dyDescent="0.35">
      <c r="A1198" t="s">
        <v>1196</v>
      </c>
      <c r="B1198">
        <v>53</v>
      </c>
      <c r="C1198" t="s">
        <v>4802</v>
      </c>
      <c r="D1198" t="s">
        <v>13</v>
      </c>
      <c r="E1198">
        <v>48</v>
      </c>
      <c r="F1198">
        <v>50</v>
      </c>
      <c r="G1198" t="s">
        <v>4798</v>
      </c>
      <c r="H1198" t="s">
        <v>4804</v>
      </c>
      <c r="I1198">
        <v>13.99</v>
      </c>
      <c r="J1198">
        <v>2</v>
      </c>
      <c r="K1198">
        <v>1.6</v>
      </c>
      <c r="L1198">
        <v>1</v>
      </c>
      <c r="M1198" t="s">
        <v>4808</v>
      </c>
      <c r="N1198" t="s">
        <v>4899</v>
      </c>
      <c r="O1198" t="s">
        <v>4910</v>
      </c>
    </row>
    <row r="1199" spans="1:15" x14ac:dyDescent="0.35">
      <c r="A1199" t="s">
        <v>1197</v>
      </c>
      <c r="B1199">
        <v>43</v>
      </c>
      <c r="C1199" t="s">
        <v>4803</v>
      </c>
      <c r="D1199" t="s">
        <v>13</v>
      </c>
      <c r="E1199">
        <v>49</v>
      </c>
      <c r="F1199">
        <v>3</v>
      </c>
      <c r="G1199" t="s">
        <v>4798</v>
      </c>
      <c r="H1199" t="s">
        <v>4805</v>
      </c>
      <c r="I1199">
        <v>13.99</v>
      </c>
      <c r="J1199">
        <v>3</v>
      </c>
      <c r="K1199">
        <v>1.63</v>
      </c>
      <c r="L1199">
        <v>0</v>
      </c>
      <c r="M1199" t="s">
        <v>4809</v>
      </c>
      <c r="N1199" t="s">
        <v>4900</v>
      </c>
      <c r="O1199" t="s">
        <v>4910</v>
      </c>
    </row>
    <row r="1200" spans="1:15" x14ac:dyDescent="0.35">
      <c r="A1200" t="s">
        <v>1198</v>
      </c>
      <c r="B1200">
        <v>22</v>
      </c>
      <c r="C1200" t="s">
        <v>4803</v>
      </c>
      <c r="D1200" t="s">
        <v>13</v>
      </c>
      <c r="E1200">
        <v>34</v>
      </c>
      <c r="F1200">
        <v>6</v>
      </c>
      <c r="G1200" t="s">
        <v>4798</v>
      </c>
      <c r="H1200" t="s">
        <v>4804</v>
      </c>
      <c r="I1200">
        <v>13.99</v>
      </c>
      <c r="J1200">
        <v>3</v>
      </c>
      <c r="K1200">
        <v>1.1299999999999999</v>
      </c>
      <c r="L1200">
        <v>1</v>
      </c>
      <c r="M1200" t="s">
        <v>4808</v>
      </c>
      <c r="N1200" t="s">
        <v>4899</v>
      </c>
      <c r="O1200" t="s">
        <v>4912</v>
      </c>
    </row>
    <row r="1201" spans="1:15" x14ac:dyDescent="0.35">
      <c r="A1201" t="s">
        <v>1199</v>
      </c>
      <c r="B1201">
        <v>19</v>
      </c>
      <c r="C1201" t="s">
        <v>4802</v>
      </c>
      <c r="D1201" t="s">
        <v>13</v>
      </c>
      <c r="E1201">
        <v>57</v>
      </c>
      <c r="F1201" t="s">
        <v>4814</v>
      </c>
      <c r="G1201" t="s">
        <v>4797</v>
      </c>
      <c r="H1201" t="s">
        <v>4804</v>
      </c>
      <c r="I1201">
        <v>13.99</v>
      </c>
      <c r="J1201">
        <v>1</v>
      </c>
      <c r="K1201">
        <v>1.9</v>
      </c>
      <c r="L1201">
        <v>1</v>
      </c>
      <c r="M1201" t="s">
        <v>4808</v>
      </c>
      <c r="N1201" t="s">
        <v>4899</v>
      </c>
      <c r="O1201" t="s">
        <v>4912</v>
      </c>
    </row>
    <row r="1202" spans="1:15" x14ac:dyDescent="0.35">
      <c r="A1202" t="s">
        <v>1200</v>
      </c>
      <c r="B1202">
        <v>41</v>
      </c>
      <c r="C1202" t="s">
        <v>4803</v>
      </c>
      <c r="D1202" t="s">
        <v>13</v>
      </c>
      <c r="E1202">
        <v>46</v>
      </c>
      <c r="F1202">
        <v>5</v>
      </c>
      <c r="G1202" t="s">
        <v>4799</v>
      </c>
      <c r="H1202" t="s">
        <v>4804</v>
      </c>
      <c r="I1202">
        <v>13.99</v>
      </c>
      <c r="J1202">
        <v>4</v>
      </c>
      <c r="K1202">
        <v>5</v>
      </c>
      <c r="L1202">
        <v>0</v>
      </c>
      <c r="M1202" t="s">
        <v>4809</v>
      </c>
      <c r="N1202" t="s">
        <v>4900</v>
      </c>
      <c r="O1202" t="s">
        <v>4910</v>
      </c>
    </row>
    <row r="1203" spans="1:15" x14ac:dyDescent="0.35">
      <c r="A1203" t="s">
        <v>1201</v>
      </c>
      <c r="B1203">
        <v>47</v>
      </c>
      <c r="C1203" t="s">
        <v>4803</v>
      </c>
      <c r="D1203" t="s">
        <v>15</v>
      </c>
      <c r="E1203">
        <v>72</v>
      </c>
      <c r="F1203">
        <v>999</v>
      </c>
      <c r="G1203" t="s">
        <v>4797</v>
      </c>
      <c r="H1203" t="s">
        <v>4806</v>
      </c>
      <c r="I1203">
        <v>17.989999999999998</v>
      </c>
      <c r="J1203">
        <v>3</v>
      </c>
      <c r="K1203">
        <v>2.4</v>
      </c>
      <c r="L1203">
        <v>0</v>
      </c>
      <c r="M1203" t="s">
        <v>4811</v>
      </c>
      <c r="N1203" t="s">
        <v>4900</v>
      </c>
      <c r="O1203" t="s">
        <v>4910</v>
      </c>
    </row>
    <row r="1204" spans="1:15" x14ac:dyDescent="0.35">
      <c r="A1204" t="s">
        <v>1202</v>
      </c>
      <c r="B1204">
        <v>34</v>
      </c>
      <c r="C1204" t="s">
        <v>4802</v>
      </c>
      <c r="D1204" t="s">
        <v>15</v>
      </c>
      <c r="E1204">
        <v>64</v>
      </c>
      <c r="F1204">
        <v>27</v>
      </c>
      <c r="G1204" t="s">
        <v>4798</v>
      </c>
      <c r="H1204" t="s">
        <v>4804</v>
      </c>
      <c r="I1204">
        <v>17.989999999999998</v>
      </c>
      <c r="J1204">
        <v>4</v>
      </c>
      <c r="K1204">
        <v>2.13</v>
      </c>
      <c r="L1204">
        <v>0</v>
      </c>
      <c r="M1204" t="s">
        <v>4808</v>
      </c>
      <c r="N1204" t="s">
        <v>4900</v>
      </c>
      <c r="O1204" t="s">
        <v>4912</v>
      </c>
    </row>
    <row r="1205" spans="1:15" x14ac:dyDescent="0.35">
      <c r="A1205" t="s">
        <v>1203</v>
      </c>
      <c r="B1205">
        <v>30</v>
      </c>
      <c r="C1205" t="s">
        <v>4803</v>
      </c>
      <c r="D1205" t="s">
        <v>13</v>
      </c>
      <c r="E1205">
        <v>41</v>
      </c>
      <c r="F1205">
        <v>15</v>
      </c>
      <c r="G1205" t="s">
        <v>4798</v>
      </c>
      <c r="H1205" t="s">
        <v>4804</v>
      </c>
      <c r="I1205">
        <v>13.99</v>
      </c>
      <c r="J1205">
        <v>1</v>
      </c>
      <c r="K1205">
        <v>1.37</v>
      </c>
      <c r="L1205">
        <v>0</v>
      </c>
      <c r="M1205" t="s">
        <v>4811</v>
      </c>
      <c r="N1205" t="s">
        <v>4900</v>
      </c>
      <c r="O1205" t="s">
        <v>4912</v>
      </c>
    </row>
    <row r="1206" spans="1:15" x14ac:dyDescent="0.35">
      <c r="A1206" t="s">
        <v>1204</v>
      </c>
      <c r="B1206">
        <v>20</v>
      </c>
      <c r="C1206" t="s">
        <v>4803</v>
      </c>
      <c r="D1206" t="s">
        <v>13</v>
      </c>
      <c r="E1206">
        <v>54</v>
      </c>
      <c r="F1206">
        <v>8</v>
      </c>
      <c r="G1206" t="s">
        <v>4800</v>
      </c>
      <c r="H1206" t="s">
        <v>4804</v>
      </c>
      <c r="I1206">
        <v>13.99</v>
      </c>
      <c r="J1206">
        <v>1</v>
      </c>
      <c r="K1206">
        <v>1.8</v>
      </c>
      <c r="L1206">
        <v>0</v>
      </c>
      <c r="M1206" t="s">
        <v>4808</v>
      </c>
      <c r="N1206" t="s">
        <v>4900</v>
      </c>
      <c r="O1206" t="s">
        <v>4912</v>
      </c>
    </row>
    <row r="1207" spans="1:15" x14ac:dyDescent="0.35">
      <c r="A1207" t="s">
        <v>1205</v>
      </c>
      <c r="B1207">
        <v>64</v>
      </c>
      <c r="C1207" t="s">
        <v>4802</v>
      </c>
      <c r="D1207" t="s">
        <v>13</v>
      </c>
      <c r="E1207">
        <v>70</v>
      </c>
      <c r="F1207">
        <v>33</v>
      </c>
      <c r="G1207" t="s">
        <v>4798</v>
      </c>
      <c r="H1207" t="s">
        <v>4804</v>
      </c>
      <c r="I1207">
        <v>13.99</v>
      </c>
      <c r="J1207">
        <v>3</v>
      </c>
      <c r="K1207">
        <v>2.33</v>
      </c>
      <c r="L1207">
        <v>0</v>
      </c>
      <c r="M1207" t="s">
        <v>4811</v>
      </c>
      <c r="N1207" t="s">
        <v>4900</v>
      </c>
      <c r="O1207" t="s">
        <v>4911</v>
      </c>
    </row>
    <row r="1208" spans="1:15" x14ac:dyDescent="0.35">
      <c r="A1208" t="s">
        <v>1206</v>
      </c>
      <c r="B1208">
        <v>58</v>
      </c>
      <c r="C1208" t="s">
        <v>4803</v>
      </c>
      <c r="D1208" t="s">
        <v>13</v>
      </c>
      <c r="E1208">
        <v>58</v>
      </c>
      <c r="F1208">
        <v>49</v>
      </c>
      <c r="G1208" t="s">
        <v>4798</v>
      </c>
      <c r="H1208" t="s">
        <v>4805</v>
      </c>
      <c r="I1208">
        <v>13.99</v>
      </c>
      <c r="J1208">
        <v>4</v>
      </c>
      <c r="K1208">
        <v>1.93</v>
      </c>
      <c r="L1208">
        <v>0</v>
      </c>
      <c r="M1208" t="s">
        <v>4811</v>
      </c>
      <c r="N1208" t="s">
        <v>4900</v>
      </c>
      <c r="O1208" t="s">
        <v>4911</v>
      </c>
    </row>
    <row r="1209" spans="1:15" x14ac:dyDescent="0.35">
      <c r="A1209" t="s">
        <v>4822</v>
      </c>
      <c r="B1209">
        <v>42</v>
      </c>
      <c r="C1209" t="s">
        <v>4803</v>
      </c>
      <c r="D1209" t="s">
        <v>13</v>
      </c>
      <c r="E1209">
        <v>53</v>
      </c>
      <c r="F1209">
        <v>3</v>
      </c>
      <c r="G1209" t="s">
        <v>4798</v>
      </c>
      <c r="H1209" t="s">
        <v>4804</v>
      </c>
      <c r="I1209">
        <v>13.99</v>
      </c>
      <c r="J1209">
        <v>3</v>
      </c>
      <c r="K1209">
        <v>1.77</v>
      </c>
      <c r="L1209">
        <v>0</v>
      </c>
      <c r="M1209" t="s">
        <v>4809</v>
      </c>
      <c r="N1209" t="s">
        <v>4900</v>
      </c>
      <c r="O1209" t="s">
        <v>4910</v>
      </c>
    </row>
    <row r="1210" spans="1:15" x14ac:dyDescent="0.35">
      <c r="A1210" t="s">
        <v>1207</v>
      </c>
      <c r="B1210">
        <v>63</v>
      </c>
      <c r="C1210" t="s">
        <v>4802</v>
      </c>
      <c r="D1210" t="s">
        <v>13</v>
      </c>
      <c r="E1210">
        <v>56</v>
      </c>
      <c r="F1210">
        <v>15</v>
      </c>
      <c r="G1210" t="s">
        <v>4797</v>
      </c>
      <c r="H1210" t="s">
        <v>4804</v>
      </c>
      <c r="I1210">
        <v>13.99</v>
      </c>
      <c r="J1210">
        <v>4</v>
      </c>
      <c r="K1210">
        <v>2.0299999999999998</v>
      </c>
      <c r="L1210">
        <v>0</v>
      </c>
      <c r="M1210" t="s">
        <v>4809</v>
      </c>
      <c r="N1210" t="s">
        <v>4900</v>
      </c>
      <c r="O1210" t="s">
        <v>4911</v>
      </c>
    </row>
    <row r="1211" spans="1:15" x14ac:dyDescent="0.35">
      <c r="A1211" t="s">
        <v>1208</v>
      </c>
      <c r="B1211">
        <v>19</v>
      </c>
      <c r="C1211" t="s">
        <v>4802</v>
      </c>
      <c r="D1211" t="s">
        <v>14</v>
      </c>
      <c r="E1211">
        <v>48</v>
      </c>
      <c r="F1211">
        <v>0</v>
      </c>
      <c r="G1211" t="s">
        <v>4799</v>
      </c>
      <c r="H1211" t="s">
        <v>4806</v>
      </c>
      <c r="I1211">
        <v>8.99</v>
      </c>
      <c r="J1211">
        <v>1</v>
      </c>
      <c r="K1211">
        <v>1.6</v>
      </c>
      <c r="L1211">
        <v>0</v>
      </c>
      <c r="M1211" t="s">
        <v>4810</v>
      </c>
      <c r="N1211" t="s">
        <v>4900</v>
      </c>
      <c r="O1211" t="s">
        <v>4912</v>
      </c>
    </row>
    <row r="1212" spans="1:15" x14ac:dyDescent="0.35">
      <c r="A1212" t="s">
        <v>1209</v>
      </c>
      <c r="B1212">
        <v>27</v>
      </c>
      <c r="C1212" t="s">
        <v>4802</v>
      </c>
      <c r="D1212" t="s">
        <v>13</v>
      </c>
      <c r="E1212">
        <v>36</v>
      </c>
      <c r="F1212">
        <v>11</v>
      </c>
      <c r="G1212" t="s">
        <v>4798</v>
      </c>
      <c r="H1212" t="s">
        <v>4806</v>
      </c>
      <c r="I1212">
        <v>13.99</v>
      </c>
      <c r="J1212">
        <v>2</v>
      </c>
      <c r="K1212">
        <v>1.2</v>
      </c>
      <c r="L1212">
        <v>0</v>
      </c>
      <c r="M1212" t="s">
        <v>4810</v>
      </c>
      <c r="N1212" t="s">
        <v>4900</v>
      </c>
      <c r="O1212" t="s">
        <v>4912</v>
      </c>
    </row>
    <row r="1213" spans="1:15" x14ac:dyDescent="0.35">
      <c r="A1213" t="s">
        <v>1210</v>
      </c>
      <c r="B1213">
        <v>41</v>
      </c>
      <c r="C1213" t="s">
        <v>4803</v>
      </c>
      <c r="D1213" t="s">
        <v>13</v>
      </c>
      <c r="E1213">
        <v>68</v>
      </c>
      <c r="F1213">
        <v>59</v>
      </c>
      <c r="G1213" t="s">
        <v>4797</v>
      </c>
      <c r="H1213" t="s">
        <v>4805</v>
      </c>
      <c r="I1213">
        <v>13.99</v>
      </c>
      <c r="J1213">
        <v>1</v>
      </c>
      <c r="K1213">
        <v>2.27</v>
      </c>
      <c r="L1213">
        <v>0</v>
      </c>
      <c r="M1213" t="s">
        <v>4808</v>
      </c>
      <c r="N1213" t="s">
        <v>4900</v>
      </c>
      <c r="O1213" t="s">
        <v>4910</v>
      </c>
    </row>
    <row r="1214" spans="1:15" x14ac:dyDescent="0.35">
      <c r="A1214" t="s">
        <v>1211</v>
      </c>
      <c r="B1214">
        <v>26</v>
      </c>
      <c r="C1214" t="s">
        <v>4802</v>
      </c>
      <c r="D1214" t="s">
        <v>13</v>
      </c>
      <c r="E1214">
        <v>53</v>
      </c>
      <c r="F1214">
        <v>28</v>
      </c>
      <c r="G1214" t="s">
        <v>4799</v>
      </c>
      <c r="H1214" t="s">
        <v>4805</v>
      </c>
      <c r="I1214">
        <v>13.99</v>
      </c>
      <c r="J1214">
        <v>1</v>
      </c>
      <c r="K1214">
        <v>1.77</v>
      </c>
      <c r="L1214">
        <v>1</v>
      </c>
      <c r="M1214" t="s">
        <v>4808</v>
      </c>
      <c r="N1214" t="s">
        <v>4899</v>
      </c>
      <c r="O1214" t="s">
        <v>4912</v>
      </c>
    </row>
    <row r="1215" spans="1:15" x14ac:dyDescent="0.35">
      <c r="A1215" t="s">
        <v>1212</v>
      </c>
      <c r="B1215">
        <v>27</v>
      </c>
      <c r="C1215" t="s">
        <v>4803</v>
      </c>
      <c r="D1215" t="s">
        <v>15</v>
      </c>
      <c r="E1215">
        <v>59</v>
      </c>
      <c r="F1215">
        <v>44</v>
      </c>
      <c r="G1215" t="s">
        <v>4798</v>
      </c>
      <c r="H1215" t="s">
        <v>4804</v>
      </c>
      <c r="I1215">
        <v>17.989999999999998</v>
      </c>
      <c r="J1215">
        <v>3</v>
      </c>
      <c r="K1215">
        <v>1.97</v>
      </c>
      <c r="L1215">
        <v>1</v>
      </c>
      <c r="M1215" t="s">
        <v>4812</v>
      </c>
      <c r="N1215" t="s">
        <v>4899</v>
      </c>
      <c r="O1215" t="s">
        <v>4912</v>
      </c>
    </row>
    <row r="1216" spans="1:15" x14ac:dyDescent="0.35">
      <c r="A1216" t="s">
        <v>1213</v>
      </c>
      <c r="B1216">
        <v>57</v>
      </c>
      <c r="C1216" t="s">
        <v>4803</v>
      </c>
      <c r="D1216" t="s">
        <v>13</v>
      </c>
      <c r="E1216">
        <v>52</v>
      </c>
      <c r="F1216">
        <v>8</v>
      </c>
      <c r="G1216" t="s">
        <v>4799</v>
      </c>
      <c r="H1216" t="s">
        <v>4804</v>
      </c>
      <c r="I1216">
        <v>13.99</v>
      </c>
      <c r="J1216">
        <v>3</v>
      </c>
      <c r="K1216">
        <v>2.0299999999999998</v>
      </c>
      <c r="L1216">
        <v>0</v>
      </c>
      <c r="M1216" t="s">
        <v>4810</v>
      </c>
      <c r="N1216" t="s">
        <v>4900</v>
      </c>
      <c r="O1216" t="s">
        <v>4911</v>
      </c>
    </row>
    <row r="1217" spans="1:15" x14ac:dyDescent="0.35">
      <c r="A1217" t="s">
        <v>1214</v>
      </c>
      <c r="B1217">
        <v>60</v>
      </c>
      <c r="C1217" t="s">
        <v>4802</v>
      </c>
      <c r="D1217" t="s">
        <v>15</v>
      </c>
      <c r="E1217">
        <v>68</v>
      </c>
      <c r="F1217">
        <v>56</v>
      </c>
      <c r="G1217" t="s">
        <v>4798</v>
      </c>
      <c r="H1217" t="s">
        <v>4804</v>
      </c>
      <c r="I1217">
        <v>17.989999999999998</v>
      </c>
      <c r="J1217">
        <v>3</v>
      </c>
      <c r="K1217">
        <v>2.27</v>
      </c>
      <c r="L1217">
        <v>0</v>
      </c>
      <c r="M1217" t="s">
        <v>4812</v>
      </c>
      <c r="N1217" t="s">
        <v>4900</v>
      </c>
      <c r="O1217" t="s">
        <v>4911</v>
      </c>
    </row>
    <row r="1218" spans="1:15" x14ac:dyDescent="0.35">
      <c r="A1218" t="s">
        <v>1215</v>
      </c>
      <c r="B1218">
        <v>62</v>
      </c>
      <c r="C1218" t="s">
        <v>4803</v>
      </c>
      <c r="D1218" t="s">
        <v>15</v>
      </c>
      <c r="E1218">
        <v>107</v>
      </c>
      <c r="F1218">
        <v>2</v>
      </c>
      <c r="G1218" t="s">
        <v>4799</v>
      </c>
      <c r="H1218" t="s">
        <v>4805</v>
      </c>
      <c r="I1218">
        <v>17.989999999999998</v>
      </c>
      <c r="J1218">
        <v>5</v>
      </c>
      <c r="K1218">
        <v>3.57</v>
      </c>
      <c r="L1218">
        <v>0</v>
      </c>
      <c r="M1218" t="s">
        <v>4809</v>
      </c>
      <c r="N1218" t="s">
        <v>4900</v>
      </c>
      <c r="O1218" t="s">
        <v>4911</v>
      </c>
    </row>
    <row r="1219" spans="1:15" x14ac:dyDescent="0.35">
      <c r="A1219" t="s">
        <v>1216</v>
      </c>
      <c r="B1219">
        <v>31</v>
      </c>
      <c r="C1219" t="s">
        <v>4802</v>
      </c>
      <c r="D1219" t="s">
        <v>13</v>
      </c>
      <c r="E1219">
        <v>67</v>
      </c>
      <c r="F1219">
        <v>30</v>
      </c>
      <c r="G1219" t="s">
        <v>4801</v>
      </c>
      <c r="H1219" t="s">
        <v>4807</v>
      </c>
      <c r="I1219">
        <v>13.99</v>
      </c>
      <c r="J1219">
        <v>1</v>
      </c>
      <c r="K1219">
        <v>2.23</v>
      </c>
      <c r="L1219">
        <v>0</v>
      </c>
      <c r="M1219" t="s">
        <v>4812</v>
      </c>
      <c r="N1219" t="s">
        <v>4900</v>
      </c>
      <c r="O1219" t="s">
        <v>4912</v>
      </c>
    </row>
    <row r="1220" spans="1:15" x14ac:dyDescent="0.35">
      <c r="A1220" t="s">
        <v>1217</v>
      </c>
      <c r="B1220">
        <v>20</v>
      </c>
      <c r="C1220" t="s">
        <v>4802</v>
      </c>
      <c r="D1220" t="s">
        <v>15</v>
      </c>
      <c r="E1220">
        <v>77</v>
      </c>
      <c r="F1220">
        <v>10</v>
      </c>
      <c r="G1220" t="s">
        <v>4799</v>
      </c>
      <c r="H1220" t="s">
        <v>4804</v>
      </c>
      <c r="I1220">
        <v>17.989999999999998</v>
      </c>
      <c r="J1220">
        <v>5</v>
      </c>
      <c r="K1220">
        <v>2.57</v>
      </c>
      <c r="L1220">
        <v>0</v>
      </c>
      <c r="M1220" t="s">
        <v>4809</v>
      </c>
      <c r="N1220" t="s">
        <v>4900</v>
      </c>
      <c r="O1220" t="s">
        <v>4912</v>
      </c>
    </row>
    <row r="1221" spans="1:15" x14ac:dyDescent="0.35">
      <c r="A1221" t="s">
        <v>1218</v>
      </c>
      <c r="B1221">
        <v>33</v>
      </c>
      <c r="C1221" t="s">
        <v>4803</v>
      </c>
      <c r="D1221" t="s">
        <v>13</v>
      </c>
      <c r="E1221">
        <v>62</v>
      </c>
      <c r="F1221">
        <v>43</v>
      </c>
      <c r="G1221" t="s">
        <v>4800</v>
      </c>
      <c r="H1221" t="s">
        <v>4805</v>
      </c>
      <c r="I1221">
        <v>13.99</v>
      </c>
      <c r="J1221">
        <v>2</v>
      </c>
      <c r="K1221">
        <v>2.0699999999999998</v>
      </c>
      <c r="L1221">
        <v>1</v>
      </c>
      <c r="M1221" t="s">
        <v>4809</v>
      </c>
      <c r="N1221" t="s">
        <v>4899</v>
      </c>
      <c r="O1221" t="s">
        <v>4912</v>
      </c>
    </row>
    <row r="1222" spans="1:15" x14ac:dyDescent="0.35">
      <c r="A1222" t="s">
        <v>1219</v>
      </c>
      <c r="B1222">
        <v>19</v>
      </c>
      <c r="C1222" t="s">
        <v>4803</v>
      </c>
      <c r="D1222" t="s">
        <v>13</v>
      </c>
      <c r="E1222">
        <v>72</v>
      </c>
      <c r="F1222">
        <v>35</v>
      </c>
      <c r="G1222" t="s">
        <v>4798</v>
      </c>
      <c r="H1222" t="s">
        <v>4806</v>
      </c>
      <c r="I1222">
        <v>13.99</v>
      </c>
      <c r="J1222">
        <v>3</v>
      </c>
      <c r="K1222">
        <v>2.0299999999999998</v>
      </c>
      <c r="L1222">
        <v>0</v>
      </c>
      <c r="M1222" t="s">
        <v>4809</v>
      </c>
      <c r="N1222" t="s">
        <v>4900</v>
      </c>
      <c r="O1222" t="s">
        <v>4912</v>
      </c>
    </row>
    <row r="1223" spans="1:15" x14ac:dyDescent="0.35">
      <c r="A1223" t="s">
        <v>4858</v>
      </c>
      <c r="B1223">
        <v>22</v>
      </c>
      <c r="C1223" t="s">
        <v>4803</v>
      </c>
      <c r="D1223" t="s">
        <v>15</v>
      </c>
      <c r="E1223">
        <v>82</v>
      </c>
      <c r="F1223">
        <v>24</v>
      </c>
      <c r="G1223" t="s">
        <v>4799</v>
      </c>
      <c r="H1223" t="s">
        <v>4804</v>
      </c>
      <c r="I1223">
        <v>17.989999999999998</v>
      </c>
      <c r="J1223">
        <v>3</v>
      </c>
      <c r="K1223">
        <v>2.73</v>
      </c>
      <c r="L1223">
        <v>0</v>
      </c>
      <c r="M1223" t="s">
        <v>4811</v>
      </c>
      <c r="N1223" t="s">
        <v>4900</v>
      </c>
      <c r="O1223" t="s">
        <v>4912</v>
      </c>
    </row>
    <row r="1224" spans="1:15" x14ac:dyDescent="0.35">
      <c r="A1224" t="s">
        <v>1220</v>
      </c>
      <c r="B1224">
        <v>54</v>
      </c>
      <c r="C1224" t="s">
        <v>4803</v>
      </c>
      <c r="D1224" t="s">
        <v>13</v>
      </c>
      <c r="E1224">
        <v>73</v>
      </c>
      <c r="F1224">
        <v>56</v>
      </c>
      <c r="G1224" t="s">
        <v>4798</v>
      </c>
      <c r="H1224" t="s">
        <v>4804</v>
      </c>
      <c r="I1224">
        <v>13.99</v>
      </c>
      <c r="J1224">
        <v>4</v>
      </c>
      <c r="K1224">
        <v>2.4300000000000002</v>
      </c>
      <c r="L1224">
        <v>1</v>
      </c>
      <c r="M1224" t="s">
        <v>4809</v>
      </c>
      <c r="N1224" t="s">
        <v>4899</v>
      </c>
      <c r="O1224" t="s">
        <v>4910</v>
      </c>
    </row>
    <row r="1225" spans="1:15" x14ac:dyDescent="0.35">
      <c r="A1225" t="s">
        <v>1221</v>
      </c>
      <c r="B1225">
        <v>22</v>
      </c>
      <c r="C1225" t="s">
        <v>4803</v>
      </c>
      <c r="D1225" t="s">
        <v>15</v>
      </c>
      <c r="E1225">
        <v>114</v>
      </c>
      <c r="F1225">
        <v>4</v>
      </c>
      <c r="G1225" t="s">
        <v>4798</v>
      </c>
      <c r="H1225" t="s">
        <v>4805</v>
      </c>
      <c r="I1225">
        <v>17.989999999999998</v>
      </c>
      <c r="J1225">
        <v>3</v>
      </c>
      <c r="K1225">
        <v>3.8</v>
      </c>
      <c r="L1225">
        <v>0</v>
      </c>
      <c r="M1225" t="s">
        <v>4808</v>
      </c>
      <c r="N1225" t="s">
        <v>4900</v>
      </c>
      <c r="O1225" t="s">
        <v>4912</v>
      </c>
    </row>
    <row r="1226" spans="1:15" x14ac:dyDescent="0.35">
      <c r="A1226" t="s">
        <v>1222</v>
      </c>
      <c r="B1226">
        <v>38</v>
      </c>
      <c r="C1226" t="s">
        <v>4802</v>
      </c>
      <c r="D1226" t="s">
        <v>15</v>
      </c>
      <c r="E1226">
        <v>72</v>
      </c>
      <c r="F1226">
        <v>1</v>
      </c>
      <c r="G1226" t="s">
        <v>4797</v>
      </c>
      <c r="H1226" t="s">
        <v>4806</v>
      </c>
      <c r="I1226">
        <v>17.989999999999998</v>
      </c>
      <c r="J1226">
        <v>4</v>
      </c>
      <c r="K1226">
        <v>2.4</v>
      </c>
      <c r="L1226">
        <v>0</v>
      </c>
      <c r="M1226" t="s">
        <v>4810</v>
      </c>
      <c r="N1226" t="s">
        <v>4900</v>
      </c>
      <c r="O1226" t="s">
        <v>4910</v>
      </c>
    </row>
    <row r="1227" spans="1:15" x14ac:dyDescent="0.35">
      <c r="A1227" t="s">
        <v>1223</v>
      </c>
      <c r="B1227">
        <v>49</v>
      </c>
      <c r="C1227" t="s">
        <v>4802</v>
      </c>
      <c r="D1227" t="s">
        <v>14</v>
      </c>
      <c r="E1227">
        <v>48</v>
      </c>
      <c r="F1227">
        <v>31</v>
      </c>
      <c r="G1227" t="s">
        <v>4801</v>
      </c>
      <c r="H1227" t="s">
        <v>4804</v>
      </c>
      <c r="I1227">
        <v>8.99</v>
      </c>
      <c r="J1227">
        <v>1</v>
      </c>
      <c r="K1227">
        <v>1.6</v>
      </c>
      <c r="L1227">
        <v>1</v>
      </c>
      <c r="M1227" t="s">
        <v>4809</v>
      </c>
      <c r="N1227" t="s">
        <v>4899</v>
      </c>
      <c r="O1227" t="s">
        <v>4910</v>
      </c>
    </row>
    <row r="1228" spans="1:15" x14ac:dyDescent="0.35">
      <c r="A1228" t="s">
        <v>1224</v>
      </c>
      <c r="B1228">
        <v>40</v>
      </c>
      <c r="C1228" t="s">
        <v>4803</v>
      </c>
      <c r="D1228" t="s">
        <v>15</v>
      </c>
      <c r="E1228">
        <v>50</v>
      </c>
      <c r="F1228">
        <v>14</v>
      </c>
      <c r="G1228" t="s">
        <v>4800</v>
      </c>
      <c r="H1228" t="s">
        <v>4805</v>
      </c>
      <c r="I1228">
        <v>17.989999999999998</v>
      </c>
      <c r="J1228">
        <v>5</v>
      </c>
      <c r="K1228">
        <v>1.67</v>
      </c>
      <c r="L1228">
        <v>0</v>
      </c>
      <c r="M1228" t="s">
        <v>4812</v>
      </c>
      <c r="N1228" t="s">
        <v>4900</v>
      </c>
      <c r="O1228" t="s">
        <v>4910</v>
      </c>
    </row>
    <row r="1229" spans="1:15" x14ac:dyDescent="0.35">
      <c r="A1229" t="s">
        <v>1225</v>
      </c>
      <c r="B1229">
        <v>20</v>
      </c>
      <c r="C1229" t="s">
        <v>4803</v>
      </c>
      <c r="D1229" t="s">
        <v>13</v>
      </c>
      <c r="E1229">
        <v>70</v>
      </c>
      <c r="F1229">
        <v>19</v>
      </c>
      <c r="G1229" t="s">
        <v>4798</v>
      </c>
      <c r="H1229" t="s">
        <v>4804</v>
      </c>
      <c r="I1229">
        <v>13.99</v>
      </c>
      <c r="J1229">
        <v>2</v>
      </c>
      <c r="K1229">
        <v>2.33</v>
      </c>
      <c r="L1229">
        <v>0</v>
      </c>
      <c r="M1229" t="s">
        <v>4810</v>
      </c>
      <c r="N1229" t="s">
        <v>4900</v>
      </c>
      <c r="O1229" t="s">
        <v>4912</v>
      </c>
    </row>
    <row r="1230" spans="1:15" x14ac:dyDescent="0.35">
      <c r="A1230" t="s">
        <v>1226</v>
      </c>
      <c r="B1230">
        <v>48</v>
      </c>
      <c r="C1230" t="s">
        <v>4803</v>
      </c>
      <c r="D1230" t="s">
        <v>13</v>
      </c>
      <c r="E1230">
        <v>44</v>
      </c>
      <c r="F1230">
        <v>0</v>
      </c>
      <c r="G1230" t="s">
        <v>4799</v>
      </c>
      <c r="H1230" t="s">
        <v>4805</v>
      </c>
      <c r="I1230">
        <v>13.99</v>
      </c>
      <c r="J1230">
        <v>4</v>
      </c>
      <c r="K1230">
        <v>1.47</v>
      </c>
      <c r="L1230">
        <v>0</v>
      </c>
      <c r="M1230" t="s">
        <v>4812</v>
      </c>
      <c r="N1230" t="s">
        <v>4900</v>
      </c>
      <c r="O1230" t="s">
        <v>4910</v>
      </c>
    </row>
    <row r="1231" spans="1:15" x14ac:dyDescent="0.35">
      <c r="A1231" t="s">
        <v>1227</v>
      </c>
      <c r="B1231">
        <v>44</v>
      </c>
      <c r="C1231" t="s">
        <v>4803</v>
      </c>
      <c r="D1231" t="s">
        <v>13</v>
      </c>
      <c r="E1231">
        <v>44</v>
      </c>
      <c r="F1231">
        <v>29</v>
      </c>
      <c r="G1231" t="s">
        <v>4798</v>
      </c>
      <c r="H1231" t="s">
        <v>4804</v>
      </c>
      <c r="I1231">
        <v>13.99</v>
      </c>
      <c r="J1231">
        <v>3</v>
      </c>
      <c r="K1231">
        <v>1.47</v>
      </c>
      <c r="L1231">
        <v>1</v>
      </c>
      <c r="M1231" t="s">
        <v>4809</v>
      </c>
      <c r="N1231" t="s">
        <v>4899</v>
      </c>
      <c r="O1231" t="s">
        <v>4910</v>
      </c>
    </row>
    <row r="1232" spans="1:15" x14ac:dyDescent="0.35">
      <c r="A1232" t="s">
        <v>1228</v>
      </c>
      <c r="B1232">
        <v>56</v>
      </c>
      <c r="C1232" t="s">
        <v>4803</v>
      </c>
      <c r="D1232" t="s">
        <v>15</v>
      </c>
      <c r="E1232">
        <v>50</v>
      </c>
      <c r="F1232">
        <v>30</v>
      </c>
      <c r="G1232" t="s">
        <v>4797</v>
      </c>
      <c r="H1232" t="s">
        <v>4805</v>
      </c>
      <c r="I1232">
        <v>17.989999999999998</v>
      </c>
      <c r="J1232">
        <v>4</v>
      </c>
      <c r="K1232">
        <v>1.67</v>
      </c>
      <c r="L1232">
        <v>1</v>
      </c>
      <c r="M1232" t="s">
        <v>4812</v>
      </c>
      <c r="N1232" t="s">
        <v>4899</v>
      </c>
      <c r="O1232" t="s">
        <v>4911</v>
      </c>
    </row>
    <row r="1233" spans="1:15" x14ac:dyDescent="0.35">
      <c r="A1233" t="s">
        <v>1229</v>
      </c>
      <c r="B1233">
        <v>55</v>
      </c>
      <c r="C1233" t="s">
        <v>4803</v>
      </c>
      <c r="D1233" t="s">
        <v>13</v>
      </c>
      <c r="E1233">
        <v>55</v>
      </c>
      <c r="F1233">
        <v>5</v>
      </c>
      <c r="G1233" t="s">
        <v>4798</v>
      </c>
      <c r="H1233" t="s">
        <v>4804</v>
      </c>
      <c r="I1233">
        <v>13.99</v>
      </c>
      <c r="J1233">
        <v>1</v>
      </c>
      <c r="K1233">
        <v>5</v>
      </c>
      <c r="L1233">
        <v>1</v>
      </c>
      <c r="M1233" t="s">
        <v>4810</v>
      </c>
      <c r="N1233" t="s">
        <v>4899</v>
      </c>
      <c r="O1233" t="s">
        <v>4911</v>
      </c>
    </row>
    <row r="1234" spans="1:15" x14ac:dyDescent="0.35">
      <c r="A1234" t="s">
        <v>1230</v>
      </c>
      <c r="B1234">
        <v>18</v>
      </c>
      <c r="C1234" t="s">
        <v>4802</v>
      </c>
      <c r="D1234" t="s">
        <v>13</v>
      </c>
      <c r="E1234">
        <v>63</v>
      </c>
      <c r="F1234">
        <v>3</v>
      </c>
      <c r="G1234" t="s">
        <v>4799</v>
      </c>
      <c r="H1234" t="s">
        <v>4806</v>
      </c>
      <c r="I1234">
        <v>13.99</v>
      </c>
      <c r="J1234">
        <v>4</v>
      </c>
      <c r="K1234">
        <v>2.1</v>
      </c>
      <c r="L1234">
        <v>0</v>
      </c>
      <c r="M1234" t="s">
        <v>4812</v>
      </c>
      <c r="N1234" t="s">
        <v>4900</v>
      </c>
      <c r="O1234" t="s">
        <v>4912</v>
      </c>
    </row>
    <row r="1235" spans="1:15" x14ac:dyDescent="0.35">
      <c r="A1235" t="s">
        <v>1231</v>
      </c>
      <c r="B1235">
        <v>50</v>
      </c>
      <c r="C1235" t="s">
        <v>4803</v>
      </c>
      <c r="D1235" t="s">
        <v>15</v>
      </c>
      <c r="E1235">
        <v>52</v>
      </c>
      <c r="F1235">
        <v>54</v>
      </c>
      <c r="G1235" t="s">
        <v>4800</v>
      </c>
      <c r="H1235" t="s">
        <v>4805</v>
      </c>
      <c r="I1235">
        <v>17.989999999999998</v>
      </c>
      <c r="J1235">
        <v>3</v>
      </c>
      <c r="K1235">
        <v>1.73</v>
      </c>
      <c r="L1235">
        <v>0</v>
      </c>
      <c r="M1235" t="s">
        <v>4812</v>
      </c>
      <c r="N1235" t="s">
        <v>4900</v>
      </c>
      <c r="O1235" t="s">
        <v>4910</v>
      </c>
    </row>
    <row r="1236" spans="1:15" x14ac:dyDescent="0.35">
      <c r="A1236" t="s">
        <v>1232</v>
      </c>
      <c r="B1236">
        <v>62</v>
      </c>
      <c r="C1236" t="s">
        <v>4802</v>
      </c>
      <c r="D1236" t="s">
        <v>15</v>
      </c>
      <c r="E1236">
        <v>73</v>
      </c>
      <c r="F1236">
        <v>40</v>
      </c>
      <c r="G1236" t="s">
        <v>4799</v>
      </c>
      <c r="H1236" t="s">
        <v>4805</v>
      </c>
      <c r="I1236">
        <v>17.989999999999998</v>
      </c>
      <c r="J1236">
        <v>5</v>
      </c>
      <c r="K1236">
        <v>2.4300000000000002</v>
      </c>
      <c r="L1236">
        <v>0</v>
      </c>
      <c r="M1236" t="s">
        <v>4812</v>
      </c>
      <c r="N1236" t="s">
        <v>4900</v>
      </c>
      <c r="O1236" t="s">
        <v>4911</v>
      </c>
    </row>
    <row r="1237" spans="1:15" x14ac:dyDescent="0.35">
      <c r="A1237" t="s">
        <v>1233</v>
      </c>
      <c r="B1237">
        <v>56</v>
      </c>
      <c r="C1237" t="s">
        <v>4802</v>
      </c>
      <c r="D1237" t="s">
        <v>13</v>
      </c>
      <c r="E1237">
        <v>31</v>
      </c>
      <c r="F1237">
        <v>28</v>
      </c>
      <c r="G1237" t="s">
        <v>4797</v>
      </c>
      <c r="H1237" t="s">
        <v>4805</v>
      </c>
      <c r="I1237">
        <v>13.99</v>
      </c>
      <c r="J1237">
        <v>2</v>
      </c>
      <c r="K1237">
        <v>2.0299999999999998</v>
      </c>
      <c r="L1237">
        <v>0</v>
      </c>
      <c r="M1237" t="s">
        <v>4811</v>
      </c>
      <c r="N1237" t="s">
        <v>4900</v>
      </c>
      <c r="O1237" t="s">
        <v>4911</v>
      </c>
    </row>
    <row r="1238" spans="1:15" x14ac:dyDescent="0.35">
      <c r="A1238" t="s">
        <v>1234</v>
      </c>
      <c r="B1238">
        <v>26</v>
      </c>
      <c r="C1238" t="s">
        <v>4802</v>
      </c>
      <c r="D1238" t="s">
        <v>14</v>
      </c>
      <c r="E1238">
        <v>40</v>
      </c>
      <c r="F1238">
        <v>5</v>
      </c>
      <c r="G1238" t="s">
        <v>4799</v>
      </c>
      <c r="H1238" t="s">
        <v>4805</v>
      </c>
      <c r="I1238">
        <v>8.99</v>
      </c>
      <c r="J1238">
        <v>1</v>
      </c>
      <c r="K1238">
        <v>1.33</v>
      </c>
      <c r="L1238">
        <v>0</v>
      </c>
      <c r="M1238" t="s">
        <v>4808</v>
      </c>
      <c r="N1238" t="s">
        <v>4900</v>
      </c>
      <c r="O1238" t="s">
        <v>4912</v>
      </c>
    </row>
    <row r="1239" spans="1:15" x14ac:dyDescent="0.35">
      <c r="A1239" t="s">
        <v>1235</v>
      </c>
      <c r="B1239">
        <v>55</v>
      </c>
      <c r="C1239" t="s">
        <v>4803</v>
      </c>
      <c r="D1239" t="s">
        <v>13</v>
      </c>
      <c r="E1239">
        <v>53</v>
      </c>
      <c r="F1239">
        <v>57</v>
      </c>
      <c r="G1239" t="s">
        <v>4799</v>
      </c>
      <c r="H1239" t="s">
        <v>4804</v>
      </c>
      <c r="I1239">
        <v>13.99</v>
      </c>
      <c r="J1239">
        <v>2</v>
      </c>
      <c r="K1239">
        <v>1.77</v>
      </c>
      <c r="L1239">
        <v>0</v>
      </c>
      <c r="M1239" t="s">
        <v>4808</v>
      </c>
      <c r="N1239" t="s">
        <v>4900</v>
      </c>
      <c r="O1239" t="s">
        <v>4911</v>
      </c>
    </row>
    <row r="1240" spans="1:15" x14ac:dyDescent="0.35">
      <c r="A1240" t="s">
        <v>1236</v>
      </c>
      <c r="B1240">
        <v>59</v>
      </c>
      <c r="C1240" t="s">
        <v>4802</v>
      </c>
      <c r="D1240" t="s">
        <v>13</v>
      </c>
      <c r="E1240">
        <v>61</v>
      </c>
      <c r="F1240">
        <v>2</v>
      </c>
      <c r="G1240" t="s">
        <v>4799</v>
      </c>
      <c r="H1240" t="s">
        <v>4805</v>
      </c>
      <c r="I1240">
        <v>13.99</v>
      </c>
      <c r="J1240">
        <v>1</v>
      </c>
      <c r="K1240">
        <v>2.0299999999999998</v>
      </c>
      <c r="L1240">
        <v>0</v>
      </c>
      <c r="M1240" t="s">
        <v>4808</v>
      </c>
      <c r="N1240" t="s">
        <v>4900</v>
      </c>
      <c r="O1240" t="s">
        <v>4911</v>
      </c>
    </row>
    <row r="1241" spans="1:15" x14ac:dyDescent="0.35">
      <c r="A1241" t="s">
        <v>1237</v>
      </c>
      <c r="B1241">
        <v>47</v>
      </c>
      <c r="C1241" t="s">
        <v>4802</v>
      </c>
      <c r="D1241" t="s">
        <v>13</v>
      </c>
      <c r="E1241">
        <v>62</v>
      </c>
      <c r="F1241">
        <v>42</v>
      </c>
      <c r="G1241" t="s">
        <v>4798</v>
      </c>
      <c r="H1241" t="s">
        <v>4804</v>
      </c>
      <c r="I1241">
        <v>13.99</v>
      </c>
      <c r="J1241">
        <v>1</v>
      </c>
      <c r="K1241">
        <v>2.0699999999999998</v>
      </c>
      <c r="L1241">
        <v>0</v>
      </c>
      <c r="M1241" t="s">
        <v>4809</v>
      </c>
      <c r="N1241" t="s">
        <v>4900</v>
      </c>
      <c r="O1241" t="s">
        <v>4910</v>
      </c>
    </row>
    <row r="1242" spans="1:15" x14ac:dyDescent="0.35">
      <c r="A1242" t="s">
        <v>1238</v>
      </c>
      <c r="B1242">
        <v>59</v>
      </c>
      <c r="C1242" t="s">
        <v>4803</v>
      </c>
      <c r="D1242" t="s">
        <v>13</v>
      </c>
      <c r="E1242">
        <v>37</v>
      </c>
      <c r="F1242">
        <v>26</v>
      </c>
      <c r="G1242" t="s">
        <v>4799</v>
      </c>
      <c r="H1242" t="s">
        <v>4804</v>
      </c>
      <c r="I1242">
        <v>13.99</v>
      </c>
      <c r="J1242">
        <v>4</v>
      </c>
      <c r="K1242">
        <v>1.23</v>
      </c>
      <c r="L1242">
        <v>1</v>
      </c>
      <c r="M1242" t="s">
        <v>4810</v>
      </c>
      <c r="N1242" t="s">
        <v>4899</v>
      </c>
      <c r="O1242" t="s">
        <v>4911</v>
      </c>
    </row>
    <row r="1243" spans="1:15" x14ac:dyDescent="0.35">
      <c r="A1243" t="s">
        <v>1239</v>
      </c>
      <c r="B1243">
        <v>23</v>
      </c>
      <c r="C1243" t="s">
        <v>4802</v>
      </c>
      <c r="D1243" t="s">
        <v>15</v>
      </c>
      <c r="E1243">
        <v>107</v>
      </c>
      <c r="F1243">
        <v>52</v>
      </c>
      <c r="G1243" t="s">
        <v>4798</v>
      </c>
      <c r="H1243" t="s">
        <v>4805</v>
      </c>
      <c r="I1243">
        <v>17.989999999999998</v>
      </c>
      <c r="J1243">
        <v>2</v>
      </c>
      <c r="K1243">
        <v>3.57</v>
      </c>
      <c r="L1243">
        <v>0</v>
      </c>
      <c r="M1243" t="s">
        <v>4811</v>
      </c>
      <c r="N1243" t="s">
        <v>4900</v>
      </c>
      <c r="O1243" t="s">
        <v>4912</v>
      </c>
    </row>
    <row r="1244" spans="1:15" x14ac:dyDescent="0.35">
      <c r="A1244" t="s">
        <v>1240</v>
      </c>
      <c r="B1244">
        <v>36</v>
      </c>
      <c r="C1244" t="s">
        <v>4803</v>
      </c>
      <c r="D1244" t="s">
        <v>13</v>
      </c>
      <c r="E1244">
        <v>32</v>
      </c>
      <c r="F1244">
        <v>15</v>
      </c>
      <c r="G1244" t="s">
        <v>4798</v>
      </c>
      <c r="H1244" t="s">
        <v>4805</v>
      </c>
      <c r="I1244">
        <v>13.99</v>
      </c>
      <c r="J1244">
        <v>4</v>
      </c>
      <c r="K1244">
        <v>1.07</v>
      </c>
      <c r="L1244">
        <v>0</v>
      </c>
      <c r="M1244" t="s">
        <v>4811</v>
      </c>
      <c r="N1244" t="s">
        <v>4900</v>
      </c>
      <c r="O1244" t="s">
        <v>4910</v>
      </c>
    </row>
    <row r="1245" spans="1:15" x14ac:dyDescent="0.35">
      <c r="A1245" t="s">
        <v>1241</v>
      </c>
      <c r="B1245">
        <v>57</v>
      </c>
      <c r="C1245" t="s">
        <v>4802</v>
      </c>
      <c r="D1245" t="s">
        <v>13</v>
      </c>
      <c r="E1245">
        <v>48</v>
      </c>
      <c r="F1245">
        <v>23</v>
      </c>
      <c r="G1245" t="s">
        <v>4798</v>
      </c>
      <c r="H1245" t="s">
        <v>4804</v>
      </c>
      <c r="I1245">
        <v>13.99</v>
      </c>
      <c r="J1245">
        <v>2</v>
      </c>
      <c r="K1245">
        <v>1.6</v>
      </c>
      <c r="L1245">
        <v>0</v>
      </c>
      <c r="M1245" t="s">
        <v>4808</v>
      </c>
      <c r="N1245" t="s">
        <v>4900</v>
      </c>
      <c r="O1245" t="s">
        <v>4911</v>
      </c>
    </row>
    <row r="1246" spans="1:15" x14ac:dyDescent="0.35">
      <c r="A1246" t="s">
        <v>1242</v>
      </c>
      <c r="B1246">
        <v>45</v>
      </c>
      <c r="C1246" t="s">
        <v>4803</v>
      </c>
      <c r="D1246" t="s">
        <v>14</v>
      </c>
      <c r="E1246">
        <v>37</v>
      </c>
      <c r="F1246">
        <v>0</v>
      </c>
      <c r="G1246" t="s">
        <v>4798</v>
      </c>
      <c r="H1246" t="s">
        <v>4805</v>
      </c>
      <c r="I1246">
        <v>8.99</v>
      </c>
      <c r="J1246">
        <v>1</v>
      </c>
      <c r="K1246">
        <v>1.23</v>
      </c>
      <c r="L1246">
        <v>0</v>
      </c>
      <c r="M1246" t="s">
        <v>4808</v>
      </c>
      <c r="N1246" t="s">
        <v>4900</v>
      </c>
      <c r="O1246" t="s">
        <v>4910</v>
      </c>
    </row>
    <row r="1247" spans="1:15" x14ac:dyDescent="0.35">
      <c r="A1247" t="s">
        <v>1243</v>
      </c>
      <c r="B1247">
        <v>34</v>
      </c>
      <c r="C1247" t="s">
        <v>4802</v>
      </c>
      <c r="D1247" t="s">
        <v>13</v>
      </c>
      <c r="E1247">
        <v>60</v>
      </c>
      <c r="F1247" t="s">
        <v>4814</v>
      </c>
      <c r="G1247" t="s">
        <v>4797</v>
      </c>
      <c r="H1247" t="s">
        <v>4804</v>
      </c>
      <c r="I1247">
        <v>13.99</v>
      </c>
      <c r="J1247">
        <v>3</v>
      </c>
      <c r="K1247">
        <v>2</v>
      </c>
      <c r="L1247">
        <v>0</v>
      </c>
      <c r="M1247" t="s">
        <v>4810</v>
      </c>
      <c r="N1247" t="s">
        <v>4900</v>
      </c>
      <c r="O1247" t="s">
        <v>4912</v>
      </c>
    </row>
    <row r="1248" spans="1:15" x14ac:dyDescent="0.35">
      <c r="A1248" t="s">
        <v>1244</v>
      </c>
      <c r="B1248">
        <v>35</v>
      </c>
      <c r="C1248" t="s">
        <v>4803</v>
      </c>
      <c r="D1248" t="s">
        <v>13</v>
      </c>
      <c r="E1248">
        <v>44</v>
      </c>
      <c r="F1248">
        <v>41</v>
      </c>
      <c r="G1248" t="s">
        <v>4798</v>
      </c>
      <c r="H1248" t="s">
        <v>4805</v>
      </c>
      <c r="I1248">
        <v>13.99</v>
      </c>
      <c r="J1248">
        <v>2</v>
      </c>
      <c r="K1248">
        <v>1.47</v>
      </c>
      <c r="L1248">
        <v>0</v>
      </c>
      <c r="M1248" t="s">
        <v>4811</v>
      </c>
      <c r="N1248" t="s">
        <v>4900</v>
      </c>
      <c r="O1248" t="s">
        <v>4910</v>
      </c>
    </row>
    <row r="1249" spans="1:15" x14ac:dyDescent="0.35">
      <c r="A1249" t="s">
        <v>1245</v>
      </c>
      <c r="B1249">
        <v>27</v>
      </c>
      <c r="C1249" t="s">
        <v>4803</v>
      </c>
      <c r="D1249" t="s">
        <v>15</v>
      </c>
      <c r="E1249">
        <v>110</v>
      </c>
      <c r="F1249">
        <v>31</v>
      </c>
      <c r="G1249" t="s">
        <v>4797</v>
      </c>
      <c r="H1249" t="s">
        <v>4804</v>
      </c>
      <c r="I1249">
        <v>17.989999999999998</v>
      </c>
      <c r="J1249">
        <v>3</v>
      </c>
      <c r="K1249">
        <v>3.67</v>
      </c>
      <c r="L1249">
        <v>0</v>
      </c>
      <c r="M1249" t="s">
        <v>4808</v>
      </c>
      <c r="N1249" t="s">
        <v>4900</v>
      </c>
      <c r="O1249" t="s">
        <v>4912</v>
      </c>
    </row>
    <row r="1250" spans="1:15" x14ac:dyDescent="0.35">
      <c r="A1250" t="s">
        <v>1246</v>
      </c>
      <c r="B1250">
        <v>26</v>
      </c>
      <c r="C1250" t="s">
        <v>4803</v>
      </c>
      <c r="D1250" t="s">
        <v>15</v>
      </c>
      <c r="E1250">
        <v>50</v>
      </c>
      <c r="F1250">
        <v>11</v>
      </c>
      <c r="G1250" t="s">
        <v>4798</v>
      </c>
      <c r="H1250" t="s">
        <v>4807</v>
      </c>
      <c r="I1250">
        <v>17.989999999999998</v>
      </c>
      <c r="J1250">
        <v>4</v>
      </c>
      <c r="K1250">
        <v>5</v>
      </c>
      <c r="L1250">
        <v>0</v>
      </c>
      <c r="M1250" t="s">
        <v>4812</v>
      </c>
      <c r="N1250" t="s">
        <v>4900</v>
      </c>
      <c r="O1250" t="s">
        <v>4912</v>
      </c>
    </row>
    <row r="1251" spans="1:15" x14ac:dyDescent="0.35">
      <c r="A1251" t="s">
        <v>1247</v>
      </c>
      <c r="B1251">
        <v>22</v>
      </c>
      <c r="C1251" t="s">
        <v>4802</v>
      </c>
      <c r="D1251" t="s">
        <v>14</v>
      </c>
      <c r="E1251">
        <v>54</v>
      </c>
      <c r="F1251">
        <v>17</v>
      </c>
      <c r="G1251" t="s">
        <v>4800</v>
      </c>
      <c r="H1251" t="s">
        <v>4805</v>
      </c>
      <c r="I1251">
        <v>8.99</v>
      </c>
      <c r="J1251">
        <v>1</v>
      </c>
      <c r="K1251">
        <v>1.8</v>
      </c>
      <c r="L1251">
        <v>0</v>
      </c>
      <c r="M1251" t="s">
        <v>4812</v>
      </c>
      <c r="N1251" t="s">
        <v>4900</v>
      </c>
      <c r="O1251" t="s">
        <v>4912</v>
      </c>
    </row>
    <row r="1252" spans="1:15" x14ac:dyDescent="0.35">
      <c r="A1252" t="s">
        <v>1248</v>
      </c>
      <c r="B1252">
        <v>56</v>
      </c>
      <c r="C1252" t="s">
        <v>4802</v>
      </c>
      <c r="D1252" t="s">
        <v>15</v>
      </c>
      <c r="E1252">
        <v>69</v>
      </c>
      <c r="F1252">
        <v>34</v>
      </c>
      <c r="G1252" t="s">
        <v>4797</v>
      </c>
      <c r="H1252" t="s">
        <v>4804</v>
      </c>
      <c r="I1252">
        <v>17.989999999999998</v>
      </c>
      <c r="J1252">
        <v>3</v>
      </c>
      <c r="K1252">
        <v>2.2999999999999998</v>
      </c>
      <c r="L1252">
        <v>0</v>
      </c>
      <c r="M1252" t="s">
        <v>4809</v>
      </c>
      <c r="N1252" t="s">
        <v>4900</v>
      </c>
      <c r="O1252" t="s">
        <v>4911</v>
      </c>
    </row>
    <row r="1253" spans="1:15" x14ac:dyDescent="0.35">
      <c r="A1253" t="s">
        <v>1249</v>
      </c>
      <c r="B1253">
        <v>20</v>
      </c>
      <c r="C1253" t="s">
        <v>4803</v>
      </c>
      <c r="D1253" t="s">
        <v>14</v>
      </c>
      <c r="E1253">
        <v>39</v>
      </c>
      <c r="F1253">
        <v>52</v>
      </c>
      <c r="G1253" t="s">
        <v>4797</v>
      </c>
      <c r="H1253" t="s">
        <v>4804</v>
      </c>
      <c r="I1253">
        <v>8.99</v>
      </c>
      <c r="J1253">
        <v>2</v>
      </c>
      <c r="K1253">
        <v>1.3</v>
      </c>
      <c r="L1253">
        <v>1</v>
      </c>
      <c r="M1253" t="s">
        <v>4809</v>
      </c>
      <c r="N1253" t="s">
        <v>4899</v>
      </c>
      <c r="O1253" t="s">
        <v>4912</v>
      </c>
    </row>
    <row r="1254" spans="1:15" x14ac:dyDescent="0.35">
      <c r="A1254" t="s">
        <v>1250</v>
      </c>
      <c r="B1254">
        <v>41</v>
      </c>
      <c r="C1254" t="s">
        <v>4803</v>
      </c>
      <c r="D1254" t="s">
        <v>13</v>
      </c>
      <c r="E1254">
        <v>36</v>
      </c>
      <c r="F1254">
        <v>25</v>
      </c>
      <c r="G1254" t="s">
        <v>4798</v>
      </c>
      <c r="H1254" t="s">
        <v>4805</v>
      </c>
      <c r="I1254">
        <v>13.99</v>
      </c>
      <c r="J1254">
        <v>2</v>
      </c>
      <c r="K1254">
        <v>1.2</v>
      </c>
      <c r="L1254">
        <v>0</v>
      </c>
      <c r="M1254" t="s">
        <v>4809</v>
      </c>
      <c r="N1254" t="s">
        <v>4900</v>
      </c>
      <c r="O1254" t="s">
        <v>4910</v>
      </c>
    </row>
    <row r="1255" spans="1:15" x14ac:dyDescent="0.35">
      <c r="A1255" t="s">
        <v>1251</v>
      </c>
      <c r="B1255">
        <v>55</v>
      </c>
      <c r="C1255" t="s">
        <v>4803</v>
      </c>
      <c r="D1255" t="s">
        <v>13</v>
      </c>
      <c r="E1255">
        <v>47</v>
      </c>
      <c r="F1255">
        <v>32</v>
      </c>
      <c r="G1255" t="s">
        <v>4799</v>
      </c>
      <c r="H1255" t="s">
        <v>4806</v>
      </c>
      <c r="I1255">
        <v>13.99</v>
      </c>
      <c r="J1255">
        <v>1</v>
      </c>
      <c r="K1255">
        <v>1.57</v>
      </c>
      <c r="L1255">
        <v>0</v>
      </c>
      <c r="M1255" t="s">
        <v>4811</v>
      </c>
      <c r="N1255" t="s">
        <v>4900</v>
      </c>
      <c r="O1255" t="s">
        <v>4911</v>
      </c>
    </row>
    <row r="1256" spans="1:15" x14ac:dyDescent="0.35">
      <c r="A1256" t="s">
        <v>1252</v>
      </c>
      <c r="B1256">
        <v>54</v>
      </c>
      <c r="C1256" t="s">
        <v>4803</v>
      </c>
      <c r="D1256" t="s">
        <v>13</v>
      </c>
      <c r="E1256">
        <v>35</v>
      </c>
      <c r="F1256">
        <v>48</v>
      </c>
      <c r="G1256" t="s">
        <v>4798</v>
      </c>
      <c r="H1256" t="s">
        <v>4805</v>
      </c>
      <c r="I1256">
        <v>13.99</v>
      </c>
      <c r="J1256">
        <v>3</v>
      </c>
      <c r="K1256">
        <v>1.17</v>
      </c>
      <c r="L1256">
        <v>1</v>
      </c>
      <c r="M1256" t="s">
        <v>4810</v>
      </c>
      <c r="N1256" t="s">
        <v>4899</v>
      </c>
      <c r="O1256" t="s">
        <v>4910</v>
      </c>
    </row>
    <row r="1257" spans="1:15" x14ac:dyDescent="0.35">
      <c r="A1257" t="s">
        <v>1253</v>
      </c>
      <c r="B1257">
        <v>58</v>
      </c>
      <c r="C1257" t="s">
        <v>4802</v>
      </c>
      <c r="D1257" t="s">
        <v>15</v>
      </c>
      <c r="E1257">
        <v>94</v>
      </c>
      <c r="F1257">
        <v>44</v>
      </c>
      <c r="G1257" t="s">
        <v>4797</v>
      </c>
      <c r="H1257" t="s">
        <v>4806</v>
      </c>
      <c r="I1257">
        <v>17.989999999999998</v>
      </c>
      <c r="J1257">
        <v>4</v>
      </c>
      <c r="K1257">
        <v>3.13</v>
      </c>
      <c r="L1257">
        <v>1</v>
      </c>
      <c r="M1257" t="s">
        <v>4809</v>
      </c>
      <c r="N1257" t="s">
        <v>4899</v>
      </c>
      <c r="O1257" t="s">
        <v>4911</v>
      </c>
    </row>
    <row r="1258" spans="1:15" x14ac:dyDescent="0.35">
      <c r="A1258" t="s">
        <v>1254</v>
      </c>
      <c r="B1258">
        <v>55</v>
      </c>
      <c r="C1258" t="s">
        <v>4803</v>
      </c>
      <c r="D1258" t="s">
        <v>15</v>
      </c>
      <c r="E1258">
        <v>80</v>
      </c>
      <c r="F1258">
        <v>51</v>
      </c>
      <c r="G1258" t="s">
        <v>4798</v>
      </c>
      <c r="H1258" t="s">
        <v>4804</v>
      </c>
      <c r="I1258">
        <v>17.989999999999998</v>
      </c>
      <c r="J1258">
        <v>3</v>
      </c>
      <c r="K1258">
        <v>2.67</v>
      </c>
      <c r="L1258">
        <v>0</v>
      </c>
      <c r="M1258" t="s">
        <v>4809</v>
      </c>
      <c r="N1258" t="s">
        <v>4900</v>
      </c>
      <c r="O1258" t="s">
        <v>4911</v>
      </c>
    </row>
    <row r="1259" spans="1:15" x14ac:dyDescent="0.35">
      <c r="A1259" t="s">
        <v>1255</v>
      </c>
      <c r="B1259">
        <v>48</v>
      </c>
      <c r="C1259" t="s">
        <v>4802</v>
      </c>
      <c r="D1259" t="s">
        <v>13</v>
      </c>
      <c r="E1259">
        <v>45</v>
      </c>
      <c r="F1259">
        <v>9</v>
      </c>
      <c r="G1259" t="s">
        <v>4801</v>
      </c>
      <c r="H1259" t="s">
        <v>4804</v>
      </c>
      <c r="I1259">
        <v>13.99</v>
      </c>
      <c r="J1259">
        <v>1</v>
      </c>
      <c r="K1259">
        <v>1.5</v>
      </c>
      <c r="L1259">
        <v>0</v>
      </c>
      <c r="M1259" t="s">
        <v>4811</v>
      </c>
      <c r="N1259" t="s">
        <v>4900</v>
      </c>
      <c r="O1259" t="s">
        <v>4910</v>
      </c>
    </row>
    <row r="1260" spans="1:15" x14ac:dyDescent="0.35">
      <c r="A1260" t="s">
        <v>1256</v>
      </c>
      <c r="B1260">
        <v>26</v>
      </c>
      <c r="C1260" t="s">
        <v>4802</v>
      </c>
      <c r="D1260" t="s">
        <v>14</v>
      </c>
      <c r="E1260">
        <v>14</v>
      </c>
      <c r="F1260">
        <v>41</v>
      </c>
      <c r="G1260" t="s">
        <v>4798</v>
      </c>
      <c r="H1260" t="s">
        <v>4805</v>
      </c>
      <c r="I1260">
        <v>8.99</v>
      </c>
      <c r="J1260">
        <v>2</v>
      </c>
      <c r="K1260">
        <v>0.47</v>
      </c>
      <c r="L1260">
        <v>0</v>
      </c>
      <c r="M1260" t="s">
        <v>4811</v>
      </c>
      <c r="N1260" t="s">
        <v>4900</v>
      </c>
      <c r="O1260" t="s">
        <v>4912</v>
      </c>
    </row>
    <row r="1261" spans="1:15" x14ac:dyDescent="0.35">
      <c r="A1261" t="s">
        <v>1257</v>
      </c>
      <c r="B1261">
        <v>59</v>
      </c>
      <c r="C1261" t="s">
        <v>4803</v>
      </c>
      <c r="D1261" t="s">
        <v>13</v>
      </c>
      <c r="E1261">
        <v>61</v>
      </c>
      <c r="F1261">
        <v>50</v>
      </c>
      <c r="G1261" t="s">
        <v>4800</v>
      </c>
      <c r="H1261" t="s">
        <v>4805</v>
      </c>
      <c r="I1261">
        <v>13.99</v>
      </c>
      <c r="J1261">
        <v>1</v>
      </c>
      <c r="K1261">
        <v>2.0299999999999998</v>
      </c>
      <c r="L1261">
        <v>1</v>
      </c>
      <c r="M1261" t="s">
        <v>4812</v>
      </c>
      <c r="N1261" t="s">
        <v>4899</v>
      </c>
      <c r="O1261" t="s">
        <v>4911</v>
      </c>
    </row>
    <row r="1262" spans="1:15" x14ac:dyDescent="0.35">
      <c r="A1262" t="s">
        <v>1258</v>
      </c>
      <c r="B1262">
        <v>53</v>
      </c>
      <c r="C1262" t="s">
        <v>4802</v>
      </c>
      <c r="D1262" t="s">
        <v>15</v>
      </c>
      <c r="E1262">
        <v>61</v>
      </c>
      <c r="F1262">
        <v>24</v>
      </c>
      <c r="G1262" t="s">
        <v>4799</v>
      </c>
      <c r="H1262" t="s">
        <v>4804</v>
      </c>
      <c r="I1262">
        <v>17.989999999999998</v>
      </c>
      <c r="J1262">
        <v>2</v>
      </c>
      <c r="K1262">
        <v>2.0299999999999998</v>
      </c>
      <c r="L1262">
        <v>0</v>
      </c>
      <c r="M1262" t="s">
        <v>4812</v>
      </c>
      <c r="N1262" t="s">
        <v>4900</v>
      </c>
      <c r="O1262" t="s">
        <v>4910</v>
      </c>
    </row>
    <row r="1263" spans="1:15" x14ac:dyDescent="0.35">
      <c r="A1263" t="s">
        <v>1259</v>
      </c>
      <c r="B1263">
        <v>38</v>
      </c>
      <c r="C1263" t="s">
        <v>4803</v>
      </c>
      <c r="D1263" t="s">
        <v>15</v>
      </c>
      <c r="E1263">
        <v>68</v>
      </c>
      <c r="F1263">
        <v>24</v>
      </c>
      <c r="G1263" t="s">
        <v>4799</v>
      </c>
      <c r="H1263" t="s">
        <v>4807</v>
      </c>
      <c r="I1263">
        <v>17.989999999999998</v>
      </c>
      <c r="J1263">
        <v>2</v>
      </c>
      <c r="K1263">
        <v>2.27</v>
      </c>
      <c r="L1263">
        <v>0</v>
      </c>
      <c r="M1263" t="s">
        <v>4812</v>
      </c>
      <c r="N1263" t="s">
        <v>4900</v>
      </c>
      <c r="O1263" t="s">
        <v>4910</v>
      </c>
    </row>
    <row r="1264" spans="1:15" x14ac:dyDescent="0.35">
      <c r="A1264" t="s">
        <v>1260</v>
      </c>
      <c r="B1264">
        <v>23</v>
      </c>
      <c r="C1264" t="s">
        <v>4802</v>
      </c>
      <c r="D1264" t="s">
        <v>13</v>
      </c>
      <c r="E1264">
        <v>56</v>
      </c>
      <c r="F1264">
        <v>58</v>
      </c>
      <c r="G1264" t="s">
        <v>4798</v>
      </c>
      <c r="H1264" t="s">
        <v>4804</v>
      </c>
      <c r="I1264">
        <v>13.99</v>
      </c>
      <c r="J1264">
        <v>1</v>
      </c>
      <c r="K1264">
        <v>1.87</v>
      </c>
      <c r="L1264">
        <v>1</v>
      </c>
      <c r="M1264" t="s">
        <v>4811</v>
      </c>
      <c r="N1264" t="s">
        <v>4899</v>
      </c>
      <c r="O1264" t="s">
        <v>4912</v>
      </c>
    </row>
    <row r="1265" spans="1:15" x14ac:dyDescent="0.35">
      <c r="A1265" t="s">
        <v>1261</v>
      </c>
      <c r="B1265">
        <v>51</v>
      </c>
      <c r="C1265" t="s">
        <v>4803</v>
      </c>
      <c r="D1265" t="s">
        <v>13</v>
      </c>
      <c r="E1265">
        <v>77</v>
      </c>
      <c r="F1265">
        <v>47</v>
      </c>
      <c r="G1265" t="s">
        <v>4797</v>
      </c>
      <c r="H1265" t="s">
        <v>4806</v>
      </c>
      <c r="I1265">
        <v>13.99</v>
      </c>
      <c r="J1265">
        <v>4</v>
      </c>
      <c r="K1265">
        <v>2.57</v>
      </c>
      <c r="L1265">
        <v>0</v>
      </c>
      <c r="M1265" t="s">
        <v>4808</v>
      </c>
      <c r="N1265" t="s">
        <v>4900</v>
      </c>
      <c r="O1265" t="s">
        <v>4910</v>
      </c>
    </row>
    <row r="1266" spans="1:15" x14ac:dyDescent="0.35">
      <c r="A1266" t="s">
        <v>1262</v>
      </c>
      <c r="B1266">
        <v>65</v>
      </c>
      <c r="C1266" t="s">
        <v>4803</v>
      </c>
      <c r="D1266" t="s">
        <v>13</v>
      </c>
      <c r="E1266">
        <v>45</v>
      </c>
      <c r="F1266">
        <v>51</v>
      </c>
      <c r="G1266" t="s">
        <v>4797</v>
      </c>
      <c r="H1266" t="s">
        <v>4806</v>
      </c>
      <c r="I1266">
        <v>13.99</v>
      </c>
      <c r="J1266">
        <v>1</v>
      </c>
      <c r="K1266">
        <v>1.5</v>
      </c>
      <c r="L1266">
        <v>0</v>
      </c>
      <c r="M1266" t="s">
        <v>4808</v>
      </c>
      <c r="N1266" t="s">
        <v>4900</v>
      </c>
      <c r="O1266" t="s">
        <v>4911</v>
      </c>
    </row>
    <row r="1267" spans="1:15" x14ac:dyDescent="0.35">
      <c r="A1267" t="s">
        <v>1263</v>
      </c>
      <c r="B1267">
        <v>22</v>
      </c>
      <c r="C1267" t="s">
        <v>4803</v>
      </c>
      <c r="D1267" t="s">
        <v>13</v>
      </c>
      <c r="E1267">
        <v>59</v>
      </c>
      <c r="F1267">
        <v>60</v>
      </c>
      <c r="G1267" t="s">
        <v>4798</v>
      </c>
      <c r="H1267" t="s">
        <v>4804</v>
      </c>
      <c r="I1267">
        <v>13.99</v>
      </c>
      <c r="J1267">
        <v>1</v>
      </c>
      <c r="K1267">
        <v>1.97</v>
      </c>
      <c r="L1267">
        <v>0</v>
      </c>
      <c r="M1267" t="s">
        <v>4809</v>
      </c>
      <c r="N1267" t="s">
        <v>4900</v>
      </c>
      <c r="O1267" t="s">
        <v>4912</v>
      </c>
    </row>
    <row r="1268" spans="1:15" x14ac:dyDescent="0.35">
      <c r="A1268" t="s">
        <v>1264</v>
      </c>
      <c r="B1268">
        <v>30</v>
      </c>
      <c r="C1268" t="s">
        <v>4803</v>
      </c>
      <c r="D1268" t="s">
        <v>13</v>
      </c>
      <c r="E1268">
        <v>57</v>
      </c>
      <c r="F1268">
        <v>17</v>
      </c>
      <c r="G1268" t="s">
        <v>4798</v>
      </c>
      <c r="H1268" t="s">
        <v>4805</v>
      </c>
      <c r="I1268">
        <v>13.99</v>
      </c>
      <c r="J1268">
        <v>4</v>
      </c>
      <c r="K1268">
        <v>1.9</v>
      </c>
      <c r="L1268">
        <v>0</v>
      </c>
      <c r="M1268" t="s">
        <v>4810</v>
      </c>
      <c r="N1268" t="s">
        <v>4900</v>
      </c>
      <c r="O1268" t="s">
        <v>4912</v>
      </c>
    </row>
    <row r="1269" spans="1:15" x14ac:dyDescent="0.35">
      <c r="A1269" t="s">
        <v>1265</v>
      </c>
      <c r="B1269">
        <v>26</v>
      </c>
      <c r="C1269" t="s">
        <v>4803</v>
      </c>
      <c r="D1269" t="s">
        <v>13</v>
      </c>
      <c r="E1269">
        <v>76</v>
      </c>
      <c r="F1269">
        <v>57</v>
      </c>
      <c r="G1269" t="s">
        <v>4798</v>
      </c>
      <c r="H1269" t="s">
        <v>4806</v>
      </c>
      <c r="I1269">
        <v>13.99</v>
      </c>
      <c r="J1269">
        <v>4</v>
      </c>
      <c r="K1269">
        <v>2.5299999999999998</v>
      </c>
      <c r="L1269">
        <v>0</v>
      </c>
      <c r="M1269" t="s">
        <v>4812</v>
      </c>
      <c r="N1269" t="s">
        <v>4900</v>
      </c>
      <c r="O1269" t="s">
        <v>4912</v>
      </c>
    </row>
    <row r="1270" spans="1:15" x14ac:dyDescent="0.35">
      <c r="A1270" t="s">
        <v>1266</v>
      </c>
      <c r="B1270">
        <v>29</v>
      </c>
      <c r="C1270" t="s">
        <v>4803</v>
      </c>
      <c r="D1270" t="s">
        <v>15</v>
      </c>
      <c r="E1270">
        <v>109</v>
      </c>
      <c r="F1270">
        <v>20</v>
      </c>
      <c r="G1270" t="s">
        <v>4799</v>
      </c>
      <c r="H1270" t="s">
        <v>4805</v>
      </c>
      <c r="I1270">
        <v>17.989999999999998</v>
      </c>
      <c r="J1270">
        <v>3</v>
      </c>
      <c r="K1270">
        <v>3.63</v>
      </c>
      <c r="L1270">
        <v>0</v>
      </c>
      <c r="M1270" t="s">
        <v>4812</v>
      </c>
      <c r="N1270" t="s">
        <v>4900</v>
      </c>
      <c r="O1270" t="s">
        <v>4912</v>
      </c>
    </row>
    <row r="1271" spans="1:15" x14ac:dyDescent="0.35">
      <c r="A1271" t="s">
        <v>1267</v>
      </c>
      <c r="B1271">
        <v>20</v>
      </c>
      <c r="C1271" t="s">
        <v>4803</v>
      </c>
      <c r="D1271" t="s">
        <v>15</v>
      </c>
      <c r="E1271">
        <v>89</v>
      </c>
      <c r="F1271">
        <v>36</v>
      </c>
      <c r="G1271" t="s">
        <v>4799</v>
      </c>
      <c r="H1271" t="s">
        <v>4805</v>
      </c>
      <c r="I1271">
        <v>17.989999999999998</v>
      </c>
      <c r="J1271">
        <v>5</v>
      </c>
      <c r="K1271">
        <v>2.97</v>
      </c>
      <c r="L1271">
        <v>0</v>
      </c>
      <c r="M1271" t="s">
        <v>4811</v>
      </c>
      <c r="N1271" t="s">
        <v>4900</v>
      </c>
      <c r="O1271" t="s">
        <v>4912</v>
      </c>
    </row>
    <row r="1272" spans="1:15" x14ac:dyDescent="0.35">
      <c r="A1272" t="s">
        <v>1268</v>
      </c>
      <c r="B1272">
        <v>46</v>
      </c>
      <c r="C1272" t="s">
        <v>4803</v>
      </c>
      <c r="D1272" t="s">
        <v>13</v>
      </c>
      <c r="E1272">
        <v>59</v>
      </c>
      <c r="F1272">
        <v>16</v>
      </c>
      <c r="G1272" t="s">
        <v>4798</v>
      </c>
      <c r="H1272" t="s">
        <v>4805</v>
      </c>
      <c r="I1272">
        <v>13.99</v>
      </c>
      <c r="J1272">
        <v>1</v>
      </c>
      <c r="K1272">
        <v>1.97</v>
      </c>
      <c r="L1272">
        <v>0</v>
      </c>
      <c r="M1272" t="s">
        <v>4809</v>
      </c>
      <c r="N1272" t="s">
        <v>4900</v>
      </c>
      <c r="O1272" t="s">
        <v>4910</v>
      </c>
    </row>
    <row r="1273" spans="1:15" x14ac:dyDescent="0.35">
      <c r="A1273" t="s">
        <v>1269</v>
      </c>
      <c r="B1273">
        <v>31</v>
      </c>
      <c r="C1273" t="s">
        <v>4803</v>
      </c>
      <c r="D1273" t="s">
        <v>13</v>
      </c>
      <c r="E1273">
        <v>38</v>
      </c>
      <c r="F1273">
        <v>27</v>
      </c>
      <c r="G1273" t="s">
        <v>4798</v>
      </c>
      <c r="H1273" t="s">
        <v>4805</v>
      </c>
      <c r="I1273">
        <v>13.99</v>
      </c>
      <c r="J1273">
        <v>3</v>
      </c>
      <c r="K1273">
        <v>1.27</v>
      </c>
      <c r="L1273">
        <v>0</v>
      </c>
      <c r="M1273" t="s">
        <v>4809</v>
      </c>
      <c r="N1273" t="s">
        <v>4900</v>
      </c>
      <c r="O1273" t="s">
        <v>4912</v>
      </c>
    </row>
    <row r="1274" spans="1:15" x14ac:dyDescent="0.35">
      <c r="A1274" t="s">
        <v>1270</v>
      </c>
      <c r="B1274">
        <v>52</v>
      </c>
      <c r="C1274" t="s">
        <v>4803</v>
      </c>
      <c r="D1274" t="s">
        <v>14</v>
      </c>
      <c r="E1274">
        <v>28</v>
      </c>
      <c r="F1274">
        <v>6</v>
      </c>
      <c r="G1274" t="s">
        <v>4798</v>
      </c>
      <c r="H1274" t="s">
        <v>4805</v>
      </c>
      <c r="I1274">
        <v>8.99</v>
      </c>
      <c r="J1274">
        <v>1</v>
      </c>
      <c r="K1274">
        <v>0.93</v>
      </c>
      <c r="L1274">
        <v>0</v>
      </c>
      <c r="M1274" t="s">
        <v>4808</v>
      </c>
      <c r="N1274" t="s">
        <v>4900</v>
      </c>
      <c r="O1274" t="s">
        <v>4910</v>
      </c>
    </row>
    <row r="1275" spans="1:15" x14ac:dyDescent="0.35">
      <c r="A1275" t="s">
        <v>1271</v>
      </c>
      <c r="B1275">
        <v>37</v>
      </c>
      <c r="C1275" t="s">
        <v>4803</v>
      </c>
      <c r="D1275" t="s">
        <v>15</v>
      </c>
      <c r="E1275">
        <v>93</v>
      </c>
      <c r="F1275">
        <v>22</v>
      </c>
      <c r="G1275" t="s">
        <v>4799</v>
      </c>
      <c r="H1275" t="s">
        <v>4805</v>
      </c>
      <c r="I1275">
        <v>17.989999999999998</v>
      </c>
      <c r="J1275">
        <v>5</v>
      </c>
      <c r="K1275">
        <v>3.1</v>
      </c>
      <c r="L1275">
        <v>1</v>
      </c>
      <c r="M1275" t="s">
        <v>4811</v>
      </c>
      <c r="N1275" t="s">
        <v>4899</v>
      </c>
      <c r="O1275" t="s">
        <v>4910</v>
      </c>
    </row>
    <row r="1276" spans="1:15" x14ac:dyDescent="0.35">
      <c r="A1276" t="s">
        <v>1272</v>
      </c>
      <c r="B1276">
        <v>26</v>
      </c>
      <c r="C1276" t="s">
        <v>4802</v>
      </c>
      <c r="D1276" t="s">
        <v>15</v>
      </c>
      <c r="E1276">
        <v>81</v>
      </c>
      <c r="F1276">
        <v>22</v>
      </c>
      <c r="G1276" t="s">
        <v>4798</v>
      </c>
      <c r="H1276" t="s">
        <v>4806</v>
      </c>
      <c r="I1276">
        <v>17.989999999999998</v>
      </c>
      <c r="J1276">
        <v>3</v>
      </c>
      <c r="K1276">
        <v>2.7</v>
      </c>
      <c r="L1276">
        <v>0</v>
      </c>
      <c r="M1276" t="s">
        <v>4809</v>
      </c>
      <c r="N1276" t="s">
        <v>4900</v>
      </c>
      <c r="O1276" t="s">
        <v>4912</v>
      </c>
    </row>
    <row r="1277" spans="1:15" x14ac:dyDescent="0.35">
      <c r="A1277" t="s">
        <v>1273</v>
      </c>
      <c r="B1277">
        <v>38</v>
      </c>
      <c r="C1277" t="s">
        <v>4802</v>
      </c>
      <c r="D1277" t="s">
        <v>13</v>
      </c>
      <c r="E1277">
        <v>45</v>
      </c>
      <c r="F1277">
        <v>59</v>
      </c>
      <c r="G1277" t="s">
        <v>4798</v>
      </c>
      <c r="H1277" t="s">
        <v>4804</v>
      </c>
      <c r="I1277">
        <v>13.99</v>
      </c>
      <c r="J1277">
        <v>1</v>
      </c>
      <c r="K1277">
        <v>2.0299999999999998</v>
      </c>
      <c r="L1277">
        <v>0</v>
      </c>
      <c r="M1277" t="s">
        <v>4809</v>
      </c>
      <c r="N1277" t="s">
        <v>4900</v>
      </c>
      <c r="O1277" t="s">
        <v>4910</v>
      </c>
    </row>
    <row r="1278" spans="1:15" x14ac:dyDescent="0.35">
      <c r="A1278" t="s">
        <v>1274</v>
      </c>
      <c r="B1278">
        <v>29</v>
      </c>
      <c r="C1278" t="s">
        <v>4803</v>
      </c>
      <c r="D1278" t="s">
        <v>13</v>
      </c>
      <c r="E1278">
        <v>32</v>
      </c>
      <c r="F1278">
        <v>40</v>
      </c>
      <c r="G1278" t="s">
        <v>4801</v>
      </c>
      <c r="H1278" t="s">
        <v>4805</v>
      </c>
      <c r="I1278">
        <v>13.99</v>
      </c>
      <c r="J1278">
        <v>4</v>
      </c>
      <c r="K1278">
        <v>1.07</v>
      </c>
      <c r="L1278">
        <v>0</v>
      </c>
      <c r="M1278" t="s">
        <v>4810</v>
      </c>
      <c r="N1278" t="s">
        <v>4900</v>
      </c>
      <c r="O1278" t="s">
        <v>4912</v>
      </c>
    </row>
    <row r="1279" spans="1:15" x14ac:dyDescent="0.35">
      <c r="A1279" t="s">
        <v>1275</v>
      </c>
      <c r="B1279">
        <v>58</v>
      </c>
      <c r="C1279" t="s">
        <v>4803</v>
      </c>
      <c r="D1279" t="s">
        <v>13</v>
      </c>
      <c r="E1279">
        <v>66</v>
      </c>
      <c r="F1279">
        <v>1</v>
      </c>
      <c r="G1279" t="s">
        <v>4798</v>
      </c>
      <c r="H1279" t="s">
        <v>4804</v>
      </c>
      <c r="I1279">
        <v>13.99</v>
      </c>
      <c r="J1279">
        <v>1</v>
      </c>
      <c r="K1279">
        <v>2.2000000000000002</v>
      </c>
      <c r="L1279">
        <v>0</v>
      </c>
      <c r="M1279" t="s">
        <v>4812</v>
      </c>
      <c r="N1279" t="s">
        <v>4900</v>
      </c>
      <c r="O1279" t="s">
        <v>4911</v>
      </c>
    </row>
    <row r="1280" spans="1:15" x14ac:dyDescent="0.35">
      <c r="A1280" t="s">
        <v>1276</v>
      </c>
      <c r="B1280">
        <v>50</v>
      </c>
      <c r="C1280" t="s">
        <v>4802</v>
      </c>
      <c r="D1280" t="s">
        <v>13</v>
      </c>
      <c r="E1280">
        <v>32</v>
      </c>
      <c r="F1280">
        <v>18</v>
      </c>
      <c r="G1280" t="s">
        <v>4798</v>
      </c>
      <c r="H1280" t="s">
        <v>4805</v>
      </c>
      <c r="I1280">
        <v>13.99</v>
      </c>
      <c r="J1280">
        <v>2</v>
      </c>
      <c r="K1280">
        <v>5</v>
      </c>
      <c r="L1280">
        <v>0</v>
      </c>
      <c r="M1280" t="s">
        <v>4809</v>
      </c>
      <c r="N1280" t="s">
        <v>4900</v>
      </c>
      <c r="O1280" t="s">
        <v>4910</v>
      </c>
    </row>
    <row r="1281" spans="1:15" x14ac:dyDescent="0.35">
      <c r="A1281" t="s">
        <v>1277</v>
      </c>
      <c r="B1281">
        <v>36</v>
      </c>
      <c r="C1281" t="s">
        <v>4802</v>
      </c>
      <c r="D1281" t="s">
        <v>15</v>
      </c>
      <c r="E1281">
        <v>64</v>
      </c>
      <c r="F1281">
        <v>41</v>
      </c>
      <c r="G1281" t="s">
        <v>4798</v>
      </c>
      <c r="H1281" t="s">
        <v>4805</v>
      </c>
      <c r="I1281">
        <v>17.989999999999998</v>
      </c>
      <c r="J1281">
        <v>2</v>
      </c>
      <c r="K1281">
        <v>2.13</v>
      </c>
      <c r="L1281">
        <v>1</v>
      </c>
      <c r="M1281" t="s">
        <v>4810</v>
      </c>
      <c r="N1281" t="s">
        <v>4899</v>
      </c>
      <c r="O1281" t="s">
        <v>4910</v>
      </c>
    </row>
    <row r="1282" spans="1:15" x14ac:dyDescent="0.35">
      <c r="A1282" t="s">
        <v>1278</v>
      </c>
      <c r="B1282">
        <v>55</v>
      </c>
      <c r="C1282" t="s">
        <v>4803</v>
      </c>
      <c r="D1282" t="s">
        <v>13</v>
      </c>
      <c r="E1282">
        <v>47</v>
      </c>
      <c r="F1282">
        <v>26</v>
      </c>
      <c r="G1282" t="s">
        <v>4798</v>
      </c>
      <c r="H1282" t="s">
        <v>4807</v>
      </c>
      <c r="I1282">
        <v>13.99</v>
      </c>
      <c r="J1282">
        <v>4</v>
      </c>
      <c r="K1282">
        <v>1.57</v>
      </c>
      <c r="L1282">
        <v>0</v>
      </c>
      <c r="M1282" t="s">
        <v>4812</v>
      </c>
      <c r="N1282" t="s">
        <v>4900</v>
      </c>
      <c r="O1282" t="s">
        <v>4911</v>
      </c>
    </row>
    <row r="1283" spans="1:15" x14ac:dyDescent="0.35">
      <c r="A1283" t="s">
        <v>1279</v>
      </c>
      <c r="B1283">
        <v>39</v>
      </c>
      <c r="C1283" t="s">
        <v>4803</v>
      </c>
      <c r="D1283" t="s">
        <v>13</v>
      </c>
      <c r="E1283">
        <v>60</v>
      </c>
      <c r="F1283">
        <v>23</v>
      </c>
      <c r="G1283" t="s">
        <v>4797</v>
      </c>
      <c r="H1283" t="s">
        <v>4806</v>
      </c>
      <c r="I1283">
        <v>13.99</v>
      </c>
      <c r="J1283">
        <v>3</v>
      </c>
      <c r="K1283">
        <v>2</v>
      </c>
      <c r="L1283">
        <v>0</v>
      </c>
      <c r="M1283" t="s">
        <v>4810</v>
      </c>
      <c r="N1283" t="s">
        <v>4900</v>
      </c>
      <c r="O1283" t="s">
        <v>4910</v>
      </c>
    </row>
    <row r="1284" spans="1:15" x14ac:dyDescent="0.35">
      <c r="A1284" t="s">
        <v>1280</v>
      </c>
      <c r="B1284">
        <v>56</v>
      </c>
      <c r="C1284" t="s">
        <v>4802</v>
      </c>
      <c r="D1284" t="s">
        <v>15</v>
      </c>
      <c r="E1284">
        <v>118</v>
      </c>
      <c r="F1284">
        <v>31</v>
      </c>
      <c r="G1284" t="s">
        <v>4798</v>
      </c>
      <c r="H1284" t="s">
        <v>4806</v>
      </c>
      <c r="I1284">
        <v>17.989999999999998</v>
      </c>
      <c r="J1284">
        <v>5</v>
      </c>
      <c r="K1284">
        <v>3.93</v>
      </c>
      <c r="L1284">
        <v>0</v>
      </c>
      <c r="M1284" t="s">
        <v>4812</v>
      </c>
      <c r="N1284" t="s">
        <v>4900</v>
      </c>
      <c r="O1284" t="s">
        <v>4911</v>
      </c>
    </row>
    <row r="1285" spans="1:15" x14ac:dyDescent="0.35">
      <c r="A1285" t="s">
        <v>1281</v>
      </c>
      <c r="B1285">
        <v>38</v>
      </c>
      <c r="C1285" t="s">
        <v>4803</v>
      </c>
      <c r="D1285" t="s">
        <v>13</v>
      </c>
      <c r="E1285">
        <v>37</v>
      </c>
      <c r="F1285">
        <v>41</v>
      </c>
      <c r="G1285" t="s">
        <v>4799</v>
      </c>
      <c r="H1285" t="s">
        <v>4805</v>
      </c>
      <c r="I1285">
        <v>13.99</v>
      </c>
      <c r="J1285">
        <v>1</v>
      </c>
      <c r="K1285">
        <v>1.23</v>
      </c>
      <c r="L1285">
        <v>1</v>
      </c>
      <c r="M1285" t="s">
        <v>4810</v>
      </c>
      <c r="N1285" t="s">
        <v>4899</v>
      </c>
      <c r="O1285" t="s">
        <v>4910</v>
      </c>
    </row>
    <row r="1286" spans="1:15" x14ac:dyDescent="0.35">
      <c r="A1286" t="s">
        <v>1282</v>
      </c>
      <c r="B1286">
        <v>49</v>
      </c>
      <c r="C1286" t="s">
        <v>4802</v>
      </c>
      <c r="D1286" t="s">
        <v>15</v>
      </c>
      <c r="E1286">
        <v>71</v>
      </c>
      <c r="F1286">
        <v>999</v>
      </c>
      <c r="G1286" t="s">
        <v>4799</v>
      </c>
      <c r="H1286" t="s">
        <v>4804</v>
      </c>
      <c r="I1286">
        <v>17.989999999999998</v>
      </c>
      <c r="J1286">
        <v>4</v>
      </c>
      <c r="K1286">
        <v>2.37</v>
      </c>
      <c r="L1286">
        <v>0</v>
      </c>
      <c r="M1286" t="s">
        <v>4809</v>
      </c>
      <c r="N1286" t="s">
        <v>4900</v>
      </c>
      <c r="O1286" t="s">
        <v>4910</v>
      </c>
    </row>
    <row r="1287" spans="1:15" x14ac:dyDescent="0.35">
      <c r="A1287" t="s">
        <v>1283</v>
      </c>
      <c r="B1287">
        <v>20</v>
      </c>
      <c r="C1287" t="s">
        <v>4802</v>
      </c>
      <c r="D1287" t="s">
        <v>13</v>
      </c>
      <c r="E1287">
        <v>74</v>
      </c>
      <c r="F1287">
        <v>48</v>
      </c>
      <c r="G1287" t="s">
        <v>4798</v>
      </c>
      <c r="H1287" t="s">
        <v>4805</v>
      </c>
      <c r="I1287">
        <v>13.99</v>
      </c>
      <c r="J1287">
        <v>2</v>
      </c>
      <c r="K1287">
        <v>2.0299999999999998</v>
      </c>
      <c r="L1287">
        <v>0</v>
      </c>
      <c r="M1287" t="s">
        <v>4812</v>
      </c>
      <c r="N1287" t="s">
        <v>4900</v>
      </c>
      <c r="O1287" t="s">
        <v>4912</v>
      </c>
    </row>
    <row r="1288" spans="1:15" x14ac:dyDescent="0.35">
      <c r="A1288" t="s">
        <v>1284</v>
      </c>
      <c r="B1288">
        <v>33</v>
      </c>
      <c r="C1288" t="s">
        <v>4803</v>
      </c>
      <c r="D1288" t="s">
        <v>14</v>
      </c>
      <c r="E1288">
        <v>27</v>
      </c>
      <c r="F1288">
        <v>999</v>
      </c>
      <c r="G1288" t="s">
        <v>4799</v>
      </c>
      <c r="H1288" t="s">
        <v>4806</v>
      </c>
      <c r="I1288">
        <v>8.99</v>
      </c>
      <c r="J1288">
        <v>1</v>
      </c>
      <c r="K1288">
        <v>0.9</v>
      </c>
      <c r="L1288">
        <v>1</v>
      </c>
      <c r="M1288" t="s">
        <v>4811</v>
      </c>
      <c r="N1288" t="s">
        <v>4899</v>
      </c>
      <c r="O1288" t="s">
        <v>4912</v>
      </c>
    </row>
    <row r="1289" spans="1:15" x14ac:dyDescent="0.35">
      <c r="A1289" t="s">
        <v>1285</v>
      </c>
      <c r="B1289">
        <v>24</v>
      </c>
      <c r="C1289" t="s">
        <v>4803</v>
      </c>
      <c r="D1289" t="s">
        <v>13</v>
      </c>
      <c r="E1289">
        <v>62</v>
      </c>
      <c r="F1289">
        <v>9</v>
      </c>
      <c r="G1289" t="s">
        <v>4799</v>
      </c>
      <c r="H1289" t="s">
        <v>4806</v>
      </c>
      <c r="I1289">
        <v>13.99</v>
      </c>
      <c r="J1289">
        <v>4</v>
      </c>
      <c r="K1289">
        <v>2.0699999999999998</v>
      </c>
      <c r="L1289">
        <v>0</v>
      </c>
      <c r="M1289" t="s">
        <v>4810</v>
      </c>
      <c r="N1289" t="s">
        <v>4900</v>
      </c>
      <c r="O1289" t="s">
        <v>4912</v>
      </c>
    </row>
    <row r="1290" spans="1:15" x14ac:dyDescent="0.35">
      <c r="A1290" t="s">
        <v>1286</v>
      </c>
      <c r="B1290">
        <v>34</v>
      </c>
      <c r="C1290" t="s">
        <v>4803</v>
      </c>
      <c r="D1290" t="s">
        <v>13</v>
      </c>
      <c r="E1290">
        <v>35</v>
      </c>
      <c r="F1290">
        <v>8</v>
      </c>
      <c r="G1290" t="s">
        <v>4799</v>
      </c>
      <c r="H1290" t="s">
        <v>4804</v>
      </c>
      <c r="I1290">
        <v>13.99</v>
      </c>
      <c r="J1290">
        <v>1</v>
      </c>
      <c r="K1290">
        <v>1.17</v>
      </c>
      <c r="L1290">
        <v>0</v>
      </c>
      <c r="M1290" t="s">
        <v>4810</v>
      </c>
      <c r="N1290" t="s">
        <v>4900</v>
      </c>
      <c r="O1290" t="s">
        <v>4912</v>
      </c>
    </row>
    <row r="1291" spans="1:15" x14ac:dyDescent="0.35">
      <c r="A1291" t="s">
        <v>1287</v>
      </c>
      <c r="B1291">
        <v>18</v>
      </c>
      <c r="C1291" t="s">
        <v>4803</v>
      </c>
      <c r="D1291" t="s">
        <v>15</v>
      </c>
      <c r="E1291">
        <v>97</v>
      </c>
      <c r="F1291">
        <v>44</v>
      </c>
      <c r="G1291" t="s">
        <v>4799</v>
      </c>
      <c r="H1291" t="s">
        <v>4805</v>
      </c>
      <c r="I1291">
        <v>17.989999999999998</v>
      </c>
      <c r="J1291">
        <v>4</v>
      </c>
      <c r="K1291">
        <v>3.23</v>
      </c>
      <c r="L1291">
        <v>0</v>
      </c>
      <c r="M1291" t="s">
        <v>4810</v>
      </c>
      <c r="N1291" t="s">
        <v>4900</v>
      </c>
      <c r="O1291" t="s">
        <v>4912</v>
      </c>
    </row>
    <row r="1292" spans="1:15" x14ac:dyDescent="0.35">
      <c r="A1292" t="s">
        <v>1288</v>
      </c>
      <c r="B1292">
        <v>52</v>
      </c>
      <c r="C1292" t="s">
        <v>4803</v>
      </c>
      <c r="D1292" t="s">
        <v>13</v>
      </c>
      <c r="E1292">
        <v>64</v>
      </c>
      <c r="F1292">
        <v>999</v>
      </c>
      <c r="G1292" t="s">
        <v>4798</v>
      </c>
      <c r="H1292" t="s">
        <v>4805</v>
      </c>
      <c r="I1292">
        <v>13.99</v>
      </c>
      <c r="J1292">
        <v>1</v>
      </c>
      <c r="K1292">
        <v>2.13</v>
      </c>
      <c r="L1292">
        <v>0</v>
      </c>
      <c r="M1292" t="s">
        <v>4809</v>
      </c>
      <c r="N1292" t="s">
        <v>4900</v>
      </c>
      <c r="O1292" t="s">
        <v>4910</v>
      </c>
    </row>
    <row r="1293" spans="1:15" x14ac:dyDescent="0.35">
      <c r="A1293" t="s">
        <v>1289</v>
      </c>
      <c r="B1293">
        <v>43</v>
      </c>
      <c r="C1293" t="s">
        <v>4802</v>
      </c>
      <c r="D1293" t="s">
        <v>15</v>
      </c>
      <c r="E1293">
        <v>93</v>
      </c>
      <c r="F1293">
        <v>48</v>
      </c>
      <c r="G1293" t="s">
        <v>4798</v>
      </c>
      <c r="H1293" t="s">
        <v>4805</v>
      </c>
      <c r="I1293">
        <v>17.989999999999998</v>
      </c>
      <c r="J1293">
        <v>5</v>
      </c>
      <c r="K1293">
        <v>3.1</v>
      </c>
      <c r="L1293">
        <v>0</v>
      </c>
      <c r="M1293" t="s">
        <v>4811</v>
      </c>
      <c r="N1293" t="s">
        <v>4900</v>
      </c>
      <c r="O1293" t="s">
        <v>4910</v>
      </c>
    </row>
    <row r="1294" spans="1:15" x14ac:dyDescent="0.35">
      <c r="A1294" t="s">
        <v>1290</v>
      </c>
      <c r="B1294">
        <v>52</v>
      </c>
      <c r="C1294" t="s">
        <v>4803</v>
      </c>
      <c r="D1294" t="s">
        <v>13</v>
      </c>
      <c r="E1294">
        <v>78</v>
      </c>
      <c r="F1294">
        <v>13</v>
      </c>
      <c r="G1294" t="s">
        <v>4799</v>
      </c>
      <c r="H1294" t="s">
        <v>4804</v>
      </c>
      <c r="I1294">
        <v>13.99</v>
      </c>
      <c r="J1294">
        <v>1</v>
      </c>
      <c r="K1294">
        <v>2.6</v>
      </c>
      <c r="L1294">
        <v>0</v>
      </c>
      <c r="M1294" t="s">
        <v>4811</v>
      </c>
      <c r="N1294" t="s">
        <v>4900</v>
      </c>
      <c r="O1294" t="s">
        <v>4910</v>
      </c>
    </row>
    <row r="1295" spans="1:15" x14ac:dyDescent="0.35">
      <c r="A1295" t="s">
        <v>1291</v>
      </c>
      <c r="B1295">
        <v>18</v>
      </c>
      <c r="C1295" t="s">
        <v>4803</v>
      </c>
      <c r="D1295" t="s">
        <v>15</v>
      </c>
      <c r="E1295">
        <v>83</v>
      </c>
      <c r="F1295">
        <v>1</v>
      </c>
      <c r="G1295" t="s">
        <v>4798</v>
      </c>
      <c r="H1295" t="s">
        <v>4806</v>
      </c>
      <c r="I1295">
        <v>17.989999999999998</v>
      </c>
      <c r="J1295">
        <v>5</v>
      </c>
      <c r="K1295">
        <v>2.77</v>
      </c>
      <c r="L1295">
        <v>0</v>
      </c>
      <c r="M1295" t="s">
        <v>4809</v>
      </c>
      <c r="N1295" t="s">
        <v>4900</v>
      </c>
      <c r="O1295" t="s">
        <v>4912</v>
      </c>
    </row>
    <row r="1296" spans="1:15" x14ac:dyDescent="0.35">
      <c r="A1296" t="s">
        <v>1292</v>
      </c>
      <c r="B1296">
        <v>59</v>
      </c>
      <c r="C1296" t="s">
        <v>4803</v>
      </c>
      <c r="D1296" t="s">
        <v>13</v>
      </c>
      <c r="E1296">
        <v>63</v>
      </c>
      <c r="F1296">
        <v>10</v>
      </c>
      <c r="G1296" t="s">
        <v>4798</v>
      </c>
      <c r="H1296" t="s">
        <v>4805</v>
      </c>
      <c r="I1296">
        <v>13.99</v>
      </c>
      <c r="J1296">
        <v>1</v>
      </c>
      <c r="K1296">
        <v>2.1</v>
      </c>
      <c r="L1296">
        <v>0</v>
      </c>
      <c r="M1296" t="s">
        <v>4811</v>
      </c>
      <c r="N1296" t="s">
        <v>4900</v>
      </c>
      <c r="O1296" t="s">
        <v>4911</v>
      </c>
    </row>
    <row r="1297" spans="1:15" x14ac:dyDescent="0.35">
      <c r="A1297" t="s">
        <v>1293</v>
      </c>
      <c r="B1297">
        <v>22</v>
      </c>
      <c r="C1297" t="s">
        <v>4802</v>
      </c>
      <c r="D1297" t="s">
        <v>15</v>
      </c>
      <c r="E1297">
        <v>91</v>
      </c>
      <c r="F1297">
        <v>59</v>
      </c>
      <c r="G1297" t="s">
        <v>4797</v>
      </c>
      <c r="H1297" t="s">
        <v>4805</v>
      </c>
      <c r="I1297">
        <v>17.989999999999998</v>
      </c>
      <c r="J1297">
        <v>2</v>
      </c>
      <c r="K1297">
        <v>3.03</v>
      </c>
      <c r="L1297">
        <v>1</v>
      </c>
      <c r="M1297" t="s">
        <v>4808</v>
      </c>
      <c r="N1297" t="s">
        <v>4899</v>
      </c>
      <c r="O1297" t="s">
        <v>4912</v>
      </c>
    </row>
    <row r="1298" spans="1:15" x14ac:dyDescent="0.35">
      <c r="A1298" t="s">
        <v>1294</v>
      </c>
      <c r="B1298">
        <v>25</v>
      </c>
      <c r="C1298" t="s">
        <v>4802</v>
      </c>
      <c r="D1298" t="s">
        <v>13</v>
      </c>
      <c r="E1298">
        <v>42</v>
      </c>
      <c r="F1298">
        <v>51</v>
      </c>
      <c r="G1298" t="s">
        <v>4799</v>
      </c>
      <c r="H1298" t="s">
        <v>4804</v>
      </c>
      <c r="I1298">
        <v>13.99</v>
      </c>
      <c r="J1298">
        <v>3</v>
      </c>
      <c r="K1298">
        <v>1.4</v>
      </c>
      <c r="L1298">
        <v>0</v>
      </c>
      <c r="M1298" t="s">
        <v>4808</v>
      </c>
      <c r="N1298" t="s">
        <v>4900</v>
      </c>
      <c r="O1298" t="s">
        <v>4912</v>
      </c>
    </row>
    <row r="1299" spans="1:15" x14ac:dyDescent="0.35">
      <c r="A1299" t="s">
        <v>1295</v>
      </c>
      <c r="B1299">
        <v>43</v>
      </c>
      <c r="C1299" t="s">
        <v>4802</v>
      </c>
      <c r="D1299" t="s">
        <v>13</v>
      </c>
      <c r="E1299">
        <v>49</v>
      </c>
      <c r="F1299">
        <v>0</v>
      </c>
      <c r="G1299" t="s">
        <v>4798</v>
      </c>
      <c r="H1299" t="s">
        <v>4804</v>
      </c>
      <c r="I1299">
        <v>13.99</v>
      </c>
      <c r="J1299">
        <v>2</v>
      </c>
      <c r="K1299">
        <v>1.63</v>
      </c>
      <c r="L1299">
        <v>0</v>
      </c>
      <c r="M1299" t="s">
        <v>4808</v>
      </c>
      <c r="N1299" t="s">
        <v>4900</v>
      </c>
      <c r="O1299" t="s">
        <v>4910</v>
      </c>
    </row>
    <row r="1300" spans="1:15" x14ac:dyDescent="0.35">
      <c r="A1300" t="s">
        <v>1296</v>
      </c>
      <c r="B1300">
        <v>49</v>
      </c>
      <c r="C1300" t="s">
        <v>4802</v>
      </c>
      <c r="D1300" t="s">
        <v>13</v>
      </c>
      <c r="E1300">
        <v>52</v>
      </c>
      <c r="F1300">
        <v>51</v>
      </c>
      <c r="G1300" t="s">
        <v>4799</v>
      </c>
      <c r="H1300" t="s">
        <v>4807</v>
      </c>
      <c r="I1300">
        <v>13.99</v>
      </c>
      <c r="J1300">
        <v>3</v>
      </c>
      <c r="K1300">
        <v>1.73</v>
      </c>
      <c r="L1300">
        <v>0</v>
      </c>
      <c r="M1300" t="s">
        <v>4808</v>
      </c>
      <c r="N1300" t="s">
        <v>4900</v>
      </c>
      <c r="O1300" t="s">
        <v>4910</v>
      </c>
    </row>
    <row r="1301" spans="1:15" x14ac:dyDescent="0.35">
      <c r="A1301" t="s">
        <v>1297</v>
      </c>
      <c r="B1301">
        <v>49</v>
      </c>
      <c r="C1301" t="s">
        <v>4802</v>
      </c>
      <c r="D1301" t="s">
        <v>13</v>
      </c>
      <c r="E1301">
        <v>32</v>
      </c>
      <c r="F1301">
        <v>21</v>
      </c>
      <c r="G1301" t="s">
        <v>4798</v>
      </c>
      <c r="H1301" t="s">
        <v>4805</v>
      </c>
      <c r="I1301">
        <v>13.99</v>
      </c>
      <c r="J1301">
        <v>4</v>
      </c>
      <c r="K1301">
        <v>2.0299999999999998</v>
      </c>
      <c r="L1301">
        <v>0</v>
      </c>
      <c r="M1301" t="s">
        <v>4811</v>
      </c>
      <c r="N1301" t="s">
        <v>4900</v>
      </c>
      <c r="O1301" t="s">
        <v>4910</v>
      </c>
    </row>
    <row r="1302" spans="1:15" x14ac:dyDescent="0.35">
      <c r="A1302" t="s">
        <v>1298</v>
      </c>
      <c r="B1302">
        <v>23</v>
      </c>
      <c r="C1302" t="s">
        <v>4803</v>
      </c>
      <c r="D1302" t="s">
        <v>13</v>
      </c>
      <c r="E1302">
        <v>47</v>
      </c>
      <c r="F1302">
        <v>19</v>
      </c>
      <c r="G1302" t="s">
        <v>4798</v>
      </c>
      <c r="H1302" t="s">
        <v>4805</v>
      </c>
      <c r="I1302">
        <v>13.99</v>
      </c>
      <c r="J1302">
        <v>3</v>
      </c>
      <c r="K1302">
        <v>1.57</v>
      </c>
      <c r="L1302">
        <v>0</v>
      </c>
      <c r="M1302" t="s">
        <v>4810</v>
      </c>
      <c r="N1302" t="s">
        <v>4900</v>
      </c>
      <c r="O1302" t="s">
        <v>4912</v>
      </c>
    </row>
    <row r="1303" spans="1:15" x14ac:dyDescent="0.35">
      <c r="A1303" t="s">
        <v>1299</v>
      </c>
      <c r="B1303">
        <v>35</v>
      </c>
      <c r="C1303" t="s">
        <v>4803</v>
      </c>
      <c r="D1303" t="s">
        <v>15</v>
      </c>
      <c r="E1303">
        <v>57</v>
      </c>
      <c r="F1303">
        <v>57</v>
      </c>
      <c r="G1303" t="s">
        <v>4797</v>
      </c>
      <c r="H1303" t="s">
        <v>4804</v>
      </c>
      <c r="I1303">
        <v>17.989999999999998</v>
      </c>
      <c r="J1303">
        <v>2</v>
      </c>
      <c r="K1303">
        <v>1.9</v>
      </c>
      <c r="L1303">
        <v>0</v>
      </c>
      <c r="M1303" t="s">
        <v>4808</v>
      </c>
      <c r="N1303" t="s">
        <v>4900</v>
      </c>
      <c r="O1303" t="s">
        <v>4910</v>
      </c>
    </row>
    <row r="1304" spans="1:15" x14ac:dyDescent="0.35">
      <c r="A1304" t="s">
        <v>1300</v>
      </c>
      <c r="B1304">
        <v>53</v>
      </c>
      <c r="C1304" t="s">
        <v>4802</v>
      </c>
      <c r="D1304" t="s">
        <v>13</v>
      </c>
      <c r="E1304">
        <v>36</v>
      </c>
      <c r="F1304">
        <v>11</v>
      </c>
      <c r="G1304" t="s">
        <v>4797</v>
      </c>
      <c r="H1304" t="s">
        <v>4807</v>
      </c>
      <c r="I1304">
        <v>13.99</v>
      </c>
      <c r="J1304">
        <v>2</v>
      </c>
      <c r="K1304">
        <v>1.2</v>
      </c>
      <c r="L1304">
        <v>0</v>
      </c>
      <c r="M1304" t="s">
        <v>4811</v>
      </c>
      <c r="N1304" t="s">
        <v>4900</v>
      </c>
      <c r="O1304" t="s">
        <v>4910</v>
      </c>
    </row>
    <row r="1305" spans="1:15" x14ac:dyDescent="0.35">
      <c r="A1305" t="s">
        <v>1301</v>
      </c>
      <c r="B1305">
        <v>35</v>
      </c>
      <c r="C1305" t="s">
        <v>4802</v>
      </c>
      <c r="D1305" t="s">
        <v>13</v>
      </c>
      <c r="E1305">
        <v>30</v>
      </c>
      <c r="F1305">
        <v>51</v>
      </c>
      <c r="G1305" t="s">
        <v>4798</v>
      </c>
      <c r="H1305" t="s">
        <v>4805</v>
      </c>
      <c r="I1305">
        <v>13.99</v>
      </c>
      <c r="J1305">
        <v>3</v>
      </c>
      <c r="K1305">
        <v>1</v>
      </c>
      <c r="L1305">
        <v>1</v>
      </c>
      <c r="M1305" t="s">
        <v>4812</v>
      </c>
      <c r="N1305" t="s">
        <v>4899</v>
      </c>
      <c r="O1305" t="s">
        <v>4910</v>
      </c>
    </row>
    <row r="1306" spans="1:15" x14ac:dyDescent="0.35">
      <c r="A1306" t="s">
        <v>1302</v>
      </c>
      <c r="B1306">
        <v>62</v>
      </c>
      <c r="C1306" t="s">
        <v>4803</v>
      </c>
      <c r="D1306" t="s">
        <v>15</v>
      </c>
      <c r="E1306">
        <v>61</v>
      </c>
      <c r="F1306">
        <v>46</v>
      </c>
      <c r="G1306" t="s">
        <v>4797</v>
      </c>
      <c r="H1306" t="s">
        <v>4805</v>
      </c>
      <c r="I1306">
        <v>17.989999999999998</v>
      </c>
      <c r="J1306">
        <v>3</v>
      </c>
      <c r="K1306">
        <v>2.0299999999999998</v>
      </c>
      <c r="L1306">
        <v>0</v>
      </c>
      <c r="M1306" t="s">
        <v>4810</v>
      </c>
      <c r="N1306" t="s">
        <v>4900</v>
      </c>
      <c r="O1306" t="s">
        <v>4911</v>
      </c>
    </row>
    <row r="1307" spans="1:15" x14ac:dyDescent="0.35">
      <c r="A1307" t="s">
        <v>1303</v>
      </c>
      <c r="B1307">
        <v>32</v>
      </c>
      <c r="C1307" t="s">
        <v>4802</v>
      </c>
      <c r="D1307" t="s">
        <v>15</v>
      </c>
      <c r="E1307">
        <v>109</v>
      </c>
      <c r="F1307">
        <v>51</v>
      </c>
      <c r="G1307" t="s">
        <v>4798</v>
      </c>
      <c r="H1307" t="s">
        <v>4806</v>
      </c>
      <c r="I1307">
        <v>17.989999999999998</v>
      </c>
      <c r="J1307">
        <v>4</v>
      </c>
      <c r="K1307">
        <v>3.63</v>
      </c>
      <c r="L1307">
        <v>1</v>
      </c>
      <c r="M1307" t="s">
        <v>4812</v>
      </c>
      <c r="N1307" t="s">
        <v>4899</v>
      </c>
      <c r="O1307" t="s">
        <v>4912</v>
      </c>
    </row>
    <row r="1308" spans="1:15" x14ac:dyDescent="0.35">
      <c r="A1308" t="s">
        <v>1304</v>
      </c>
      <c r="B1308">
        <v>41</v>
      </c>
      <c r="C1308" t="s">
        <v>4803</v>
      </c>
      <c r="D1308" t="s">
        <v>13</v>
      </c>
      <c r="E1308">
        <v>40</v>
      </c>
      <c r="F1308">
        <v>37</v>
      </c>
      <c r="G1308" t="s">
        <v>4799</v>
      </c>
      <c r="H1308" t="s">
        <v>4804</v>
      </c>
      <c r="I1308">
        <v>13.99</v>
      </c>
      <c r="J1308">
        <v>4</v>
      </c>
      <c r="K1308">
        <v>1.33</v>
      </c>
      <c r="L1308">
        <v>0</v>
      </c>
      <c r="M1308" t="s">
        <v>4808</v>
      </c>
      <c r="N1308" t="s">
        <v>4900</v>
      </c>
      <c r="O1308" t="s">
        <v>4910</v>
      </c>
    </row>
    <row r="1309" spans="1:15" x14ac:dyDescent="0.35">
      <c r="A1309" t="s">
        <v>1305</v>
      </c>
      <c r="B1309">
        <v>21</v>
      </c>
      <c r="C1309" t="s">
        <v>4803</v>
      </c>
      <c r="D1309" t="s">
        <v>13</v>
      </c>
      <c r="E1309">
        <v>34</v>
      </c>
      <c r="F1309">
        <v>55</v>
      </c>
      <c r="G1309" t="s">
        <v>4799</v>
      </c>
      <c r="H1309" t="s">
        <v>4805</v>
      </c>
      <c r="I1309">
        <v>13.99</v>
      </c>
      <c r="J1309">
        <v>3</v>
      </c>
      <c r="K1309">
        <v>5</v>
      </c>
      <c r="L1309">
        <v>0</v>
      </c>
      <c r="M1309" t="s">
        <v>4811</v>
      </c>
      <c r="N1309" t="s">
        <v>4900</v>
      </c>
      <c r="O1309" t="s">
        <v>4912</v>
      </c>
    </row>
    <row r="1310" spans="1:15" x14ac:dyDescent="0.35">
      <c r="A1310" t="s">
        <v>1306</v>
      </c>
      <c r="B1310">
        <v>22</v>
      </c>
      <c r="C1310" t="s">
        <v>4803</v>
      </c>
      <c r="D1310" t="s">
        <v>13</v>
      </c>
      <c r="E1310">
        <v>55</v>
      </c>
      <c r="F1310">
        <v>9</v>
      </c>
      <c r="G1310" t="s">
        <v>4799</v>
      </c>
      <c r="H1310" t="s">
        <v>4806</v>
      </c>
      <c r="I1310">
        <v>13.99</v>
      </c>
      <c r="J1310">
        <v>1</v>
      </c>
      <c r="K1310">
        <v>1.83</v>
      </c>
      <c r="L1310">
        <v>0</v>
      </c>
      <c r="M1310" t="s">
        <v>4810</v>
      </c>
      <c r="N1310" t="s">
        <v>4900</v>
      </c>
      <c r="O1310" t="s">
        <v>4912</v>
      </c>
    </row>
    <row r="1311" spans="1:15" x14ac:dyDescent="0.35">
      <c r="A1311" t="s">
        <v>1307</v>
      </c>
      <c r="B1311">
        <v>60</v>
      </c>
      <c r="C1311" t="s">
        <v>4802</v>
      </c>
      <c r="D1311" t="s">
        <v>13</v>
      </c>
      <c r="E1311">
        <v>40</v>
      </c>
      <c r="F1311">
        <v>27</v>
      </c>
      <c r="G1311" t="s">
        <v>4799</v>
      </c>
      <c r="H1311" t="s">
        <v>4804</v>
      </c>
      <c r="I1311">
        <v>13.99</v>
      </c>
      <c r="J1311">
        <v>3</v>
      </c>
      <c r="K1311">
        <v>1.33</v>
      </c>
      <c r="L1311">
        <v>0</v>
      </c>
      <c r="M1311" t="s">
        <v>4812</v>
      </c>
      <c r="N1311" t="s">
        <v>4900</v>
      </c>
      <c r="O1311" t="s">
        <v>4911</v>
      </c>
    </row>
    <row r="1312" spans="1:15" x14ac:dyDescent="0.35">
      <c r="A1312" t="s">
        <v>1308</v>
      </c>
      <c r="B1312">
        <v>25</v>
      </c>
      <c r="C1312" t="s">
        <v>4803</v>
      </c>
      <c r="D1312" t="s">
        <v>13</v>
      </c>
      <c r="E1312">
        <v>49</v>
      </c>
      <c r="F1312">
        <v>12</v>
      </c>
      <c r="G1312" t="s">
        <v>4800</v>
      </c>
      <c r="H1312" t="s">
        <v>4804</v>
      </c>
      <c r="I1312">
        <v>13.99</v>
      </c>
      <c r="J1312">
        <v>4</v>
      </c>
      <c r="K1312">
        <v>2.0299999999999998</v>
      </c>
      <c r="L1312">
        <v>0</v>
      </c>
      <c r="M1312" t="s">
        <v>4811</v>
      </c>
      <c r="N1312" t="s">
        <v>4900</v>
      </c>
      <c r="O1312" t="s">
        <v>4912</v>
      </c>
    </row>
    <row r="1313" spans="1:15" x14ac:dyDescent="0.35">
      <c r="A1313" t="s">
        <v>1309</v>
      </c>
      <c r="B1313">
        <v>44</v>
      </c>
      <c r="C1313" t="s">
        <v>4802</v>
      </c>
      <c r="D1313" t="s">
        <v>13</v>
      </c>
      <c r="E1313">
        <v>59</v>
      </c>
      <c r="F1313">
        <v>58</v>
      </c>
      <c r="G1313" t="s">
        <v>4797</v>
      </c>
      <c r="H1313" t="s">
        <v>4806</v>
      </c>
      <c r="I1313">
        <v>13.99</v>
      </c>
      <c r="J1313">
        <v>3</v>
      </c>
      <c r="K1313">
        <v>1.97</v>
      </c>
      <c r="L1313">
        <v>0</v>
      </c>
      <c r="M1313" t="s">
        <v>4811</v>
      </c>
      <c r="N1313" t="s">
        <v>4900</v>
      </c>
      <c r="O1313" t="s">
        <v>4910</v>
      </c>
    </row>
    <row r="1314" spans="1:15" x14ac:dyDescent="0.35">
      <c r="A1314" t="s">
        <v>1310</v>
      </c>
      <c r="B1314">
        <v>45</v>
      </c>
      <c r="C1314" t="s">
        <v>4803</v>
      </c>
      <c r="D1314" t="s">
        <v>13</v>
      </c>
      <c r="E1314">
        <v>77</v>
      </c>
      <c r="F1314">
        <v>36</v>
      </c>
      <c r="G1314" t="s">
        <v>4799</v>
      </c>
      <c r="H1314" t="s">
        <v>4804</v>
      </c>
      <c r="I1314">
        <v>13.99</v>
      </c>
      <c r="J1314">
        <v>3</v>
      </c>
      <c r="K1314">
        <v>2.57</v>
      </c>
      <c r="L1314">
        <v>0</v>
      </c>
      <c r="M1314" t="s">
        <v>4811</v>
      </c>
      <c r="N1314" t="s">
        <v>4900</v>
      </c>
      <c r="O1314" t="s">
        <v>4910</v>
      </c>
    </row>
    <row r="1315" spans="1:15" x14ac:dyDescent="0.35">
      <c r="A1315" t="s">
        <v>1311</v>
      </c>
      <c r="B1315">
        <v>61</v>
      </c>
      <c r="C1315" t="s">
        <v>4802</v>
      </c>
      <c r="D1315" t="s">
        <v>13</v>
      </c>
      <c r="E1315">
        <v>42</v>
      </c>
      <c r="F1315">
        <v>28</v>
      </c>
      <c r="G1315" t="s">
        <v>4798</v>
      </c>
      <c r="H1315" t="s">
        <v>4806</v>
      </c>
      <c r="I1315">
        <v>13.99</v>
      </c>
      <c r="J1315">
        <v>4</v>
      </c>
      <c r="K1315">
        <v>1.4</v>
      </c>
      <c r="L1315">
        <v>0</v>
      </c>
      <c r="M1315" t="s">
        <v>4809</v>
      </c>
      <c r="N1315" t="s">
        <v>4900</v>
      </c>
      <c r="O1315" t="s">
        <v>4911</v>
      </c>
    </row>
    <row r="1316" spans="1:15" x14ac:dyDescent="0.35">
      <c r="A1316" t="s">
        <v>1312</v>
      </c>
      <c r="B1316">
        <v>56</v>
      </c>
      <c r="C1316" t="s">
        <v>4803</v>
      </c>
      <c r="D1316" t="s">
        <v>15</v>
      </c>
      <c r="E1316">
        <v>120</v>
      </c>
      <c r="F1316">
        <v>31</v>
      </c>
      <c r="G1316" t="s">
        <v>4798</v>
      </c>
      <c r="H1316" t="s">
        <v>4805</v>
      </c>
      <c r="I1316">
        <v>17.989999999999998</v>
      </c>
      <c r="J1316">
        <v>5</v>
      </c>
      <c r="K1316">
        <v>4</v>
      </c>
      <c r="L1316">
        <v>1</v>
      </c>
      <c r="M1316" t="s">
        <v>4810</v>
      </c>
      <c r="N1316" t="s">
        <v>4899</v>
      </c>
      <c r="O1316" t="s">
        <v>4911</v>
      </c>
    </row>
    <row r="1317" spans="1:15" x14ac:dyDescent="0.35">
      <c r="A1317" t="s">
        <v>1313</v>
      </c>
      <c r="B1317">
        <v>51</v>
      </c>
      <c r="C1317" t="s">
        <v>4803</v>
      </c>
      <c r="D1317" t="s">
        <v>15</v>
      </c>
      <c r="E1317">
        <v>52</v>
      </c>
      <c r="F1317">
        <v>28</v>
      </c>
      <c r="G1317" t="s">
        <v>4797</v>
      </c>
      <c r="H1317" t="s">
        <v>4807</v>
      </c>
      <c r="I1317">
        <v>17.989999999999998</v>
      </c>
      <c r="J1317">
        <v>2</v>
      </c>
      <c r="K1317">
        <v>1.73</v>
      </c>
      <c r="L1317">
        <v>0</v>
      </c>
      <c r="M1317" t="s">
        <v>4808</v>
      </c>
      <c r="N1317" t="s">
        <v>4900</v>
      </c>
      <c r="O1317" t="s">
        <v>4910</v>
      </c>
    </row>
    <row r="1318" spans="1:15" x14ac:dyDescent="0.35">
      <c r="A1318" t="s">
        <v>1314</v>
      </c>
      <c r="B1318">
        <v>26</v>
      </c>
      <c r="C1318" t="s">
        <v>4803</v>
      </c>
      <c r="D1318" t="s">
        <v>15</v>
      </c>
      <c r="E1318">
        <v>56</v>
      </c>
      <c r="F1318">
        <v>18</v>
      </c>
      <c r="G1318" t="s">
        <v>4799</v>
      </c>
      <c r="H1318" t="s">
        <v>4804</v>
      </c>
      <c r="I1318">
        <v>17.989999999999998</v>
      </c>
      <c r="J1318">
        <v>5</v>
      </c>
      <c r="K1318">
        <v>2.0299999999999998</v>
      </c>
      <c r="L1318">
        <v>0</v>
      </c>
      <c r="M1318" t="s">
        <v>4812</v>
      </c>
      <c r="N1318" t="s">
        <v>4900</v>
      </c>
      <c r="O1318" t="s">
        <v>4912</v>
      </c>
    </row>
    <row r="1319" spans="1:15" x14ac:dyDescent="0.35">
      <c r="A1319" t="s">
        <v>1315</v>
      </c>
      <c r="B1319">
        <v>41</v>
      </c>
      <c r="C1319" t="s">
        <v>4802</v>
      </c>
      <c r="D1319" t="s">
        <v>13</v>
      </c>
      <c r="E1319">
        <v>70</v>
      </c>
      <c r="F1319">
        <v>55</v>
      </c>
      <c r="G1319" t="s">
        <v>4798</v>
      </c>
      <c r="H1319" t="s">
        <v>4805</v>
      </c>
      <c r="I1319">
        <v>13.99</v>
      </c>
      <c r="J1319">
        <v>2</v>
      </c>
      <c r="K1319">
        <v>2.33</v>
      </c>
      <c r="L1319">
        <v>0</v>
      </c>
      <c r="M1319" t="s">
        <v>4809</v>
      </c>
      <c r="N1319" t="s">
        <v>4900</v>
      </c>
      <c r="O1319" t="s">
        <v>4910</v>
      </c>
    </row>
    <row r="1320" spans="1:15" x14ac:dyDescent="0.35">
      <c r="A1320" t="s">
        <v>1316</v>
      </c>
      <c r="B1320">
        <v>23</v>
      </c>
      <c r="C1320" t="s">
        <v>4802</v>
      </c>
      <c r="D1320" t="s">
        <v>13</v>
      </c>
      <c r="E1320">
        <v>67</v>
      </c>
      <c r="F1320">
        <v>17</v>
      </c>
      <c r="G1320" t="s">
        <v>4797</v>
      </c>
      <c r="H1320" t="s">
        <v>4805</v>
      </c>
      <c r="I1320">
        <v>13.99</v>
      </c>
      <c r="J1320">
        <v>3</v>
      </c>
      <c r="K1320">
        <v>2.23</v>
      </c>
      <c r="L1320">
        <v>0</v>
      </c>
      <c r="M1320" t="s">
        <v>4812</v>
      </c>
      <c r="N1320" t="s">
        <v>4900</v>
      </c>
      <c r="O1320" t="s">
        <v>4912</v>
      </c>
    </row>
    <row r="1321" spans="1:15" x14ac:dyDescent="0.35">
      <c r="A1321" t="s">
        <v>1317</v>
      </c>
      <c r="B1321">
        <v>53</v>
      </c>
      <c r="C1321" t="s">
        <v>4802</v>
      </c>
      <c r="D1321" t="s">
        <v>15</v>
      </c>
      <c r="E1321">
        <v>96</v>
      </c>
      <c r="F1321">
        <v>23</v>
      </c>
      <c r="G1321" t="s">
        <v>4797</v>
      </c>
      <c r="H1321" t="s">
        <v>4804</v>
      </c>
      <c r="I1321">
        <v>17.989999999999998</v>
      </c>
      <c r="J1321">
        <v>3</v>
      </c>
      <c r="K1321">
        <v>3.2</v>
      </c>
      <c r="L1321">
        <v>0</v>
      </c>
      <c r="M1321" t="s">
        <v>4810</v>
      </c>
      <c r="N1321" t="s">
        <v>4900</v>
      </c>
      <c r="O1321" t="s">
        <v>4910</v>
      </c>
    </row>
    <row r="1322" spans="1:15" x14ac:dyDescent="0.35">
      <c r="A1322" t="s">
        <v>1318</v>
      </c>
      <c r="B1322">
        <v>21</v>
      </c>
      <c r="C1322" t="s">
        <v>4803</v>
      </c>
      <c r="D1322" t="s">
        <v>15</v>
      </c>
      <c r="E1322">
        <v>58</v>
      </c>
      <c r="F1322">
        <v>30</v>
      </c>
      <c r="G1322" t="s">
        <v>4800</v>
      </c>
      <c r="H1322" t="s">
        <v>4804</v>
      </c>
      <c r="I1322">
        <v>17.989999999999998</v>
      </c>
      <c r="J1322">
        <v>3</v>
      </c>
      <c r="K1322">
        <v>1.93</v>
      </c>
      <c r="L1322">
        <v>0</v>
      </c>
      <c r="M1322" t="s">
        <v>4810</v>
      </c>
      <c r="N1322" t="s">
        <v>4900</v>
      </c>
      <c r="O1322" t="s">
        <v>4912</v>
      </c>
    </row>
    <row r="1323" spans="1:15" x14ac:dyDescent="0.35">
      <c r="A1323" t="s">
        <v>1319</v>
      </c>
      <c r="B1323">
        <v>25</v>
      </c>
      <c r="C1323" t="s">
        <v>4802</v>
      </c>
      <c r="D1323" t="s">
        <v>14</v>
      </c>
      <c r="E1323">
        <v>47</v>
      </c>
      <c r="F1323">
        <v>49</v>
      </c>
      <c r="G1323" t="s">
        <v>4797</v>
      </c>
      <c r="H1323" t="s">
        <v>4804</v>
      </c>
      <c r="I1323">
        <v>8.99</v>
      </c>
      <c r="J1323">
        <v>2</v>
      </c>
      <c r="K1323">
        <v>1.57</v>
      </c>
      <c r="L1323">
        <v>1</v>
      </c>
      <c r="M1323" t="s">
        <v>4810</v>
      </c>
      <c r="N1323" t="s">
        <v>4899</v>
      </c>
      <c r="O1323" t="s">
        <v>4912</v>
      </c>
    </row>
    <row r="1324" spans="1:15" x14ac:dyDescent="0.35">
      <c r="A1324" t="s">
        <v>1320</v>
      </c>
      <c r="B1324">
        <v>22</v>
      </c>
      <c r="C1324" t="s">
        <v>4803</v>
      </c>
      <c r="D1324" t="s">
        <v>13</v>
      </c>
      <c r="E1324">
        <v>76</v>
      </c>
      <c r="F1324">
        <v>60</v>
      </c>
      <c r="G1324" t="s">
        <v>4797</v>
      </c>
      <c r="H1324" t="s">
        <v>4806</v>
      </c>
      <c r="I1324">
        <v>13.99</v>
      </c>
      <c r="J1324">
        <v>1</v>
      </c>
      <c r="K1324">
        <v>2.5299999999999998</v>
      </c>
      <c r="L1324">
        <v>0</v>
      </c>
      <c r="M1324" t="s">
        <v>4808</v>
      </c>
      <c r="N1324" t="s">
        <v>4900</v>
      </c>
      <c r="O1324" t="s">
        <v>4912</v>
      </c>
    </row>
    <row r="1325" spans="1:15" x14ac:dyDescent="0.35">
      <c r="A1325" t="s">
        <v>1321</v>
      </c>
      <c r="B1325">
        <v>35</v>
      </c>
      <c r="C1325" t="s">
        <v>4803</v>
      </c>
      <c r="D1325" t="s">
        <v>15</v>
      </c>
      <c r="E1325">
        <v>76</v>
      </c>
      <c r="F1325">
        <v>0</v>
      </c>
      <c r="G1325" t="s">
        <v>4799</v>
      </c>
      <c r="H1325" t="s">
        <v>4804</v>
      </c>
      <c r="I1325">
        <v>17.989999999999998</v>
      </c>
      <c r="J1325">
        <v>5</v>
      </c>
      <c r="K1325">
        <v>2.5299999999999998</v>
      </c>
      <c r="L1325">
        <v>0</v>
      </c>
      <c r="M1325" t="s">
        <v>4812</v>
      </c>
      <c r="N1325" t="s">
        <v>4900</v>
      </c>
      <c r="O1325" t="s">
        <v>4910</v>
      </c>
    </row>
    <row r="1326" spans="1:15" x14ac:dyDescent="0.35">
      <c r="A1326" t="s">
        <v>1322</v>
      </c>
      <c r="B1326">
        <v>21</v>
      </c>
      <c r="C1326" t="s">
        <v>4803</v>
      </c>
      <c r="D1326" t="s">
        <v>15</v>
      </c>
      <c r="E1326">
        <v>119</v>
      </c>
      <c r="F1326">
        <v>44</v>
      </c>
      <c r="G1326" t="s">
        <v>4798</v>
      </c>
      <c r="H1326" t="s">
        <v>4805</v>
      </c>
      <c r="I1326">
        <v>17.989999999999998</v>
      </c>
      <c r="J1326">
        <v>3</v>
      </c>
      <c r="K1326">
        <v>3.97</v>
      </c>
      <c r="L1326">
        <v>0</v>
      </c>
      <c r="M1326" t="s">
        <v>4809</v>
      </c>
      <c r="N1326" t="s">
        <v>4900</v>
      </c>
      <c r="O1326" t="s">
        <v>4912</v>
      </c>
    </row>
    <row r="1327" spans="1:15" x14ac:dyDescent="0.35">
      <c r="A1327" t="s">
        <v>1323</v>
      </c>
      <c r="B1327">
        <v>18</v>
      </c>
      <c r="C1327" t="s">
        <v>4803</v>
      </c>
      <c r="D1327" t="s">
        <v>13</v>
      </c>
      <c r="E1327">
        <v>46</v>
      </c>
      <c r="F1327">
        <v>36</v>
      </c>
      <c r="G1327" t="s">
        <v>4798</v>
      </c>
      <c r="H1327" t="s">
        <v>4805</v>
      </c>
      <c r="I1327">
        <v>13.99</v>
      </c>
      <c r="J1327">
        <v>2</v>
      </c>
      <c r="K1327">
        <v>1.53</v>
      </c>
      <c r="L1327">
        <v>0</v>
      </c>
      <c r="M1327" t="s">
        <v>4812</v>
      </c>
      <c r="N1327" t="s">
        <v>4900</v>
      </c>
      <c r="O1327" t="s">
        <v>4912</v>
      </c>
    </row>
    <row r="1328" spans="1:15" x14ac:dyDescent="0.35">
      <c r="A1328" t="s">
        <v>1324</v>
      </c>
      <c r="B1328">
        <v>61</v>
      </c>
      <c r="C1328" t="s">
        <v>4802</v>
      </c>
      <c r="D1328" t="s">
        <v>13</v>
      </c>
      <c r="E1328">
        <v>63</v>
      </c>
      <c r="F1328">
        <v>6</v>
      </c>
      <c r="G1328" t="s">
        <v>4798</v>
      </c>
      <c r="H1328" t="s">
        <v>4805</v>
      </c>
      <c r="I1328">
        <v>13.99</v>
      </c>
      <c r="J1328">
        <v>2</v>
      </c>
      <c r="K1328">
        <v>2.1</v>
      </c>
      <c r="L1328">
        <v>0</v>
      </c>
      <c r="M1328" t="s">
        <v>4811</v>
      </c>
      <c r="N1328" t="s">
        <v>4900</v>
      </c>
      <c r="O1328" t="s">
        <v>4911</v>
      </c>
    </row>
    <row r="1329" spans="1:15" x14ac:dyDescent="0.35">
      <c r="A1329" t="s">
        <v>1325</v>
      </c>
      <c r="B1329">
        <v>21</v>
      </c>
      <c r="C1329" t="s">
        <v>4803</v>
      </c>
      <c r="D1329" t="s">
        <v>13</v>
      </c>
      <c r="E1329">
        <v>38</v>
      </c>
      <c r="F1329">
        <v>46</v>
      </c>
      <c r="G1329" t="s">
        <v>4798</v>
      </c>
      <c r="H1329" t="s">
        <v>4804</v>
      </c>
      <c r="I1329">
        <v>13.99</v>
      </c>
      <c r="J1329">
        <v>4</v>
      </c>
      <c r="K1329">
        <v>1.27</v>
      </c>
      <c r="L1329">
        <v>0</v>
      </c>
      <c r="M1329" t="s">
        <v>4808</v>
      </c>
      <c r="N1329" t="s">
        <v>4900</v>
      </c>
      <c r="O1329" t="s">
        <v>4912</v>
      </c>
    </row>
    <row r="1330" spans="1:15" x14ac:dyDescent="0.35">
      <c r="A1330" t="s">
        <v>1326</v>
      </c>
      <c r="B1330">
        <v>58</v>
      </c>
      <c r="C1330" t="s">
        <v>4802</v>
      </c>
      <c r="D1330" t="s">
        <v>13</v>
      </c>
      <c r="E1330">
        <v>38</v>
      </c>
      <c r="F1330">
        <v>31</v>
      </c>
      <c r="G1330" t="s">
        <v>4797</v>
      </c>
      <c r="H1330" t="s">
        <v>4805</v>
      </c>
      <c r="I1330">
        <v>13.99</v>
      </c>
      <c r="J1330">
        <v>4</v>
      </c>
      <c r="K1330">
        <v>1.27</v>
      </c>
      <c r="L1330">
        <v>0</v>
      </c>
      <c r="M1330" t="s">
        <v>4810</v>
      </c>
      <c r="N1330" t="s">
        <v>4900</v>
      </c>
      <c r="O1330" t="s">
        <v>4911</v>
      </c>
    </row>
    <row r="1331" spans="1:15" x14ac:dyDescent="0.35">
      <c r="A1331" t="s">
        <v>1327</v>
      </c>
      <c r="B1331">
        <v>20</v>
      </c>
      <c r="C1331" t="s">
        <v>4802</v>
      </c>
      <c r="D1331" t="s">
        <v>13</v>
      </c>
      <c r="E1331">
        <v>41</v>
      </c>
      <c r="F1331">
        <v>59</v>
      </c>
      <c r="G1331" t="s">
        <v>4797</v>
      </c>
      <c r="H1331" t="s">
        <v>4804</v>
      </c>
      <c r="I1331">
        <v>13.99</v>
      </c>
      <c r="J1331">
        <v>2</v>
      </c>
      <c r="K1331">
        <v>1.37</v>
      </c>
      <c r="L1331">
        <v>0</v>
      </c>
      <c r="M1331" t="s">
        <v>4808</v>
      </c>
      <c r="N1331" t="s">
        <v>4900</v>
      </c>
      <c r="O1331" t="s">
        <v>4912</v>
      </c>
    </row>
    <row r="1332" spans="1:15" x14ac:dyDescent="0.35">
      <c r="A1332" t="s">
        <v>1328</v>
      </c>
      <c r="B1332">
        <v>39</v>
      </c>
      <c r="C1332" t="s">
        <v>4802</v>
      </c>
      <c r="D1332" t="s">
        <v>15</v>
      </c>
      <c r="E1332">
        <v>74</v>
      </c>
      <c r="F1332">
        <v>17</v>
      </c>
      <c r="G1332" t="s">
        <v>4797</v>
      </c>
      <c r="H1332" t="s">
        <v>4804</v>
      </c>
      <c r="I1332">
        <v>17.989999999999998</v>
      </c>
      <c r="J1332">
        <v>5</v>
      </c>
      <c r="K1332">
        <v>2.4700000000000002</v>
      </c>
      <c r="L1332">
        <v>0</v>
      </c>
      <c r="M1332" t="s">
        <v>4812</v>
      </c>
      <c r="N1332" t="s">
        <v>4900</v>
      </c>
      <c r="O1332" t="s">
        <v>4910</v>
      </c>
    </row>
    <row r="1333" spans="1:15" x14ac:dyDescent="0.35">
      <c r="A1333" t="s">
        <v>1329</v>
      </c>
      <c r="B1333">
        <v>54</v>
      </c>
      <c r="C1333" t="s">
        <v>4802</v>
      </c>
      <c r="D1333" t="s">
        <v>13</v>
      </c>
      <c r="E1333">
        <v>37</v>
      </c>
      <c r="F1333">
        <v>60</v>
      </c>
      <c r="G1333" t="s">
        <v>4799</v>
      </c>
      <c r="H1333" t="s">
        <v>4805</v>
      </c>
      <c r="I1333">
        <v>13.99</v>
      </c>
      <c r="J1333">
        <v>3</v>
      </c>
      <c r="K1333">
        <v>1.23</v>
      </c>
      <c r="L1333">
        <v>1</v>
      </c>
      <c r="M1333" t="s">
        <v>4808</v>
      </c>
      <c r="N1333" t="s">
        <v>4899</v>
      </c>
      <c r="O1333" t="s">
        <v>4910</v>
      </c>
    </row>
    <row r="1334" spans="1:15" x14ac:dyDescent="0.35">
      <c r="A1334" t="s">
        <v>1330</v>
      </c>
      <c r="B1334">
        <v>40</v>
      </c>
      <c r="C1334" t="s">
        <v>4802</v>
      </c>
      <c r="D1334" t="s">
        <v>13</v>
      </c>
      <c r="E1334">
        <v>44</v>
      </c>
      <c r="F1334">
        <v>28</v>
      </c>
      <c r="G1334" t="s">
        <v>4799</v>
      </c>
      <c r="H1334" t="s">
        <v>4804</v>
      </c>
      <c r="I1334">
        <v>13.99</v>
      </c>
      <c r="J1334">
        <v>4</v>
      </c>
      <c r="K1334">
        <v>1.47</v>
      </c>
      <c r="L1334">
        <v>0</v>
      </c>
      <c r="M1334" t="s">
        <v>4812</v>
      </c>
      <c r="N1334" t="s">
        <v>4900</v>
      </c>
      <c r="O1334" t="s">
        <v>4910</v>
      </c>
    </row>
    <row r="1335" spans="1:15" x14ac:dyDescent="0.35">
      <c r="A1335" t="s">
        <v>1331</v>
      </c>
      <c r="B1335">
        <v>25</v>
      </c>
      <c r="C1335" t="s">
        <v>4803</v>
      </c>
      <c r="D1335" t="s">
        <v>13</v>
      </c>
      <c r="E1335">
        <v>43</v>
      </c>
      <c r="F1335">
        <v>26</v>
      </c>
      <c r="G1335" t="s">
        <v>4798</v>
      </c>
      <c r="H1335" t="s">
        <v>4805</v>
      </c>
      <c r="I1335">
        <v>13.99</v>
      </c>
      <c r="J1335">
        <v>4</v>
      </c>
      <c r="K1335">
        <v>1.43</v>
      </c>
      <c r="L1335">
        <v>0</v>
      </c>
      <c r="M1335" t="s">
        <v>4809</v>
      </c>
      <c r="N1335" t="s">
        <v>4900</v>
      </c>
      <c r="O1335" t="s">
        <v>4912</v>
      </c>
    </row>
    <row r="1336" spans="1:15" x14ac:dyDescent="0.35">
      <c r="A1336" t="s">
        <v>1332</v>
      </c>
      <c r="B1336">
        <v>38</v>
      </c>
      <c r="C1336" t="s">
        <v>4803</v>
      </c>
      <c r="D1336" t="s">
        <v>13</v>
      </c>
      <c r="E1336">
        <v>67</v>
      </c>
      <c r="F1336">
        <v>3</v>
      </c>
      <c r="G1336" t="s">
        <v>4799</v>
      </c>
      <c r="H1336" t="s">
        <v>4807</v>
      </c>
      <c r="I1336">
        <v>13.99</v>
      </c>
      <c r="J1336">
        <v>4</v>
      </c>
      <c r="K1336">
        <v>2.23</v>
      </c>
      <c r="L1336">
        <v>0</v>
      </c>
      <c r="M1336" t="s">
        <v>4810</v>
      </c>
      <c r="N1336" t="s">
        <v>4900</v>
      </c>
      <c r="O1336" t="s">
        <v>4910</v>
      </c>
    </row>
    <row r="1337" spans="1:15" x14ac:dyDescent="0.35">
      <c r="A1337" t="s">
        <v>1333</v>
      </c>
      <c r="B1337">
        <v>29</v>
      </c>
      <c r="C1337" t="s">
        <v>4803</v>
      </c>
      <c r="D1337" t="s">
        <v>13</v>
      </c>
      <c r="E1337">
        <v>33</v>
      </c>
      <c r="F1337">
        <v>34</v>
      </c>
      <c r="G1337" t="s">
        <v>4799</v>
      </c>
      <c r="H1337" t="s">
        <v>4806</v>
      </c>
      <c r="I1337">
        <v>13.99</v>
      </c>
      <c r="J1337">
        <v>1</v>
      </c>
      <c r="K1337">
        <v>1.1000000000000001</v>
      </c>
      <c r="L1337">
        <v>0</v>
      </c>
      <c r="M1337" t="s">
        <v>4811</v>
      </c>
      <c r="N1337" t="s">
        <v>4900</v>
      </c>
      <c r="O1337" t="s">
        <v>4912</v>
      </c>
    </row>
    <row r="1338" spans="1:15" x14ac:dyDescent="0.35">
      <c r="A1338" t="s">
        <v>1334</v>
      </c>
      <c r="B1338">
        <v>59</v>
      </c>
      <c r="C1338" t="s">
        <v>4802</v>
      </c>
      <c r="D1338" t="s">
        <v>15</v>
      </c>
      <c r="E1338">
        <v>54</v>
      </c>
      <c r="F1338">
        <v>33</v>
      </c>
      <c r="G1338" t="s">
        <v>4799</v>
      </c>
      <c r="H1338" t="s">
        <v>4805</v>
      </c>
      <c r="I1338">
        <v>17.989999999999998</v>
      </c>
      <c r="J1338">
        <v>2</v>
      </c>
      <c r="K1338">
        <v>1.8</v>
      </c>
      <c r="L1338">
        <v>1</v>
      </c>
      <c r="M1338" t="s">
        <v>4811</v>
      </c>
      <c r="N1338" t="s">
        <v>4899</v>
      </c>
      <c r="O1338" t="s">
        <v>4911</v>
      </c>
    </row>
    <row r="1339" spans="1:15" x14ac:dyDescent="0.35">
      <c r="A1339" t="s">
        <v>1335</v>
      </c>
      <c r="B1339">
        <v>57</v>
      </c>
      <c r="C1339" t="s">
        <v>4802</v>
      </c>
      <c r="D1339" t="s">
        <v>13</v>
      </c>
      <c r="E1339">
        <v>35</v>
      </c>
      <c r="F1339">
        <v>59</v>
      </c>
      <c r="G1339" t="s">
        <v>4799</v>
      </c>
      <c r="H1339" t="s">
        <v>4804</v>
      </c>
      <c r="I1339">
        <v>13.99</v>
      </c>
      <c r="J1339">
        <v>1</v>
      </c>
      <c r="K1339">
        <v>1.17</v>
      </c>
      <c r="L1339">
        <v>0</v>
      </c>
      <c r="M1339" t="s">
        <v>4809</v>
      </c>
      <c r="N1339" t="s">
        <v>4900</v>
      </c>
      <c r="O1339" t="s">
        <v>4911</v>
      </c>
    </row>
    <row r="1340" spans="1:15" x14ac:dyDescent="0.35">
      <c r="A1340" t="s">
        <v>1336</v>
      </c>
      <c r="B1340">
        <v>34</v>
      </c>
      <c r="C1340" t="s">
        <v>4802</v>
      </c>
      <c r="D1340" t="s">
        <v>15</v>
      </c>
      <c r="E1340">
        <v>96</v>
      </c>
      <c r="F1340">
        <v>52</v>
      </c>
      <c r="G1340" t="s">
        <v>4797</v>
      </c>
      <c r="H1340" t="s">
        <v>4805</v>
      </c>
      <c r="I1340">
        <v>17.989999999999998</v>
      </c>
      <c r="J1340">
        <v>3</v>
      </c>
      <c r="K1340">
        <v>3.2</v>
      </c>
      <c r="L1340">
        <v>0</v>
      </c>
      <c r="M1340" t="s">
        <v>4812</v>
      </c>
      <c r="N1340" t="s">
        <v>4900</v>
      </c>
      <c r="O1340" t="s">
        <v>4912</v>
      </c>
    </row>
    <row r="1341" spans="1:15" x14ac:dyDescent="0.35">
      <c r="A1341" t="s">
        <v>1337</v>
      </c>
      <c r="B1341">
        <v>52</v>
      </c>
      <c r="C1341" t="s">
        <v>4803</v>
      </c>
      <c r="D1341" t="s">
        <v>13</v>
      </c>
      <c r="E1341">
        <v>69</v>
      </c>
      <c r="F1341">
        <v>0</v>
      </c>
      <c r="G1341" t="s">
        <v>4797</v>
      </c>
      <c r="H1341" t="s">
        <v>4804</v>
      </c>
      <c r="I1341">
        <v>13.99</v>
      </c>
      <c r="J1341">
        <v>3</v>
      </c>
      <c r="K1341">
        <v>2.2999999999999998</v>
      </c>
      <c r="L1341">
        <v>0</v>
      </c>
      <c r="M1341" t="s">
        <v>4812</v>
      </c>
      <c r="N1341" t="s">
        <v>4900</v>
      </c>
      <c r="O1341" t="s">
        <v>4910</v>
      </c>
    </row>
    <row r="1342" spans="1:15" x14ac:dyDescent="0.35">
      <c r="A1342" t="s">
        <v>1338</v>
      </c>
      <c r="B1342">
        <v>58</v>
      </c>
      <c r="C1342" t="s">
        <v>4803</v>
      </c>
      <c r="D1342" t="s">
        <v>13</v>
      </c>
      <c r="E1342">
        <v>77</v>
      </c>
      <c r="F1342">
        <v>15</v>
      </c>
      <c r="G1342" t="s">
        <v>4798</v>
      </c>
      <c r="H1342" t="s">
        <v>4805</v>
      </c>
      <c r="I1342">
        <v>13.99</v>
      </c>
      <c r="J1342">
        <v>1</v>
      </c>
      <c r="K1342">
        <v>2.57</v>
      </c>
      <c r="L1342">
        <v>0</v>
      </c>
      <c r="M1342" t="s">
        <v>4810</v>
      </c>
      <c r="N1342" t="s">
        <v>4900</v>
      </c>
      <c r="O1342" t="s">
        <v>4911</v>
      </c>
    </row>
    <row r="1343" spans="1:15" x14ac:dyDescent="0.35">
      <c r="A1343" t="s">
        <v>1339</v>
      </c>
      <c r="B1343">
        <v>40</v>
      </c>
      <c r="C1343" t="s">
        <v>4802</v>
      </c>
      <c r="D1343" t="s">
        <v>13</v>
      </c>
      <c r="E1343">
        <v>34</v>
      </c>
      <c r="F1343">
        <v>36</v>
      </c>
      <c r="G1343" t="s">
        <v>4798</v>
      </c>
      <c r="H1343" t="s">
        <v>4804</v>
      </c>
      <c r="I1343">
        <v>13.99</v>
      </c>
      <c r="J1343">
        <v>2</v>
      </c>
      <c r="K1343">
        <v>1.1299999999999999</v>
      </c>
      <c r="L1343">
        <v>0</v>
      </c>
      <c r="M1343" t="s">
        <v>4811</v>
      </c>
      <c r="N1343" t="s">
        <v>4900</v>
      </c>
      <c r="O1343" t="s">
        <v>4910</v>
      </c>
    </row>
    <row r="1344" spans="1:15" x14ac:dyDescent="0.35">
      <c r="A1344" t="s">
        <v>1340</v>
      </c>
      <c r="B1344">
        <v>42</v>
      </c>
      <c r="C1344" t="s">
        <v>4802</v>
      </c>
      <c r="D1344" t="s">
        <v>13</v>
      </c>
      <c r="E1344">
        <v>46</v>
      </c>
      <c r="F1344">
        <v>2</v>
      </c>
      <c r="G1344" t="s">
        <v>4799</v>
      </c>
      <c r="H1344" t="s">
        <v>4805</v>
      </c>
      <c r="I1344">
        <v>13.99</v>
      </c>
      <c r="J1344">
        <v>4</v>
      </c>
      <c r="K1344">
        <v>5</v>
      </c>
      <c r="L1344">
        <v>0</v>
      </c>
      <c r="M1344" t="s">
        <v>4812</v>
      </c>
      <c r="N1344" t="s">
        <v>4900</v>
      </c>
      <c r="O1344" t="s">
        <v>4910</v>
      </c>
    </row>
    <row r="1345" spans="1:15" x14ac:dyDescent="0.35">
      <c r="A1345" t="s">
        <v>1341</v>
      </c>
      <c r="B1345">
        <v>38</v>
      </c>
      <c r="C1345" t="s">
        <v>4802</v>
      </c>
      <c r="D1345" t="s">
        <v>13</v>
      </c>
      <c r="E1345">
        <v>80</v>
      </c>
      <c r="F1345">
        <v>47</v>
      </c>
      <c r="G1345" t="s">
        <v>4797</v>
      </c>
      <c r="H1345" t="s">
        <v>4805</v>
      </c>
      <c r="I1345">
        <v>13.99</v>
      </c>
      <c r="J1345">
        <v>2</v>
      </c>
      <c r="K1345">
        <v>2.67</v>
      </c>
      <c r="L1345">
        <v>1</v>
      </c>
      <c r="M1345" t="s">
        <v>4808</v>
      </c>
      <c r="N1345" t="s">
        <v>4899</v>
      </c>
      <c r="O1345" t="s">
        <v>4910</v>
      </c>
    </row>
    <row r="1346" spans="1:15" x14ac:dyDescent="0.35">
      <c r="A1346" t="s">
        <v>1342</v>
      </c>
      <c r="B1346">
        <v>41</v>
      </c>
      <c r="C1346" t="s">
        <v>4802</v>
      </c>
      <c r="D1346" t="s">
        <v>14</v>
      </c>
      <c r="E1346">
        <v>35</v>
      </c>
      <c r="F1346">
        <v>41</v>
      </c>
      <c r="G1346" t="s">
        <v>4798</v>
      </c>
      <c r="H1346" t="s">
        <v>4806</v>
      </c>
      <c r="I1346">
        <v>8.99</v>
      </c>
      <c r="J1346">
        <v>1</v>
      </c>
      <c r="K1346">
        <v>1.17</v>
      </c>
      <c r="L1346">
        <v>0</v>
      </c>
      <c r="M1346" t="s">
        <v>4812</v>
      </c>
      <c r="N1346" t="s">
        <v>4900</v>
      </c>
      <c r="O1346" t="s">
        <v>4910</v>
      </c>
    </row>
    <row r="1347" spans="1:15" x14ac:dyDescent="0.35">
      <c r="A1347" t="s">
        <v>1343</v>
      </c>
      <c r="B1347">
        <v>58</v>
      </c>
      <c r="C1347" t="s">
        <v>4803</v>
      </c>
      <c r="D1347" t="s">
        <v>13</v>
      </c>
      <c r="E1347">
        <v>66</v>
      </c>
      <c r="F1347">
        <v>46</v>
      </c>
      <c r="G1347" t="s">
        <v>4799</v>
      </c>
      <c r="H1347" t="s">
        <v>4805</v>
      </c>
      <c r="I1347">
        <v>13.99</v>
      </c>
      <c r="J1347">
        <v>2</v>
      </c>
      <c r="K1347">
        <v>2.2000000000000002</v>
      </c>
      <c r="L1347">
        <v>0</v>
      </c>
      <c r="M1347" t="s">
        <v>4812</v>
      </c>
      <c r="N1347" t="s">
        <v>4900</v>
      </c>
      <c r="O1347" t="s">
        <v>4911</v>
      </c>
    </row>
    <row r="1348" spans="1:15" x14ac:dyDescent="0.35">
      <c r="A1348" t="s">
        <v>1344</v>
      </c>
      <c r="B1348">
        <v>49</v>
      </c>
      <c r="C1348" t="s">
        <v>4803</v>
      </c>
      <c r="D1348" t="s">
        <v>13</v>
      </c>
      <c r="E1348">
        <v>60</v>
      </c>
      <c r="F1348">
        <v>43</v>
      </c>
      <c r="G1348" t="s">
        <v>4799</v>
      </c>
      <c r="H1348" t="s">
        <v>4805</v>
      </c>
      <c r="I1348">
        <v>13.99</v>
      </c>
      <c r="J1348">
        <v>2</v>
      </c>
      <c r="K1348">
        <v>2</v>
      </c>
      <c r="L1348">
        <v>0</v>
      </c>
      <c r="M1348" t="s">
        <v>4811</v>
      </c>
      <c r="N1348" t="s">
        <v>4900</v>
      </c>
      <c r="O1348" t="s">
        <v>4910</v>
      </c>
    </row>
    <row r="1349" spans="1:15" x14ac:dyDescent="0.35">
      <c r="A1349" t="s">
        <v>1345</v>
      </c>
      <c r="B1349">
        <v>29</v>
      </c>
      <c r="C1349" t="s">
        <v>4803</v>
      </c>
      <c r="D1349" t="s">
        <v>13</v>
      </c>
      <c r="E1349">
        <v>61</v>
      </c>
      <c r="F1349">
        <v>36</v>
      </c>
      <c r="G1349" t="s">
        <v>4798</v>
      </c>
      <c r="H1349" t="s">
        <v>4804</v>
      </c>
      <c r="I1349">
        <v>13.99</v>
      </c>
      <c r="J1349">
        <v>4</v>
      </c>
      <c r="K1349">
        <v>2.0299999999999998</v>
      </c>
      <c r="L1349">
        <v>0</v>
      </c>
      <c r="M1349" t="s">
        <v>4810</v>
      </c>
      <c r="N1349" t="s">
        <v>4900</v>
      </c>
      <c r="O1349" t="s">
        <v>4912</v>
      </c>
    </row>
    <row r="1350" spans="1:15" x14ac:dyDescent="0.35">
      <c r="A1350" t="s">
        <v>1346</v>
      </c>
      <c r="B1350">
        <v>25</v>
      </c>
      <c r="C1350" t="s">
        <v>4802</v>
      </c>
      <c r="D1350" t="s">
        <v>15</v>
      </c>
      <c r="E1350">
        <v>60</v>
      </c>
      <c r="F1350">
        <v>17</v>
      </c>
      <c r="G1350" t="s">
        <v>4797</v>
      </c>
      <c r="H1350" t="s">
        <v>4804</v>
      </c>
      <c r="I1350">
        <v>17.989999999999998</v>
      </c>
      <c r="J1350">
        <v>3</v>
      </c>
      <c r="K1350">
        <v>2</v>
      </c>
      <c r="L1350">
        <v>0</v>
      </c>
      <c r="M1350" t="s">
        <v>4808</v>
      </c>
      <c r="N1350" t="s">
        <v>4900</v>
      </c>
      <c r="O1350" t="s">
        <v>4912</v>
      </c>
    </row>
    <row r="1351" spans="1:15" x14ac:dyDescent="0.35">
      <c r="A1351" t="s">
        <v>1347</v>
      </c>
      <c r="B1351">
        <v>34</v>
      </c>
      <c r="C1351" t="s">
        <v>4803</v>
      </c>
      <c r="D1351" t="s">
        <v>15</v>
      </c>
      <c r="E1351">
        <v>83</v>
      </c>
      <c r="F1351">
        <v>8</v>
      </c>
      <c r="G1351" t="s">
        <v>4799</v>
      </c>
      <c r="H1351" t="s">
        <v>4805</v>
      </c>
      <c r="I1351">
        <v>17.989999999999998</v>
      </c>
      <c r="J1351">
        <v>5</v>
      </c>
      <c r="K1351">
        <v>2.77</v>
      </c>
      <c r="L1351">
        <v>0</v>
      </c>
      <c r="M1351" t="s">
        <v>4810</v>
      </c>
      <c r="N1351" t="s">
        <v>4900</v>
      </c>
      <c r="O1351" t="s">
        <v>4912</v>
      </c>
    </row>
    <row r="1352" spans="1:15" x14ac:dyDescent="0.35">
      <c r="A1352" t="s">
        <v>1348</v>
      </c>
      <c r="B1352">
        <v>38</v>
      </c>
      <c r="C1352" t="s">
        <v>4803</v>
      </c>
      <c r="D1352" t="s">
        <v>15</v>
      </c>
      <c r="E1352">
        <v>77</v>
      </c>
      <c r="F1352">
        <v>33</v>
      </c>
      <c r="G1352" t="s">
        <v>4798</v>
      </c>
      <c r="H1352" t="s">
        <v>4804</v>
      </c>
      <c r="I1352">
        <v>17.989999999999998</v>
      </c>
      <c r="J1352">
        <v>4</v>
      </c>
      <c r="K1352">
        <v>2.57</v>
      </c>
      <c r="L1352">
        <v>0</v>
      </c>
      <c r="M1352" t="s">
        <v>4811</v>
      </c>
      <c r="N1352" t="s">
        <v>4900</v>
      </c>
      <c r="O1352" t="s">
        <v>4910</v>
      </c>
    </row>
    <row r="1353" spans="1:15" x14ac:dyDescent="0.35">
      <c r="A1353" t="s">
        <v>1349</v>
      </c>
      <c r="B1353">
        <v>52</v>
      </c>
      <c r="C1353" t="s">
        <v>4803</v>
      </c>
      <c r="D1353" t="s">
        <v>14</v>
      </c>
      <c r="E1353">
        <v>10</v>
      </c>
      <c r="F1353">
        <v>58</v>
      </c>
      <c r="G1353" t="s">
        <v>4797</v>
      </c>
      <c r="H1353" t="s">
        <v>4804</v>
      </c>
      <c r="I1353">
        <v>8.99</v>
      </c>
      <c r="J1353">
        <v>2</v>
      </c>
      <c r="K1353">
        <v>0.33</v>
      </c>
      <c r="L1353">
        <v>1</v>
      </c>
      <c r="M1353" t="s">
        <v>4810</v>
      </c>
      <c r="N1353" t="s">
        <v>4899</v>
      </c>
      <c r="O1353" t="s">
        <v>4910</v>
      </c>
    </row>
    <row r="1354" spans="1:15" x14ac:dyDescent="0.35">
      <c r="A1354" t="s">
        <v>1350</v>
      </c>
      <c r="B1354">
        <v>46</v>
      </c>
      <c r="C1354" t="s">
        <v>4803</v>
      </c>
      <c r="D1354" t="s">
        <v>13</v>
      </c>
      <c r="E1354">
        <v>30</v>
      </c>
      <c r="F1354">
        <v>46</v>
      </c>
      <c r="G1354" t="s">
        <v>4797</v>
      </c>
      <c r="H1354" t="s">
        <v>4804</v>
      </c>
      <c r="I1354">
        <v>13.99</v>
      </c>
      <c r="J1354">
        <v>1</v>
      </c>
      <c r="K1354">
        <v>1</v>
      </c>
      <c r="L1354">
        <v>0</v>
      </c>
      <c r="M1354" t="s">
        <v>4809</v>
      </c>
      <c r="N1354" t="s">
        <v>4900</v>
      </c>
      <c r="O1354" t="s">
        <v>4910</v>
      </c>
    </row>
    <row r="1355" spans="1:15" x14ac:dyDescent="0.35">
      <c r="A1355" t="s">
        <v>1351</v>
      </c>
      <c r="B1355">
        <v>36</v>
      </c>
      <c r="C1355" t="s">
        <v>4802</v>
      </c>
      <c r="D1355" t="s">
        <v>13</v>
      </c>
      <c r="E1355">
        <v>42</v>
      </c>
      <c r="F1355">
        <v>30</v>
      </c>
      <c r="G1355" t="s">
        <v>4799</v>
      </c>
      <c r="H1355" t="s">
        <v>4806</v>
      </c>
      <c r="I1355">
        <v>13.99</v>
      </c>
      <c r="J1355">
        <v>1</v>
      </c>
      <c r="K1355">
        <v>1.4</v>
      </c>
      <c r="L1355">
        <v>0</v>
      </c>
      <c r="M1355" t="s">
        <v>4811</v>
      </c>
      <c r="N1355" t="s">
        <v>4900</v>
      </c>
      <c r="O1355" t="s">
        <v>4910</v>
      </c>
    </row>
    <row r="1356" spans="1:15" x14ac:dyDescent="0.35">
      <c r="A1356" t="s">
        <v>1352</v>
      </c>
      <c r="B1356">
        <v>34</v>
      </c>
      <c r="C1356" t="s">
        <v>4802</v>
      </c>
      <c r="D1356" t="s">
        <v>15</v>
      </c>
      <c r="E1356">
        <v>63</v>
      </c>
      <c r="F1356">
        <v>19</v>
      </c>
      <c r="G1356" t="s">
        <v>4798</v>
      </c>
      <c r="H1356" t="s">
        <v>4805</v>
      </c>
      <c r="I1356">
        <v>17.989999999999998</v>
      </c>
      <c r="J1356">
        <v>4</v>
      </c>
      <c r="K1356">
        <v>2.1</v>
      </c>
      <c r="L1356">
        <v>1</v>
      </c>
      <c r="M1356" t="s">
        <v>4808</v>
      </c>
      <c r="N1356" t="s">
        <v>4899</v>
      </c>
      <c r="O1356" t="s">
        <v>4912</v>
      </c>
    </row>
    <row r="1357" spans="1:15" x14ac:dyDescent="0.35">
      <c r="A1357" t="s">
        <v>1353</v>
      </c>
      <c r="B1357">
        <v>38</v>
      </c>
      <c r="C1357" t="s">
        <v>4802</v>
      </c>
      <c r="D1357" t="s">
        <v>13</v>
      </c>
      <c r="E1357">
        <v>72</v>
      </c>
      <c r="F1357">
        <v>58</v>
      </c>
      <c r="G1357" t="s">
        <v>4799</v>
      </c>
      <c r="H1357" t="s">
        <v>4805</v>
      </c>
      <c r="I1357">
        <v>13.99</v>
      </c>
      <c r="J1357">
        <v>4</v>
      </c>
      <c r="K1357">
        <v>2.4</v>
      </c>
      <c r="L1357">
        <v>0</v>
      </c>
      <c r="M1357" t="s">
        <v>4812</v>
      </c>
      <c r="N1357" t="s">
        <v>4900</v>
      </c>
      <c r="O1357" t="s">
        <v>4910</v>
      </c>
    </row>
    <row r="1358" spans="1:15" x14ac:dyDescent="0.35">
      <c r="A1358" t="s">
        <v>1354</v>
      </c>
      <c r="B1358">
        <v>33</v>
      </c>
      <c r="C1358" t="s">
        <v>4802</v>
      </c>
      <c r="D1358" t="s">
        <v>13</v>
      </c>
      <c r="E1358">
        <v>50</v>
      </c>
      <c r="F1358">
        <v>51</v>
      </c>
      <c r="G1358" t="s">
        <v>4798</v>
      </c>
      <c r="H1358" t="s">
        <v>4805</v>
      </c>
      <c r="I1358">
        <v>13.99</v>
      </c>
      <c r="J1358">
        <v>4</v>
      </c>
      <c r="K1358">
        <v>1.67</v>
      </c>
      <c r="L1358">
        <v>0</v>
      </c>
      <c r="M1358" t="s">
        <v>4808</v>
      </c>
      <c r="N1358" t="s">
        <v>4900</v>
      </c>
      <c r="O1358" t="s">
        <v>4912</v>
      </c>
    </row>
    <row r="1359" spans="1:15" x14ac:dyDescent="0.35">
      <c r="A1359" t="s">
        <v>1355</v>
      </c>
      <c r="B1359">
        <v>44</v>
      </c>
      <c r="C1359" t="s">
        <v>4802</v>
      </c>
      <c r="D1359" t="s">
        <v>13</v>
      </c>
      <c r="E1359">
        <v>51</v>
      </c>
      <c r="F1359">
        <v>40</v>
      </c>
      <c r="G1359" t="s">
        <v>4799</v>
      </c>
      <c r="H1359" t="s">
        <v>4806</v>
      </c>
      <c r="I1359">
        <v>13.99</v>
      </c>
      <c r="J1359">
        <v>4</v>
      </c>
      <c r="K1359">
        <v>2.0299999999999998</v>
      </c>
      <c r="L1359">
        <v>0</v>
      </c>
      <c r="M1359" t="s">
        <v>4809</v>
      </c>
      <c r="N1359" t="s">
        <v>4900</v>
      </c>
      <c r="O1359" t="s">
        <v>4910</v>
      </c>
    </row>
    <row r="1360" spans="1:15" x14ac:dyDescent="0.35">
      <c r="A1360" t="s">
        <v>1356</v>
      </c>
      <c r="B1360">
        <v>57</v>
      </c>
      <c r="C1360" t="s">
        <v>4803</v>
      </c>
      <c r="D1360" t="s">
        <v>15</v>
      </c>
      <c r="E1360">
        <v>84</v>
      </c>
      <c r="F1360">
        <v>30</v>
      </c>
      <c r="G1360" t="s">
        <v>4798</v>
      </c>
      <c r="H1360" t="s">
        <v>4807</v>
      </c>
      <c r="I1360">
        <v>17.989999999999998</v>
      </c>
      <c r="J1360">
        <v>3</v>
      </c>
      <c r="K1360">
        <v>2.8</v>
      </c>
      <c r="L1360">
        <v>0</v>
      </c>
      <c r="M1360" t="s">
        <v>4810</v>
      </c>
      <c r="N1360" t="s">
        <v>4900</v>
      </c>
      <c r="O1360" t="s">
        <v>4911</v>
      </c>
    </row>
    <row r="1361" spans="1:15" x14ac:dyDescent="0.35">
      <c r="A1361" t="s">
        <v>1357</v>
      </c>
      <c r="B1361">
        <v>35</v>
      </c>
      <c r="C1361" t="s">
        <v>4802</v>
      </c>
      <c r="D1361" t="s">
        <v>15</v>
      </c>
      <c r="E1361">
        <v>91</v>
      </c>
      <c r="F1361">
        <v>59</v>
      </c>
      <c r="G1361" t="s">
        <v>4798</v>
      </c>
      <c r="H1361" t="s">
        <v>4804</v>
      </c>
      <c r="I1361">
        <v>17.989999999999998</v>
      </c>
      <c r="J1361">
        <v>5</v>
      </c>
      <c r="K1361">
        <v>3.03</v>
      </c>
      <c r="L1361">
        <v>0</v>
      </c>
      <c r="M1361" t="s">
        <v>4811</v>
      </c>
      <c r="N1361" t="s">
        <v>4900</v>
      </c>
      <c r="O1361" t="s">
        <v>4910</v>
      </c>
    </row>
    <row r="1362" spans="1:15" x14ac:dyDescent="0.35">
      <c r="A1362" t="s">
        <v>1358</v>
      </c>
      <c r="B1362">
        <v>42</v>
      </c>
      <c r="C1362" t="s">
        <v>4803</v>
      </c>
      <c r="D1362" t="s">
        <v>13</v>
      </c>
      <c r="E1362">
        <v>71</v>
      </c>
      <c r="F1362">
        <v>27</v>
      </c>
      <c r="G1362" t="s">
        <v>4797</v>
      </c>
      <c r="H1362" t="s">
        <v>4805</v>
      </c>
      <c r="I1362">
        <v>13.99</v>
      </c>
      <c r="J1362">
        <v>1</v>
      </c>
      <c r="K1362">
        <v>2.0299999999999998</v>
      </c>
      <c r="L1362">
        <v>1</v>
      </c>
      <c r="M1362" t="s">
        <v>4810</v>
      </c>
      <c r="N1362" t="s">
        <v>4899</v>
      </c>
      <c r="O1362" t="s">
        <v>4910</v>
      </c>
    </row>
    <row r="1363" spans="1:15" x14ac:dyDescent="0.35">
      <c r="A1363" t="s">
        <v>1359</v>
      </c>
      <c r="B1363">
        <v>47</v>
      </c>
      <c r="C1363" t="s">
        <v>4803</v>
      </c>
      <c r="D1363" t="s">
        <v>13</v>
      </c>
      <c r="E1363">
        <v>77</v>
      </c>
      <c r="F1363">
        <v>60</v>
      </c>
      <c r="G1363" t="s">
        <v>4797</v>
      </c>
      <c r="H1363" t="s">
        <v>4805</v>
      </c>
      <c r="I1363">
        <v>13.99</v>
      </c>
      <c r="J1363">
        <v>4</v>
      </c>
      <c r="K1363">
        <v>2.57</v>
      </c>
      <c r="L1363">
        <v>1</v>
      </c>
      <c r="M1363" t="s">
        <v>4812</v>
      </c>
      <c r="N1363" t="s">
        <v>4899</v>
      </c>
      <c r="O1363" t="s">
        <v>4910</v>
      </c>
    </row>
    <row r="1364" spans="1:15" x14ac:dyDescent="0.35">
      <c r="A1364" t="s">
        <v>1360</v>
      </c>
      <c r="B1364">
        <v>56</v>
      </c>
      <c r="C1364" t="s">
        <v>4803</v>
      </c>
      <c r="D1364" t="s">
        <v>13</v>
      </c>
      <c r="E1364">
        <v>62</v>
      </c>
      <c r="F1364">
        <v>47</v>
      </c>
      <c r="G1364" t="s">
        <v>4797</v>
      </c>
      <c r="H1364" t="s">
        <v>4806</v>
      </c>
      <c r="I1364">
        <v>13.99</v>
      </c>
      <c r="J1364">
        <v>4</v>
      </c>
      <c r="K1364">
        <v>2.0699999999999998</v>
      </c>
      <c r="L1364">
        <v>0</v>
      </c>
      <c r="M1364" t="s">
        <v>4808</v>
      </c>
      <c r="N1364" t="s">
        <v>4900</v>
      </c>
      <c r="O1364" t="s">
        <v>4911</v>
      </c>
    </row>
    <row r="1365" spans="1:15" x14ac:dyDescent="0.35">
      <c r="A1365" t="s">
        <v>1361</v>
      </c>
      <c r="B1365">
        <v>52</v>
      </c>
      <c r="C1365" t="s">
        <v>4803</v>
      </c>
      <c r="D1365" t="s">
        <v>13</v>
      </c>
      <c r="E1365">
        <v>40</v>
      </c>
      <c r="F1365">
        <v>36</v>
      </c>
      <c r="G1365" t="s">
        <v>4799</v>
      </c>
      <c r="H1365" t="s">
        <v>4805</v>
      </c>
      <c r="I1365">
        <v>13.99</v>
      </c>
      <c r="J1365">
        <v>3</v>
      </c>
      <c r="K1365">
        <v>1.33</v>
      </c>
      <c r="L1365">
        <v>0</v>
      </c>
      <c r="M1365" t="s">
        <v>4812</v>
      </c>
      <c r="N1365" t="s">
        <v>4900</v>
      </c>
      <c r="O1365" t="s">
        <v>4910</v>
      </c>
    </row>
    <row r="1366" spans="1:15" x14ac:dyDescent="0.35">
      <c r="A1366" t="s">
        <v>1362</v>
      </c>
      <c r="B1366">
        <v>64</v>
      </c>
      <c r="C1366" t="s">
        <v>4803</v>
      </c>
      <c r="D1366" t="s">
        <v>13</v>
      </c>
      <c r="E1366">
        <v>78</v>
      </c>
      <c r="F1366">
        <v>16</v>
      </c>
      <c r="G1366" t="s">
        <v>4799</v>
      </c>
      <c r="H1366" t="s">
        <v>4805</v>
      </c>
      <c r="I1366">
        <v>13.99</v>
      </c>
      <c r="J1366">
        <v>2</v>
      </c>
      <c r="K1366">
        <v>2.6</v>
      </c>
      <c r="L1366">
        <v>0</v>
      </c>
      <c r="M1366" t="s">
        <v>4810</v>
      </c>
      <c r="N1366" t="s">
        <v>4900</v>
      </c>
      <c r="O1366" t="s">
        <v>4911</v>
      </c>
    </row>
    <row r="1367" spans="1:15" x14ac:dyDescent="0.35">
      <c r="A1367" t="s">
        <v>4823</v>
      </c>
      <c r="B1367">
        <v>33</v>
      </c>
      <c r="C1367" t="s">
        <v>4802</v>
      </c>
      <c r="D1367" t="s">
        <v>13</v>
      </c>
      <c r="E1367">
        <v>58</v>
      </c>
      <c r="F1367">
        <v>18</v>
      </c>
      <c r="G1367" t="s">
        <v>4799</v>
      </c>
      <c r="H1367" t="s">
        <v>4806</v>
      </c>
      <c r="I1367">
        <v>13.99</v>
      </c>
      <c r="J1367">
        <v>2</v>
      </c>
      <c r="K1367">
        <v>1.93</v>
      </c>
      <c r="L1367">
        <v>0</v>
      </c>
      <c r="M1367" t="s">
        <v>4809</v>
      </c>
      <c r="N1367" t="s">
        <v>4900</v>
      </c>
      <c r="O1367" t="s">
        <v>4912</v>
      </c>
    </row>
    <row r="1368" spans="1:15" x14ac:dyDescent="0.35">
      <c r="A1368" t="s">
        <v>1363</v>
      </c>
      <c r="B1368">
        <v>59</v>
      </c>
      <c r="C1368" t="s">
        <v>4802</v>
      </c>
      <c r="D1368" t="s">
        <v>13</v>
      </c>
      <c r="E1368">
        <v>47</v>
      </c>
      <c r="F1368">
        <v>50</v>
      </c>
      <c r="G1368" t="s">
        <v>4797</v>
      </c>
      <c r="H1368" t="s">
        <v>4805</v>
      </c>
      <c r="I1368">
        <v>13.99</v>
      </c>
      <c r="J1368">
        <v>1</v>
      </c>
      <c r="K1368">
        <v>1.57</v>
      </c>
      <c r="L1368">
        <v>0</v>
      </c>
      <c r="M1368" t="s">
        <v>4812</v>
      </c>
      <c r="N1368" t="s">
        <v>4900</v>
      </c>
      <c r="O1368" t="s">
        <v>4911</v>
      </c>
    </row>
    <row r="1369" spans="1:15" x14ac:dyDescent="0.35">
      <c r="A1369" t="s">
        <v>1364</v>
      </c>
      <c r="B1369">
        <v>61</v>
      </c>
      <c r="C1369" t="s">
        <v>4803</v>
      </c>
      <c r="D1369" t="s">
        <v>13</v>
      </c>
      <c r="E1369">
        <v>34</v>
      </c>
      <c r="F1369">
        <v>57</v>
      </c>
      <c r="G1369" t="s">
        <v>4800</v>
      </c>
      <c r="H1369" t="s">
        <v>4805</v>
      </c>
      <c r="I1369">
        <v>13.99</v>
      </c>
      <c r="J1369">
        <v>3</v>
      </c>
      <c r="K1369">
        <v>1.1299999999999999</v>
      </c>
      <c r="L1369">
        <v>0</v>
      </c>
      <c r="M1369" t="s">
        <v>4812</v>
      </c>
      <c r="N1369" t="s">
        <v>4900</v>
      </c>
      <c r="O1369" t="s">
        <v>4911</v>
      </c>
    </row>
    <row r="1370" spans="1:15" x14ac:dyDescent="0.35">
      <c r="A1370" t="s">
        <v>1365</v>
      </c>
      <c r="B1370">
        <v>50</v>
      </c>
      <c r="C1370" t="s">
        <v>4802</v>
      </c>
      <c r="D1370" t="s">
        <v>13</v>
      </c>
      <c r="E1370">
        <v>44</v>
      </c>
      <c r="F1370">
        <v>45</v>
      </c>
      <c r="G1370" t="s">
        <v>4798</v>
      </c>
      <c r="H1370" t="s">
        <v>4804</v>
      </c>
      <c r="I1370">
        <v>13.99</v>
      </c>
      <c r="J1370">
        <v>2</v>
      </c>
      <c r="K1370">
        <v>1.47</v>
      </c>
      <c r="L1370">
        <v>0</v>
      </c>
      <c r="M1370" t="s">
        <v>4809</v>
      </c>
      <c r="N1370" t="s">
        <v>4900</v>
      </c>
      <c r="O1370" t="s">
        <v>4910</v>
      </c>
    </row>
    <row r="1371" spans="1:15" x14ac:dyDescent="0.35">
      <c r="A1371" t="s">
        <v>1366</v>
      </c>
      <c r="B1371">
        <v>33</v>
      </c>
      <c r="C1371" t="s">
        <v>4802</v>
      </c>
      <c r="D1371" t="s">
        <v>14</v>
      </c>
      <c r="E1371">
        <v>62</v>
      </c>
      <c r="F1371">
        <v>3</v>
      </c>
      <c r="G1371" t="s">
        <v>4798</v>
      </c>
      <c r="H1371" t="s">
        <v>4806</v>
      </c>
      <c r="I1371">
        <v>8.99</v>
      </c>
      <c r="J1371">
        <v>2</v>
      </c>
      <c r="K1371">
        <v>2.0699999999999998</v>
      </c>
      <c r="L1371">
        <v>0</v>
      </c>
      <c r="M1371" t="s">
        <v>4809</v>
      </c>
      <c r="N1371" t="s">
        <v>4900</v>
      </c>
      <c r="O1371" t="s">
        <v>4912</v>
      </c>
    </row>
    <row r="1372" spans="1:15" x14ac:dyDescent="0.35">
      <c r="A1372" t="s">
        <v>1367</v>
      </c>
      <c r="B1372">
        <v>21</v>
      </c>
      <c r="C1372" t="s">
        <v>4802</v>
      </c>
      <c r="D1372" t="s">
        <v>15</v>
      </c>
      <c r="E1372">
        <v>90</v>
      </c>
      <c r="F1372">
        <v>43</v>
      </c>
      <c r="G1372" t="s">
        <v>4798</v>
      </c>
      <c r="H1372" t="s">
        <v>4804</v>
      </c>
      <c r="I1372">
        <v>17.989999999999998</v>
      </c>
      <c r="J1372">
        <v>5</v>
      </c>
      <c r="K1372">
        <v>3</v>
      </c>
      <c r="L1372">
        <v>1</v>
      </c>
      <c r="M1372" t="s">
        <v>4810</v>
      </c>
      <c r="N1372" t="s">
        <v>4899</v>
      </c>
      <c r="O1372" t="s">
        <v>4912</v>
      </c>
    </row>
    <row r="1373" spans="1:15" x14ac:dyDescent="0.35">
      <c r="A1373" t="s">
        <v>1368</v>
      </c>
      <c r="B1373">
        <v>21</v>
      </c>
      <c r="C1373" t="s">
        <v>4803</v>
      </c>
      <c r="D1373" t="s">
        <v>15</v>
      </c>
      <c r="E1373">
        <v>92</v>
      </c>
      <c r="F1373">
        <v>46</v>
      </c>
      <c r="G1373" t="s">
        <v>4799</v>
      </c>
      <c r="H1373" t="s">
        <v>4804</v>
      </c>
      <c r="I1373">
        <v>17.989999999999998</v>
      </c>
      <c r="J1373">
        <v>5</v>
      </c>
      <c r="K1373">
        <v>3.07</v>
      </c>
      <c r="L1373">
        <v>0</v>
      </c>
      <c r="M1373" t="s">
        <v>4808</v>
      </c>
      <c r="N1373" t="s">
        <v>4900</v>
      </c>
      <c r="O1373" t="s">
        <v>4912</v>
      </c>
    </row>
    <row r="1374" spans="1:15" x14ac:dyDescent="0.35">
      <c r="A1374" t="s">
        <v>1369</v>
      </c>
      <c r="B1374">
        <v>38</v>
      </c>
      <c r="C1374" t="s">
        <v>4803</v>
      </c>
      <c r="D1374" t="s">
        <v>13</v>
      </c>
      <c r="E1374">
        <v>55</v>
      </c>
      <c r="F1374">
        <v>55</v>
      </c>
      <c r="G1374" t="s">
        <v>4799</v>
      </c>
      <c r="H1374" t="s">
        <v>4805</v>
      </c>
      <c r="I1374">
        <v>13.99</v>
      </c>
      <c r="J1374">
        <v>1</v>
      </c>
      <c r="K1374">
        <v>1.83</v>
      </c>
      <c r="L1374">
        <v>0</v>
      </c>
      <c r="M1374" t="s">
        <v>4809</v>
      </c>
      <c r="N1374" t="s">
        <v>4900</v>
      </c>
      <c r="O1374" t="s">
        <v>4910</v>
      </c>
    </row>
    <row r="1375" spans="1:15" x14ac:dyDescent="0.35">
      <c r="A1375" t="s">
        <v>1370</v>
      </c>
      <c r="B1375">
        <v>24</v>
      </c>
      <c r="C1375" t="s">
        <v>4802</v>
      </c>
      <c r="D1375" t="s">
        <v>13</v>
      </c>
      <c r="E1375">
        <v>66</v>
      </c>
      <c r="F1375">
        <v>52</v>
      </c>
      <c r="G1375" t="s">
        <v>4799</v>
      </c>
      <c r="H1375" t="s">
        <v>4805</v>
      </c>
      <c r="I1375">
        <v>13.99</v>
      </c>
      <c r="J1375">
        <v>3</v>
      </c>
      <c r="K1375">
        <v>2.2000000000000002</v>
      </c>
      <c r="L1375">
        <v>1</v>
      </c>
      <c r="M1375" t="s">
        <v>4809</v>
      </c>
      <c r="N1375" t="s">
        <v>4899</v>
      </c>
      <c r="O1375" t="s">
        <v>4912</v>
      </c>
    </row>
    <row r="1376" spans="1:15" x14ac:dyDescent="0.35">
      <c r="A1376" t="s">
        <v>1371</v>
      </c>
      <c r="B1376">
        <v>19</v>
      </c>
      <c r="C1376" t="s">
        <v>4802</v>
      </c>
      <c r="D1376" t="s">
        <v>13</v>
      </c>
      <c r="E1376">
        <v>60</v>
      </c>
      <c r="F1376">
        <v>2</v>
      </c>
      <c r="G1376" t="s">
        <v>4798</v>
      </c>
      <c r="H1376" t="s">
        <v>4804</v>
      </c>
      <c r="I1376">
        <v>13.99</v>
      </c>
      <c r="J1376">
        <v>1</v>
      </c>
      <c r="K1376">
        <v>2</v>
      </c>
      <c r="L1376">
        <v>0</v>
      </c>
      <c r="M1376" t="s">
        <v>4811</v>
      </c>
      <c r="N1376" t="s">
        <v>4900</v>
      </c>
      <c r="O1376" t="s">
        <v>4912</v>
      </c>
    </row>
    <row r="1377" spans="1:15" x14ac:dyDescent="0.35">
      <c r="A1377" t="s">
        <v>1372</v>
      </c>
      <c r="B1377">
        <v>55</v>
      </c>
      <c r="C1377" t="s">
        <v>4803</v>
      </c>
      <c r="D1377" t="s">
        <v>14</v>
      </c>
      <c r="E1377">
        <v>11</v>
      </c>
      <c r="F1377">
        <v>21</v>
      </c>
      <c r="G1377" t="s">
        <v>4797</v>
      </c>
      <c r="H1377" t="s">
        <v>4804</v>
      </c>
      <c r="I1377">
        <v>8.99</v>
      </c>
      <c r="J1377">
        <v>1</v>
      </c>
      <c r="K1377">
        <v>0.37</v>
      </c>
      <c r="L1377">
        <v>0</v>
      </c>
      <c r="M1377" t="s">
        <v>4810</v>
      </c>
      <c r="N1377" t="s">
        <v>4900</v>
      </c>
      <c r="O1377" t="s">
        <v>4911</v>
      </c>
    </row>
    <row r="1378" spans="1:15" x14ac:dyDescent="0.35">
      <c r="A1378" t="s">
        <v>1373</v>
      </c>
      <c r="B1378">
        <v>20</v>
      </c>
      <c r="C1378" t="s">
        <v>4803</v>
      </c>
      <c r="D1378" t="s">
        <v>13</v>
      </c>
      <c r="E1378">
        <v>48</v>
      </c>
      <c r="F1378">
        <v>34</v>
      </c>
      <c r="G1378" t="s">
        <v>4798</v>
      </c>
      <c r="H1378" t="s">
        <v>4804</v>
      </c>
      <c r="I1378">
        <v>13.99</v>
      </c>
      <c r="J1378">
        <v>4</v>
      </c>
      <c r="K1378">
        <v>1.6</v>
      </c>
      <c r="L1378">
        <v>0</v>
      </c>
      <c r="M1378" t="s">
        <v>4809</v>
      </c>
      <c r="N1378" t="s">
        <v>4900</v>
      </c>
      <c r="O1378" t="s">
        <v>4912</v>
      </c>
    </row>
    <row r="1379" spans="1:15" x14ac:dyDescent="0.35">
      <c r="A1379" t="s">
        <v>1374</v>
      </c>
      <c r="B1379">
        <v>38</v>
      </c>
      <c r="C1379" t="s">
        <v>4802</v>
      </c>
      <c r="D1379" t="s">
        <v>15</v>
      </c>
      <c r="E1379">
        <v>84</v>
      </c>
      <c r="F1379">
        <v>11</v>
      </c>
      <c r="G1379" t="s">
        <v>4797</v>
      </c>
      <c r="H1379" t="s">
        <v>4806</v>
      </c>
      <c r="I1379">
        <v>17.989999999999998</v>
      </c>
      <c r="J1379">
        <v>4</v>
      </c>
      <c r="K1379">
        <v>2.8</v>
      </c>
      <c r="L1379">
        <v>0</v>
      </c>
      <c r="M1379" t="s">
        <v>4809</v>
      </c>
      <c r="N1379" t="s">
        <v>4900</v>
      </c>
      <c r="O1379" t="s">
        <v>4910</v>
      </c>
    </row>
    <row r="1380" spans="1:15" x14ac:dyDescent="0.35">
      <c r="A1380" t="s">
        <v>1375</v>
      </c>
      <c r="B1380">
        <v>18</v>
      </c>
      <c r="C1380" t="s">
        <v>4803</v>
      </c>
      <c r="D1380" t="s">
        <v>13</v>
      </c>
      <c r="E1380">
        <v>35</v>
      </c>
      <c r="F1380">
        <v>44</v>
      </c>
      <c r="G1380" t="s">
        <v>4797</v>
      </c>
      <c r="H1380" t="s">
        <v>4805</v>
      </c>
      <c r="I1380">
        <v>13.99</v>
      </c>
      <c r="J1380">
        <v>4</v>
      </c>
      <c r="K1380">
        <v>1.17</v>
      </c>
      <c r="L1380">
        <v>1</v>
      </c>
      <c r="M1380" t="s">
        <v>4811</v>
      </c>
      <c r="N1380" t="s">
        <v>4899</v>
      </c>
      <c r="O1380" t="s">
        <v>4912</v>
      </c>
    </row>
    <row r="1381" spans="1:15" x14ac:dyDescent="0.35">
      <c r="A1381" t="s">
        <v>1376</v>
      </c>
      <c r="B1381">
        <v>19</v>
      </c>
      <c r="C1381" t="s">
        <v>4803</v>
      </c>
      <c r="D1381" t="s">
        <v>15</v>
      </c>
      <c r="E1381">
        <v>76</v>
      </c>
      <c r="F1381">
        <v>0</v>
      </c>
      <c r="G1381" t="s">
        <v>4798</v>
      </c>
      <c r="H1381" t="s">
        <v>4806</v>
      </c>
      <c r="I1381">
        <v>17.989999999999998</v>
      </c>
      <c r="J1381">
        <v>2</v>
      </c>
      <c r="K1381">
        <v>2.5299999999999998</v>
      </c>
      <c r="L1381">
        <v>0</v>
      </c>
      <c r="M1381" t="s">
        <v>4811</v>
      </c>
      <c r="N1381" t="s">
        <v>4900</v>
      </c>
      <c r="O1381" t="s">
        <v>4912</v>
      </c>
    </row>
    <row r="1382" spans="1:15" x14ac:dyDescent="0.35">
      <c r="A1382" t="s">
        <v>1377</v>
      </c>
      <c r="B1382">
        <v>55</v>
      </c>
      <c r="C1382" t="s">
        <v>4802</v>
      </c>
      <c r="D1382" t="s">
        <v>13</v>
      </c>
      <c r="E1382">
        <v>37</v>
      </c>
      <c r="F1382">
        <v>17</v>
      </c>
      <c r="G1382" t="s">
        <v>4799</v>
      </c>
      <c r="H1382" t="s">
        <v>4805</v>
      </c>
      <c r="I1382">
        <v>13.99</v>
      </c>
      <c r="J1382">
        <v>3</v>
      </c>
      <c r="K1382">
        <v>1.23</v>
      </c>
      <c r="L1382">
        <v>0</v>
      </c>
      <c r="M1382" t="s">
        <v>4812</v>
      </c>
      <c r="N1382" t="s">
        <v>4900</v>
      </c>
      <c r="O1382" t="s">
        <v>4911</v>
      </c>
    </row>
    <row r="1383" spans="1:15" x14ac:dyDescent="0.35">
      <c r="A1383" t="s">
        <v>1378</v>
      </c>
      <c r="B1383">
        <v>19</v>
      </c>
      <c r="C1383" t="s">
        <v>4802</v>
      </c>
      <c r="D1383" t="s">
        <v>13</v>
      </c>
      <c r="E1383">
        <v>63</v>
      </c>
      <c r="F1383">
        <v>19</v>
      </c>
      <c r="G1383" t="s">
        <v>4798</v>
      </c>
      <c r="H1383" t="s">
        <v>4805</v>
      </c>
      <c r="I1383">
        <v>13.99</v>
      </c>
      <c r="J1383">
        <v>3</v>
      </c>
      <c r="K1383">
        <v>2.0299999999999998</v>
      </c>
      <c r="L1383">
        <v>0</v>
      </c>
      <c r="M1383" t="s">
        <v>4810</v>
      </c>
      <c r="N1383" t="s">
        <v>4900</v>
      </c>
      <c r="O1383" t="s">
        <v>4912</v>
      </c>
    </row>
    <row r="1384" spans="1:15" x14ac:dyDescent="0.35">
      <c r="A1384" t="s">
        <v>1379</v>
      </c>
      <c r="B1384">
        <v>32</v>
      </c>
      <c r="C1384" t="s">
        <v>4802</v>
      </c>
      <c r="D1384" t="s">
        <v>13</v>
      </c>
      <c r="E1384">
        <v>55</v>
      </c>
      <c r="F1384">
        <v>38</v>
      </c>
      <c r="G1384" t="s">
        <v>4799</v>
      </c>
      <c r="H1384" t="s">
        <v>4805</v>
      </c>
      <c r="I1384">
        <v>13.99</v>
      </c>
      <c r="J1384">
        <v>3</v>
      </c>
      <c r="K1384">
        <v>1.83</v>
      </c>
      <c r="L1384">
        <v>0</v>
      </c>
      <c r="M1384" t="s">
        <v>4811</v>
      </c>
      <c r="N1384" t="s">
        <v>4900</v>
      </c>
      <c r="O1384" t="s">
        <v>4912</v>
      </c>
    </row>
    <row r="1385" spans="1:15" x14ac:dyDescent="0.35">
      <c r="A1385" t="s">
        <v>1380</v>
      </c>
      <c r="B1385">
        <v>48</v>
      </c>
      <c r="C1385" t="s">
        <v>4802</v>
      </c>
      <c r="D1385" t="s">
        <v>13</v>
      </c>
      <c r="E1385">
        <v>53</v>
      </c>
      <c r="F1385">
        <v>18</v>
      </c>
      <c r="G1385" t="s">
        <v>4797</v>
      </c>
      <c r="H1385" t="s">
        <v>4805</v>
      </c>
      <c r="I1385">
        <v>13.99</v>
      </c>
      <c r="J1385">
        <v>4</v>
      </c>
      <c r="K1385">
        <v>2.0299999999999998</v>
      </c>
      <c r="L1385">
        <v>0</v>
      </c>
      <c r="M1385" t="s">
        <v>4811</v>
      </c>
      <c r="N1385" t="s">
        <v>4900</v>
      </c>
      <c r="O1385" t="s">
        <v>4910</v>
      </c>
    </row>
    <row r="1386" spans="1:15" x14ac:dyDescent="0.35">
      <c r="A1386" t="s">
        <v>1381</v>
      </c>
      <c r="B1386">
        <v>32</v>
      </c>
      <c r="C1386" t="s">
        <v>4803</v>
      </c>
      <c r="D1386" t="s">
        <v>13</v>
      </c>
      <c r="E1386">
        <v>33</v>
      </c>
      <c r="F1386">
        <v>48</v>
      </c>
      <c r="G1386" t="s">
        <v>4799</v>
      </c>
      <c r="H1386" t="s">
        <v>4805</v>
      </c>
      <c r="I1386">
        <v>13.99</v>
      </c>
      <c r="J1386">
        <v>2</v>
      </c>
      <c r="K1386">
        <v>1.1000000000000001</v>
      </c>
      <c r="L1386">
        <v>0</v>
      </c>
      <c r="M1386" t="s">
        <v>4810</v>
      </c>
      <c r="N1386" t="s">
        <v>4900</v>
      </c>
      <c r="O1386" t="s">
        <v>4912</v>
      </c>
    </row>
    <row r="1387" spans="1:15" x14ac:dyDescent="0.35">
      <c r="A1387" t="s">
        <v>1382</v>
      </c>
      <c r="B1387">
        <v>24</v>
      </c>
      <c r="C1387" t="s">
        <v>4803</v>
      </c>
      <c r="D1387" t="s">
        <v>13</v>
      </c>
      <c r="E1387">
        <v>75</v>
      </c>
      <c r="F1387">
        <v>15</v>
      </c>
      <c r="G1387" t="s">
        <v>4799</v>
      </c>
      <c r="H1387" t="s">
        <v>4805</v>
      </c>
      <c r="I1387">
        <v>13.99</v>
      </c>
      <c r="J1387">
        <v>3</v>
      </c>
      <c r="K1387">
        <v>2.5</v>
      </c>
      <c r="L1387">
        <v>0</v>
      </c>
      <c r="M1387" t="s">
        <v>4812</v>
      </c>
      <c r="N1387" t="s">
        <v>4900</v>
      </c>
      <c r="O1387" t="s">
        <v>4912</v>
      </c>
    </row>
    <row r="1388" spans="1:15" x14ac:dyDescent="0.35">
      <c r="A1388" t="s">
        <v>1383</v>
      </c>
      <c r="B1388">
        <v>58</v>
      </c>
      <c r="C1388" t="s">
        <v>4802</v>
      </c>
      <c r="D1388" t="s">
        <v>14</v>
      </c>
      <c r="E1388">
        <v>39</v>
      </c>
      <c r="F1388">
        <v>54</v>
      </c>
      <c r="G1388" t="s">
        <v>4798</v>
      </c>
      <c r="H1388" t="s">
        <v>4805</v>
      </c>
      <c r="I1388">
        <v>8.99</v>
      </c>
      <c r="J1388">
        <v>1</v>
      </c>
      <c r="K1388">
        <v>1.3</v>
      </c>
      <c r="L1388">
        <v>0</v>
      </c>
      <c r="M1388" t="s">
        <v>4809</v>
      </c>
      <c r="N1388" t="s">
        <v>4900</v>
      </c>
      <c r="O1388" t="s">
        <v>4911</v>
      </c>
    </row>
    <row r="1389" spans="1:15" x14ac:dyDescent="0.35">
      <c r="A1389" t="s">
        <v>4859</v>
      </c>
      <c r="B1389">
        <v>31</v>
      </c>
      <c r="C1389" t="s">
        <v>4802</v>
      </c>
      <c r="D1389" t="s">
        <v>13</v>
      </c>
      <c r="E1389">
        <v>44</v>
      </c>
      <c r="F1389">
        <v>20</v>
      </c>
      <c r="G1389" t="s">
        <v>4797</v>
      </c>
      <c r="H1389" t="s">
        <v>4805</v>
      </c>
      <c r="I1389">
        <v>13.99</v>
      </c>
      <c r="J1389">
        <v>2</v>
      </c>
      <c r="K1389">
        <v>1.47</v>
      </c>
      <c r="L1389">
        <v>0</v>
      </c>
      <c r="M1389" t="s">
        <v>4809</v>
      </c>
      <c r="N1389" t="s">
        <v>4900</v>
      </c>
      <c r="O1389" t="s">
        <v>4912</v>
      </c>
    </row>
    <row r="1390" spans="1:15" x14ac:dyDescent="0.35">
      <c r="A1390" t="s">
        <v>1384</v>
      </c>
      <c r="B1390">
        <v>53</v>
      </c>
      <c r="C1390" t="s">
        <v>4802</v>
      </c>
      <c r="D1390" t="s">
        <v>13</v>
      </c>
      <c r="E1390">
        <v>77</v>
      </c>
      <c r="F1390">
        <v>15</v>
      </c>
      <c r="G1390" t="s">
        <v>4799</v>
      </c>
      <c r="H1390" t="s">
        <v>4805</v>
      </c>
      <c r="I1390">
        <v>13.99</v>
      </c>
      <c r="J1390">
        <v>4</v>
      </c>
      <c r="K1390">
        <v>2.57</v>
      </c>
      <c r="L1390">
        <v>0</v>
      </c>
      <c r="M1390" t="s">
        <v>4808</v>
      </c>
      <c r="N1390" t="s">
        <v>4900</v>
      </c>
      <c r="O1390" t="s">
        <v>4910</v>
      </c>
    </row>
    <row r="1391" spans="1:15" x14ac:dyDescent="0.35">
      <c r="A1391" t="s">
        <v>1385</v>
      </c>
      <c r="B1391">
        <v>48</v>
      </c>
      <c r="C1391" t="s">
        <v>4802</v>
      </c>
      <c r="D1391" t="s">
        <v>14</v>
      </c>
      <c r="E1391">
        <v>17</v>
      </c>
      <c r="F1391">
        <v>5</v>
      </c>
      <c r="G1391" t="s">
        <v>4798</v>
      </c>
      <c r="H1391" t="s">
        <v>4804</v>
      </c>
      <c r="I1391">
        <v>8.99</v>
      </c>
      <c r="J1391">
        <v>2</v>
      </c>
      <c r="K1391">
        <v>0.56999999999999995</v>
      </c>
      <c r="L1391">
        <v>0</v>
      </c>
      <c r="M1391" t="s">
        <v>4808</v>
      </c>
      <c r="N1391" t="s">
        <v>4900</v>
      </c>
      <c r="O1391" t="s">
        <v>4910</v>
      </c>
    </row>
    <row r="1392" spans="1:15" x14ac:dyDescent="0.35">
      <c r="A1392" t="s">
        <v>1386</v>
      </c>
      <c r="B1392">
        <v>60</v>
      </c>
      <c r="C1392" t="s">
        <v>4803</v>
      </c>
      <c r="D1392" t="s">
        <v>13</v>
      </c>
      <c r="E1392">
        <v>48</v>
      </c>
      <c r="F1392">
        <v>47</v>
      </c>
      <c r="G1392" t="s">
        <v>4798</v>
      </c>
      <c r="H1392" t="s">
        <v>4805</v>
      </c>
      <c r="I1392">
        <v>13.99</v>
      </c>
      <c r="J1392">
        <v>4</v>
      </c>
      <c r="K1392">
        <v>1.6</v>
      </c>
      <c r="L1392">
        <v>1</v>
      </c>
      <c r="M1392" t="s">
        <v>4809</v>
      </c>
      <c r="N1392" t="s">
        <v>4899</v>
      </c>
      <c r="O1392" t="s">
        <v>4911</v>
      </c>
    </row>
    <row r="1393" spans="1:15" x14ac:dyDescent="0.35">
      <c r="A1393" t="s">
        <v>1387</v>
      </c>
      <c r="B1393">
        <v>62</v>
      </c>
      <c r="C1393" t="s">
        <v>4802</v>
      </c>
      <c r="D1393" t="s">
        <v>15</v>
      </c>
      <c r="E1393">
        <v>75</v>
      </c>
      <c r="F1393">
        <v>12</v>
      </c>
      <c r="G1393" t="s">
        <v>4797</v>
      </c>
      <c r="H1393" t="s">
        <v>4805</v>
      </c>
      <c r="I1393">
        <v>17.989999999999998</v>
      </c>
      <c r="J1393">
        <v>4</v>
      </c>
      <c r="K1393">
        <v>2.0299999999999998</v>
      </c>
      <c r="L1393">
        <v>0</v>
      </c>
      <c r="M1393" t="s">
        <v>4810</v>
      </c>
      <c r="N1393" t="s">
        <v>4900</v>
      </c>
      <c r="O1393" t="s">
        <v>4911</v>
      </c>
    </row>
    <row r="1394" spans="1:15" x14ac:dyDescent="0.35">
      <c r="A1394" t="s">
        <v>1388</v>
      </c>
      <c r="B1394">
        <v>51</v>
      </c>
      <c r="C1394" t="s">
        <v>4803</v>
      </c>
      <c r="D1394" t="s">
        <v>15</v>
      </c>
      <c r="E1394">
        <v>60</v>
      </c>
      <c r="F1394">
        <v>29</v>
      </c>
      <c r="G1394" t="s">
        <v>4800</v>
      </c>
      <c r="H1394" t="s">
        <v>4805</v>
      </c>
      <c r="I1394">
        <v>17.989999999999998</v>
      </c>
      <c r="J1394">
        <v>3</v>
      </c>
      <c r="K1394">
        <v>2.0299999999999998</v>
      </c>
      <c r="L1394">
        <v>1</v>
      </c>
      <c r="M1394" t="s">
        <v>4812</v>
      </c>
      <c r="N1394" t="s">
        <v>4899</v>
      </c>
      <c r="O1394" t="s">
        <v>4910</v>
      </c>
    </row>
    <row r="1395" spans="1:15" x14ac:dyDescent="0.35">
      <c r="A1395" t="s">
        <v>1389</v>
      </c>
      <c r="B1395">
        <v>24</v>
      </c>
      <c r="C1395" t="s">
        <v>4802</v>
      </c>
      <c r="D1395" t="s">
        <v>15</v>
      </c>
      <c r="E1395">
        <v>120</v>
      </c>
      <c r="F1395">
        <v>51</v>
      </c>
      <c r="G1395" t="s">
        <v>4797</v>
      </c>
      <c r="H1395" t="s">
        <v>4805</v>
      </c>
      <c r="I1395">
        <v>17.989999999999998</v>
      </c>
      <c r="J1395">
        <v>3</v>
      </c>
      <c r="K1395">
        <v>4</v>
      </c>
      <c r="L1395">
        <v>0</v>
      </c>
      <c r="M1395" t="s">
        <v>4811</v>
      </c>
      <c r="N1395" t="s">
        <v>4900</v>
      </c>
      <c r="O1395" t="s">
        <v>4912</v>
      </c>
    </row>
    <row r="1396" spans="1:15" x14ac:dyDescent="0.35">
      <c r="A1396" t="s">
        <v>1390</v>
      </c>
      <c r="B1396">
        <v>34</v>
      </c>
      <c r="C1396" t="s">
        <v>4803</v>
      </c>
      <c r="D1396" t="s">
        <v>15</v>
      </c>
      <c r="E1396">
        <v>99</v>
      </c>
      <c r="F1396">
        <v>9</v>
      </c>
      <c r="G1396" t="s">
        <v>4797</v>
      </c>
      <c r="H1396" t="s">
        <v>4804</v>
      </c>
      <c r="I1396">
        <v>17.989999999999998</v>
      </c>
      <c r="J1396">
        <v>3</v>
      </c>
      <c r="K1396">
        <v>3.3</v>
      </c>
      <c r="L1396">
        <v>0</v>
      </c>
      <c r="M1396" t="s">
        <v>4809</v>
      </c>
      <c r="N1396" t="s">
        <v>4900</v>
      </c>
      <c r="O1396" t="s">
        <v>4912</v>
      </c>
    </row>
    <row r="1397" spans="1:15" x14ac:dyDescent="0.35">
      <c r="A1397" t="s">
        <v>1391</v>
      </c>
      <c r="B1397">
        <v>22</v>
      </c>
      <c r="C1397" t="s">
        <v>4802</v>
      </c>
      <c r="D1397" t="s">
        <v>13</v>
      </c>
      <c r="E1397">
        <v>49</v>
      </c>
      <c r="F1397">
        <v>36</v>
      </c>
      <c r="G1397" t="s">
        <v>4797</v>
      </c>
      <c r="H1397" t="s">
        <v>4805</v>
      </c>
      <c r="I1397">
        <v>13.99</v>
      </c>
      <c r="J1397">
        <v>1</v>
      </c>
      <c r="K1397">
        <v>1.63</v>
      </c>
      <c r="L1397">
        <v>0</v>
      </c>
      <c r="M1397" t="s">
        <v>4811</v>
      </c>
      <c r="N1397" t="s">
        <v>4900</v>
      </c>
      <c r="O1397" t="s">
        <v>4912</v>
      </c>
    </row>
    <row r="1398" spans="1:15" x14ac:dyDescent="0.35">
      <c r="A1398" t="s">
        <v>1392</v>
      </c>
      <c r="B1398">
        <v>61</v>
      </c>
      <c r="C1398" t="s">
        <v>4803</v>
      </c>
      <c r="D1398" t="s">
        <v>13</v>
      </c>
      <c r="E1398">
        <v>76</v>
      </c>
      <c r="F1398">
        <v>52</v>
      </c>
      <c r="G1398" t="s">
        <v>4797</v>
      </c>
      <c r="H1398" t="s">
        <v>4805</v>
      </c>
      <c r="I1398">
        <v>13.99</v>
      </c>
      <c r="J1398">
        <v>3</v>
      </c>
      <c r="K1398">
        <v>2.5299999999999998</v>
      </c>
      <c r="L1398">
        <v>0</v>
      </c>
      <c r="M1398" t="s">
        <v>4809</v>
      </c>
      <c r="N1398" t="s">
        <v>4900</v>
      </c>
      <c r="O1398" t="s">
        <v>4911</v>
      </c>
    </row>
    <row r="1399" spans="1:15" x14ac:dyDescent="0.35">
      <c r="A1399" t="s">
        <v>1393</v>
      </c>
      <c r="B1399">
        <v>36</v>
      </c>
      <c r="C1399" t="s">
        <v>4803</v>
      </c>
      <c r="D1399" t="s">
        <v>15</v>
      </c>
      <c r="E1399">
        <v>96</v>
      </c>
      <c r="F1399">
        <v>47</v>
      </c>
      <c r="G1399" t="s">
        <v>4799</v>
      </c>
      <c r="H1399" t="s">
        <v>4805</v>
      </c>
      <c r="I1399">
        <v>17.989999999999998</v>
      </c>
      <c r="J1399">
        <v>5</v>
      </c>
      <c r="K1399">
        <v>3.2</v>
      </c>
      <c r="L1399">
        <v>0</v>
      </c>
      <c r="M1399" t="s">
        <v>4812</v>
      </c>
      <c r="N1399" t="s">
        <v>4900</v>
      </c>
      <c r="O1399" t="s">
        <v>4910</v>
      </c>
    </row>
    <row r="1400" spans="1:15" x14ac:dyDescent="0.35">
      <c r="A1400" t="s">
        <v>1394</v>
      </c>
      <c r="B1400">
        <v>46</v>
      </c>
      <c r="C1400" t="s">
        <v>4803</v>
      </c>
      <c r="D1400" t="s">
        <v>13</v>
      </c>
      <c r="E1400">
        <v>41</v>
      </c>
      <c r="F1400">
        <v>13</v>
      </c>
      <c r="G1400" t="s">
        <v>4797</v>
      </c>
      <c r="H1400" t="s">
        <v>4805</v>
      </c>
      <c r="I1400">
        <v>13.99</v>
      </c>
      <c r="J1400">
        <v>1</v>
      </c>
      <c r="K1400">
        <v>1.37</v>
      </c>
      <c r="L1400">
        <v>0</v>
      </c>
      <c r="M1400" t="s">
        <v>4811</v>
      </c>
      <c r="N1400" t="s">
        <v>4900</v>
      </c>
      <c r="O1400" t="s">
        <v>4910</v>
      </c>
    </row>
    <row r="1401" spans="1:15" x14ac:dyDescent="0.35">
      <c r="A1401" t="s">
        <v>1395</v>
      </c>
      <c r="B1401">
        <v>21</v>
      </c>
      <c r="C1401" t="s">
        <v>4802</v>
      </c>
      <c r="D1401" t="s">
        <v>15</v>
      </c>
      <c r="E1401">
        <v>55</v>
      </c>
      <c r="F1401">
        <v>3</v>
      </c>
      <c r="G1401" t="s">
        <v>4798</v>
      </c>
      <c r="H1401" t="s">
        <v>4804</v>
      </c>
      <c r="I1401">
        <v>17.989999999999998</v>
      </c>
      <c r="J1401">
        <v>4</v>
      </c>
      <c r="K1401">
        <v>1.83</v>
      </c>
      <c r="L1401">
        <v>0</v>
      </c>
      <c r="M1401" t="s">
        <v>4811</v>
      </c>
      <c r="N1401" t="s">
        <v>4900</v>
      </c>
      <c r="O1401" t="s">
        <v>4912</v>
      </c>
    </row>
    <row r="1402" spans="1:15" x14ac:dyDescent="0.35">
      <c r="A1402" t="s">
        <v>1396</v>
      </c>
      <c r="B1402">
        <v>31</v>
      </c>
      <c r="C1402" t="s">
        <v>4802</v>
      </c>
      <c r="D1402" t="s">
        <v>13</v>
      </c>
      <c r="E1402">
        <v>54</v>
      </c>
      <c r="F1402">
        <v>39</v>
      </c>
      <c r="G1402" t="s">
        <v>4798</v>
      </c>
      <c r="H1402" t="s">
        <v>4807</v>
      </c>
      <c r="I1402">
        <v>13.99</v>
      </c>
      <c r="J1402">
        <v>1</v>
      </c>
      <c r="K1402">
        <v>1.8</v>
      </c>
      <c r="L1402">
        <v>0</v>
      </c>
      <c r="M1402" t="s">
        <v>4808</v>
      </c>
      <c r="N1402" t="s">
        <v>4900</v>
      </c>
      <c r="O1402" t="s">
        <v>4912</v>
      </c>
    </row>
    <row r="1403" spans="1:15" x14ac:dyDescent="0.35">
      <c r="A1403" t="s">
        <v>1397</v>
      </c>
      <c r="B1403">
        <v>31</v>
      </c>
      <c r="C1403" t="s">
        <v>4803</v>
      </c>
      <c r="D1403" t="s">
        <v>14</v>
      </c>
      <c r="E1403">
        <v>16</v>
      </c>
      <c r="F1403">
        <v>52</v>
      </c>
      <c r="G1403" t="s">
        <v>4797</v>
      </c>
      <c r="H1403" t="s">
        <v>4806</v>
      </c>
      <c r="I1403">
        <v>8.99</v>
      </c>
      <c r="J1403">
        <v>1</v>
      </c>
      <c r="K1403">
        <v>0.53</v>
      </c>
      <c r="L1403">
        <v>1</v>
      </c>
      <c r="M1403" t="s">
        <v>4811</v>
      </c>
      <c r="N1403" t="s">
        <v>4899</v>
      </c>
      <c r="O1403" t="s">
        <v>4912</v>
      </c>
    </row>
    <row r="1404" spans="1:15" x14ac:dyDescent="0.35">
      <c r="A1404" t="s">
        <v>1398</v>
      </c>
      <c r="B1404">
        <v>51</v>
      </c>
      <c r="C1404" t="s">
        <v>4802</v>
      </c>
      <c r="D1404" t="s">
        <v>15</v>
      </c>
      <c r="E1404">
        <v>58</v>
      </c>
      <c r="F1404">
        <v>59</v>
      </c>
      <c r="G1404" t="s">
        <v>4798</v>
      </c>
      <c r="H1404" t="s">
        <v>4805</v>
      </c>
      <c r="I1404">
        <v>17.989999999999998</v>
      </c>
      <c r="J1404">
        <v>4</v>
      </c>
      <c r="K1404">
        <v>1.93</v>
      </c>
      <c r="L1404">
        <v>0</v>
      </c>
      <c r="M1404" t="s">
        <v>4808</v>
      </c>
      <c r="N1404" t="s">
        <v>4900</v>
      </c>
      <c r="O1404" t="s">
        <v>4910</v>
      </c>
    </row>
    <row r="1405" spans="1:15" x14ac:dyDescent="0.35">
      <c r="A1405" t="s">
        <v>1399</v>
      </c>
      <c r="B1405">
        <v>36</v>
      </c>
      <c r="C1405" t="s">
        <v>4802</v>
      </c>
      <c r="D1405" t="s">
        <v>15</v>
      </c>
      <c r="E1405">
        <v>117</v>
      </c>
      <c r="F1405">
        <v>14</v>
      </c>
      <c r="G1405" t="s">
        <v>4798</v>
      </c>
      <c r="H1405" t="s">
        <v>4805</v>
      </c>
      <c r="I1405">
        <v>17.989999999999998</v>
      </c>
      <c r="J1405">
        <v>2</v>
      </c>
      <c r="K1405">
        <v>3.9</v>
      </c>
      <c r="L1405">
        <v>0</v>
      </c>
      <c r="M1405" t="s">
        <v>4809</v>
      </c>
      <c r="N1405" t="s">
        <v>4900</v>
      </c>
      <c r="O1405" t="s">
        <v>4910</v>
      </c>
    </row>
    <row r="1406" spans="1:15" x14ac:dyDescent="0.35">
      <c r="A1406" t="s">
        <v>1400</v>
      </c>
      <c r="B1406">
        <v>50</v>
      </c>
      <c r="C1406" t="s">
        <v>4803</v>
      </c>
      <c r="D1406" t="s">
        <v>13</v>
      </c>
      <c r="E1406">
        <v>44</v>
      </c>
      <c r="F1406">
        <v>39</v>
      </c>
      <c r="G1406" t="s">
        <v>4797</v>
      </c>
      <c r="H1406" t="s">
        <v>4805</v>
      </c>
      <c r="I1406">
        <v>13.99</v>
      </c>
      <c r="J1406">
        <v>2</v>
      </c>
      <c r="K1406">
        <v>1.47</v>
      </c>
      <c r="L1406">
        <v>1</v>
      </c>
      <c r="M1406" t="s">
        <v>4812</v>
      </c>
      <c r="N1406" t="s">
        <v>4899</v>
      </c>
      <c r="O1406" t="s">
        <v>4910</v>
      </c>
    </row>
    <row r="1407" spans="1:15" x14ac:dyDescent="0.35">
      <c r="A1407" t="s">
        <v>1401</v>
      </c>
      <c r="B1407">
        <v>23</v>
      </c>
      <c r="C1407" t="s">
        <v>4803</v>
      </c>
      <c r="D1407" t="s">
        <v>15</v>
      </c>
      <c r="E1407">
        <v>112</v>
      </c>
      <c r="F1407">
        <v>50</v>
      </c>
      <c r="G1407" t="s">
        <v>4797</v>
      </c>
      <c r="H1407" t="s">
        <v>4804</v>
      </c>
      <c r="I1407">
        <v>17.989999999999998</v>
      </c>
      <c r="J1407">
        <v>2</v>
      </c>
      <c r="K1407">
        <v>3.73</v>
      </c>
      <c r="L1407">
        <v>0</v>
      </c>
      <c r="M1407" t="s">
        <v>4811</v>
      </c>
      <c r="N1407" t="s">
        <v>4900</v>
      </c>
      <c r="O1407" t="s">
        <v>4912</v>
      </c>
    </row>
    <row r="1408" spans="1:15" x14ac:dyDescent="0.35">
      <c r="A1408" t="s">
        <v>1402</v>
      </c>
      <c r="B1408">
        <v>30</v>
      </c>
      <c r="C1408" t="s">
        <v>4803</v>
      </c>
      <c r="D1408" t="s">
        <v>15</v>
      </c>
      <c r="E1408">
        <v>109</v>
      </c>
      <c r="F1408">
        <v>43</v>
      </c>
      <c r="G1408" t="s">
        <v>4801</v>
      </c>
      <c r="H1408" t="s">
        <v>4805</v>
      </c>
      <c r="I1408">
        <v>17.989999999999998</v>
      </c>
      <c r="J1408">
        <v>3</v>
      </c>
      <c r="K1408">
        <v>3.63</v>
      </c>
      <c r="L1408">
        <v>0</v>
      </c>
      <c r="M1408" t="s">
        <v>4809</v>
      </c>
      <c r="N1408" t="s">
        <v>4900</v>
      </c>
      <c r="O1408" t="s">
        <v>4912</v>
      </c>
    </row>
    <row r="1409" spans="1:15" x14ac:dyDescent="0.35">
      <c r="A1409" t="s">
        <v>1403</v>
      </c>
      <c r="B1409">
        <v>50</v>
      </c>
      <c r="C1409" t="s">
        <v>4802</v>
      </c>
      <c r="D1409" t="s">
        <v>13</v>
      </c>
      <c r="E1409">
        <v>60</v>
      </c>
      <c r="F1409">
        <v>39</v>
      </c>
      <c r="G1409" t="s">
        <v>4798</v>
      </c>
      <c r="H1409" t="s">
        <v>4806</v>
      </c>
      <c r="I1409">
        <v>13.99</v>
      </c>
      <c r="J1409">
        <v>2</v>
      </c>
      <c r="K1409">
        <v>2</v>
      </c>
      <c r="L1409">
        <v>1</v>
      </c>
      <c r="M1409" t="s">
        <v>4809</v>
      </c>
      <c r="N1409" t="s">
        <v>4899</v>
      </c>
      <c r="O1409" t="s">
        <v>4910</v>
      </c>
    </row>
    <row r="1410" spans="1:15" x14ac:dyDescent="0.35">
      <c r="A1410" t="s">
        <v>1404</v>
      </c>
      <c r="B1410">
        <v>21</v>
      </c>
      <c r="C1410" t="s">
        <v>4803</v>
      </c>
      <c r="D1410" t="s">
        <v>14</v>
      </c>
      <c r="E1410">
        <v>68</v>
      </c>
      <c r="F1410">
        <v>2</v>
      </c>
      <c r="G1410" t="s">
        <v>4799</v>
      </c>
      <c r="H1410" t="s">
        <v>4804</v>
      </c>
      <c r="I1410">
        <v>8.99</v>
      </c>
      <c r="J1410">
        <v>4</v>
      </c>
      <c r="K1410">
        <v>2.0299999999999998</v>
      </c>
      <c r="L1410">
        <v>0</v>
      </c>
      <c r="M1410" t="s">
        <v>4812</v>
      </c>
      <c r="N1410" t="s">
        <v>4900</v>
      </c>
      <c r="O1410" t="s">
        <v>4912</v>
      </c>
    </row>
    <row r="1411" spans="1:15" x14ac:dyDescent="0.35">
      <c r="A1411" t="s">
        <v>1405</v>
      </c>
      <c r="B1411">
        <v>35</v>
      </c>
      <c r="C1411" t="s">
        <v>4802</v>
      </c>
      <c r="D1411" t="s">
        <v>13</v>
      </c>
      <c r="E1411">
        <v>69</v>
      </c>
      <c r="F1411">
        <v>57</v>
      </c>
      <c r="G1411" t="s">
        <v>4797</v>
      </c>
      <c r="H1411" t="s">
        <v>4804</v>
      </c>
      <c r="I1411">
        <v>13.99</v>
      </c>
      <c r="J1411">
        <v>2</v>
      </c>
      <c r="K1411">
        <v>2.2999999999999998</v>
      </c>
      <c r="L1411">
        <v>1</v>
      </c>
      <c r="M1411" t="s">
        <v>4809</v>
      </c>
      <c r="N1411" t="s">
        <v>4899</v>
      </c>
      <c r="O1411" t="s">
        <v>4910</v>
      </c>
    </row>
    <row r="1412" spans="1:15" x14ac:dyDescent="0.35">
      <c r="A1412" t="s">
        <v>1406</v>
      </c>
      <c r="B1412">
        <v>36</v>
      </c>
      <c r="C1412" t="s">
        <v>4803</v>
      </c>
      <c r="D1412" t="s">
        <v>14</v>
      </c>
      <c r="E1412">
        <v>41</v>
      </c>
      <c r="F1412">
        <v>0</v>
      </c>
      <c r="G1412" t="s">
        <v>4798</v>
      </c>
      <c r="H1412" t="s">
        <v>4805</v>
      </c>
      <c r="I1412">
        <v>8.99</v>
      </c>
      <c r="J1412">
        <v>1</v>
      </c>
      <c r="K1412">
        <v>1.37</v>
      </c>
      <c r="L1412">
        <v>0</v>
      </c>
      <c r="M1412" t="s">
        <v>4812</v>
      </c>
      <c r="N1412" t="s">
        <v>4900</v>
      </c>
      <c r="O1412" t="s">
        <v>4910</v>
      </c>
    </row>
    <row r="1413" spans="1:15" x14ac:dyDescent="0.35">
      <c r="A1413" t="s">
        <v>1407</v>
      </c>
      <c r="B1413">
        <v>50</v>
      </c>
      <c r="C1413" t="s">
        <v>4802</v>
      </c>
      <c r="D1413" t="s">
        <v>13</v>
      </c>
      <c r="E1413">
        <v>53</v>
      </c>
      <c r="F1413">
        <v>49</v>
      </c>
      <c r="G1413" t="s">
        <v>4797</v>
      </c>
      <c r="H1413" t="s">
        <v>4804</v>
      </c>
      <c r="I1413">
        <v>13.99</v>
      </c>
      <c r="J1413">
        <v>3</v>
      </c>
      <c r="K1413">
        <v>1.77</v>
      </c>
      <c r="L1413">
        <v>1</v>
      </c>
      <c r="M1413" t="s">
        <v>4811</v>
      </c>
      <c r="N1413" t="s">
        <v>4899</v>
      </c>
      <c r="O1413" t="s">
        <v>4910</v>
      </c>
    </row>
    <row r="1414" spans="1:15" x14ac:dyDescent="0.35">
      <c r="A1414" t="s">
        <v>1408</v>
      </c>
      <c r="B1414">
        <v>22</v>
      </c>
      <c r="C1414" t="s">
        <v>4803</v>
      </c>
      <c r="D1414" t="s">
        <v>13</v>
      </c>
      <c r="E1414">
        <v>69</v>
      </c>
      <c r="F1414">
        <v>14</v>
      </c>
      <c r="G1414" t="s">
        <v>4800</v>
      </c>
      <c r="H1414" t="s">
        <v>4805</v>
      </c>
      <c r="I1414">
        <v>13.99</v>
      </c>
      <c r="J1414">
        <v>3</v>
      </c>
      <c r="K1414">
        <v>2.2999999999999998</v>
      </c>
      <c r="L1414">
        <v>0</v>
      </c>
      <c r="M1414" t="s">
        <v>4809</v>
      </c>
      <c r="N1414" t="s">
        <v>4900</v>
      </c>
      <c r="O1414" t="s">
        <v>4912</v>
      </c>
    </row>
    <row r="1415" spans="1:15" x14ac:dyDescent="0.35">
      <c r="A1415" t="s">
        <v>1409</v>
      </c>
      <c r="B1415">
        <v>30</v>
      </c>
      <c r="C1415" t="s">
        <v>4802</v>
      </c>
      <c r="D1415" t="s">
        <v>13</v>
      </c>
      <c r="E1415">
        <v>37</v>
      </c>
      <c r="F1415">
        <v>25</v>
      </c>
      <c r="G1415" t="s">
        <v>4799</v>
      </c>
      <c r="H1415" t="s">
        <v>4805</v>
      </c>
      <c r="I1415">
        <v>13.99</v>
      </c>
      <c r="J1415">
        <v>3</v>
      </c>
      <c r="K1415">
        <v>1.23</v>
      </c>
      <c r="L1415">
        <v>0</v>
      </c>
      <c r="M1415" t="s">
        <v>4812</v>
      </c>
      <c r="N1415" t="s">
        <v>4900</v>
      </c>
      <c r="O1415" t="s">
        <v>4912</v>
      </c>
    </row>
    <row r="1416" spans="1:15" x14ac:dyDescent="0.35">
      <c r="A1416" t="s">
        <v>1410</v>
      </c>
      <c r="B1416">
        <v>50</v>
      </c>
      <c r="C1416" t="s">
        <v>4802</v>
      </c>
      <c r="D1416" t="s">
        <v>13</v>
      </c>
      <c r="E1416">
        <v>64</v>
      </c>
      <c r="F1416">
        <v>25</v>
      </c>
      <c r="G1416" t="s">
        <v>4799</v>
      </c>
      <c r="H1416" t="s">
        <v>4805</v>
      </c>
      <c r="I1416">
        <v>13.99</v>
      </c>
      <c r="J1416">
        <v>1</v>
      </c>
      <c r="K1416">
        <v>2.13</v>
      </c>
      <c r="L1416">
        <v>1</v>
      </c>
      <c r="M1416" t="s">
        <v>4811</v>
      </c>
      <c r="N1416" t="s">
        <v>4899</v>
      </c>
      <c r="O1416" t="s">
        <v>4910</v>
      </c>
    </row>
    <row r="1417" spans="1:15" x14ac:dyDescent="0.35">
      <c r="A1417" t="s">
        <v>1411</v>
      </c>
      <c r="B1417">
        <v>59</v>
      </c>
      <c r="C1417" t="s">
        <v>4802</v>
      </c>
      <c r="D1417" t="s">
        <v>13</v>
      </c>
      <c r="E1417">
        <v>39</v>
      </c>
      <c r="F1417">
        <v>46</v>
      </c>
      <c r="G1417" t="s">
        <v>4798</v>
      </c>
      <c r="H1417" t="s">
        <v>4805</v>
      </c>
      <c r="I1417">
        <v>13.99</v>
      </c>
      <c r="J1417">
        <v>3</v>
      </c>
      <c r="K1417">
        <v>1.3</v>
      </c>
      <c r="L1417">
        <v>0</v>
      </c>
      <c r="M1417" t="s">
        <v>4809</v>
      </c>
      <c r="N1417" t="s">
        <v>4900</v>
      </c>
      <c r="O1417" t="s">
        <v>4911</v>
      </c>
    </row>
    <row r="1418" spans="1:15" x14ac:dyDescent="0.35">
      <c r="A1418" t="s">
        <v>1412</v>
      </c>
      <c r="B1418">
        <v>22</v>
      </c>
      <c r="C1418" t="s">
        <v>4803</v>
      </c>
      <c r="D1418" t="s">
        <v>13</v>
      </c>
      <c r="E1418">
        <v>64</v>
      </c>
      <c r="F1418">
        <v>3</v>
      </c>
      <c r="G1418" t="s">
        <v>4797</v>
      </c>
      <c r="H1418" t="s">
        <v>4806</v>
      </c>
      <c r="I1418">
        <v>13.99</v>
      </c>
      <c r="J1418">
        <v>4</v>
      </c>
      <c r="K1418">
        <v>2.0299999999999998</v>
      </c>
      <c r="L1418">
        <v>0</v>
      </c>
      <c r="M1418" t="s">
        <v>4809</v>
      </c>
      <c r="N1418" t="s">
        <v>4900</v>
      </c>
      <c r="O1418" t="s">
        <v>4912</v>
      </c>
    </row>
    <row r="1419" spans="1:15" x14ac:dyDescent="0.35">
      <c r="A1419" t="s">
        <v>1413</v>
      </c>
      <c r="B1419">
        <v>40</v>
      </c>
      <c r="C1419" t="s">
        <v>4803</v>
      </c>
      <c r="D1419" t="s">
        <v>13</v>
      </c>
      <c r="E1419">
        <v>63</v>
      </c>
      <c r="F1419">
        <v>999</v>
      </c>
      <c r="G1419" t="s">
        <v>4797</v>
      </c>
      <c r="H1419" t="s">
        <v>4805</v>
      </c>
      <c r="I1419">
        <v>13.99</v>
      </c>
      <c r="J1419">
        <v>3</v>
      </c>
      <c r="K1419">
        <v>2.1</v>
      </c>
      <c r="L1419">
        <v>0</v>
      </c>
      <c r="M1419" t="s">
        <v>4812</v>
      </c>
      <c r="N1419" t="s">
        <v>4900</v>
      </c>
      <c r="O1419" t="s">
        <v>4910</v>
      </c>
    </row>
    <row r="1420" spans="1:15" x14ac:dyDescent="0.35">
      <c r="A1420" t="s">
        <v>1414</v>
      </c>
      <c r="B1420">
        <v>54</v>
      </c>
      <c r="C1420" t="s">
        <v>4802</v>
      </c>
      <c r="D1420" t="s">
        <v>13</v>
      </c>
      <c r="E1420">
        <v>41</v>
      </c>
      <c r="F1420">
        <v>24</v>
      </c>
      <c r="G1420" t="s">
        <v>4799</v>
      </c>
      <c r="H1420" t="s">
        <v>4806</v>
      </c>
      <c r="I1420">
        <v>13.99</v>
      </c>
      <c r="J1420">
        <v>2</v>
      </c>
      <c r="K1420">
        <v>1.37</v>
      </c>
      <c r="L1420">
        <v>1</v>
      </c>
      <c r="M1420" t="s">
        <v>4811</v>
      </c>
      <c r="N1420" t="s">
        <v>4899</v>
      </c>
      <c r="O1420" t="s">
        <v>4910</v>
      </c>
    </row>
    <row r="1421" spans="1:15" x14ac:dyDescent="0.35">
      <c r="A1421" t="s">
        <v>1415</v>
      </c>
      <c r="B1421">
        <v>58</v>
      </c>
      <c r="C1421" t="s">
        <v>4802</v>
      </c>
      <c r="D1421" t="s">
        <v>13</v>
      </c>
      <c r="E1421">
        <v>51</v>
      </c>
      <c r="F1421">
        <v>40</v>
      </c>
      <c r="G1421" t="s">
        <v>4797</v>
      </c>
      <c r="H1421" t="s">
        <v>4806</v>
      </c>
      <c r="I1421">
        <v>13.99</v>
      </c>
      <c r="J1421">
        <v>2</v>
      </c>
      <c r="K1421">
        <v>5</v>
      </c>
      <c r="L1421">
        <v>0</v>
      </c>
      <c r="M1421" t="s">
        <v>4810</v>
      </c>
      <c r="N1421" t="s">
        <v>4900</v>
      </c>
      <c r="O1421" t="s">
        <v>4911</v>
      </c>
    </row>
    <row r="1422" spans="1:15" x14ac:dyDescent="0.35">
      <c r="A1422" t="s">
        <v>1416</v>
      </c>
      <c r="B1422">
        <v>50</v>
      </c>
      <c r="C1422" t="s">
        <v>4802</v>
      </c>
      <c r="D1422" t="s">
        <v>13</v>
      </c>
      <c r="E1422">
        <v>65</v>
      </c>
      <c r="F1422">
        <v>42</v>
      </c>
      <c r="G1422" t="s">
        <v>4797</v>
      </c>
      <c r="H1422" t="s">
        <v>4806</v>
      </c>
      <c r="I1422">
        <v>13.99</v>
      </c>
      <c r="J1422">
        <v>1</v>
      </c>
      <c r="K1422">
        <v>2.17</v>
      </c>
      <c r="L1422">
        <v>0</v>
      </c>
      <c r="M1422" t="s">
        <v>4810</v>
      </c>
      <c r="N1422" t="s">
        <v>4900</v>
      </c>
      <c r="O1422" t="s">
        <v>4910</v>
      </c>
    </row>
    <row r="1423" spans="1:15" x14ac:dyDescent="0.35">
      <c r="A1423" t="s">
        <v>1417</v>
      </c>
      <c r="B1423">
        <v>26</v>
      </c>
      <c r="C1423" t="s">
        <v>4802</v>
      </c>
      <c r="D1423" t="s">
        <v>15</v>
      </c>
      <c r="E1423">
        <v>67</v>
      </c>
      <c r="F1423">
        <v>42</v>
      </c>
      <c r="G1423" t="s">
        <v>4797</v>
      </c>
      <c r="H1423" t="s">
        <v>4805</v>
      </c>
      <c r="I1423">
        <v>17.989999999999998</v>
      </c>
      <c r="J1423">
        <v>5</v>
      </c>
      <c r="K1423">
        <v>2.23</v>
      </c>
      <c r="L1423">
        <v>0</v>
      </c>
      <c r="M1423" t="s">
        <v>4809</v>
      </c>
      <c r="N1423" t="s">
        <v>4900</v>
      </c>
      <c r="O1423" t="s">
        <v>4912</v>
      </c>
    </row>
    <row r="1424" spans="1:15" x14ac:dyDescent="0.35">
      <c r="A1424" t="s">
        <v>1418</v>
      </c>
      <c r="B1424">
        <v>18</v>
      </c>
      <c r="C1424" t="s">
        <v>4803</v>
      </c>
      <c r="D1424" t="s">
        <v>13</v>
      </c>
      <c r="E1424">
        <v>58</v>
      </c>
      <c r="F1424">
        <v>25</v>
      </c>
      <c r="G1424" t="s">
        <v>4797</v>
      </c>
      <c r="H1424" t="s">
        <v>4805</v>
      </c>
      <c r="I1424">
        <v>13.99</v>
      </c>
      <c r="J1424">
        <v>2</v>
      </c>
      <c r="K1424">
        <v>1.93</v>
      </c>
      <c r="L1424">
        <v>0</v>
      </c>
      <c r="M1424" t="s">
        <v>4809</v>
      </c>
      <c r="N1424" t="s">
        <v>4900</v>
      </c>
      <c r="O1424" t="s">
        <v>4912</v>
      </c>
    </row>
    <row r="1425" spans="1:15" x14ac:dyDescent="0.35">
      <c r="A1425" t="s">
        <v>1419</v>
      </c>
      <c r="B1425">
        <v>36</v>
      </c>
      <c r="C1425" t="s">
        <v>4802</v>
      </c>
      <c r="D1425" t="s">
        <v>13</v>
      </c>
      <c r="E1425">
        <v>62</v>
      </c>
      <c r="F1425">
        <v>22</v>
      </c>
      <c r="G1425" t="s">
        <v>4797</v>
      </c>
      <c r="H1425" t="s">
        <v>4805</v>
      </c>
      <c r="I1425">
        <v>13.99</v>
      </c>
      <c r="J1425">
        <v>2</v>
      </c>
      <c r="K1425">
        <v>2.0699999999999998</v>
      </c>
      <c r="L1425">
        <v>0</v>
      </c>
      <c r="M1425" t="s">
        <v>4809</v>
      </c>
      <c r="N1425" t="s">
        <v>4900</v>
      </c>
      <c r="O1425" t="s">
        <v>4910</v>
      </c>
    </row>
    <row r="1426" spans="1:15" x14ac:dyDescent="0.35">
      <c r="A1426" t="s">
        <v>1420</v>
      </c>
      <c r="B1426">
        <v>48</v>
      </c>
      <c r="C1426" t="s">
        <v>4802</v>
      </c>
      <c r="D1426" t="s">
        <v>13</v>
      </c>
      <c r="E1426">
        <v>35</v>
      </c>
      <c r="F1426">
        <v>9</v>
      </c>
      <c r="G1426" t="s">
        <v>4798</v>
      </c>
      <c r="H1426" t="s">
        <v>4804</v>
      </c>
      <c r="I1426">
        <v>13.99</v>
      </c>
      <c r="J1426">
        <v>3</v>
      </c>
      <c r="K1426">
        <v>1.17</v>
      </c>
      <c r="L1426">
        <v>0</v>
      </c>
      <c r="M1426" t="s">
        <v>4810</v>
      </c>
      <c r="N1426" t="s">
        <v>4900</v>
      </c>
      <c r="O1426" t="s">
        <v>4910</v>
      </c>
    </row>
    <row r="1427" spans="1:15" x14ac:dyDescent="0.35">
      <c r="A1427" t="s">
        <v>1421</v>
      </c>
      <c r="B1427">
        <v>39</v>
      </c>
      <c r="C1427" t="s">
        <v>4802</v>
      </c>
      <c r="D1427" t="s">
        <v>15</v>
      </c>
      <c r="E1427">
        <v>103</v>
      </c>
      <c r="F1427">
        <v>36</v>
      </c>
      <c r="G1427" t="s">
        <v>4798</v>
      </c>
      <c r="H1427" t="s">
        <v>4804</v>
      </c>
      <c r="I1427">
        <v>17.989999999999998</v>
      </c>
      <c r="J1427">
        <v>3</v>
      </c>
      <c r="K1427">
        <v>3.43</v>
      </c>
      <c r="L1427">
        <v>0</v>
      </c>
      <c r="M1427" t="s">
        <v>4812</v>
      </c>
      <c r="N1427" t="s">
        <v>4900</v>
      </c>
      <c r="O1427" t="s">
        <v>4910</v>
      </c>
    </row>
    <row r="1428" spans="1:15" x14ac:dyDescent="0.35">
      <c r="A1428" t="s">
        <v>1422</v>
      </c>
      <c r="B1428">
        <v>58</v>
      </c>
      <c r="C1428" t="s">
        <v>4802</v>
      </c>
      <c r="D1428" t="s">
        <v>13</v>
      </c>
      <c r="E1428">
        <v>33</v>
      </c>
      <c r="F1428">
        <v>20</v>
      </c>
      <c r="G1428" t="s">
        <v>4799</v>
      </c>
      <c r="H1428" t="s">
        <v>4804</v>
      </c>
      <c r="I1428">
        <v>13.99</v>
      </c>
      <c r="J1428">
        <v>4</v>
      </c>
      <c r="K1428">
        <v>1.1000000000000001</v>
      </c>
      <c r="L1428">
        <v>0</v>
      </c>
      <c r="M1428" t="s">
        <v>4811</v>
      </c>
      <c r="N1428" t="s">
        <v>4900</v>
      </c>
      <c r="O1428" t="s">
        <v>4911</v>
      </c>
    </row>
    <row r="1429" spans="1:15" x14ac:dyDescent="0.35">
      <c r="A1429" t="s">
        <v>1423</v>
      </c>
      <c r="B1429">
        <v>48</v>
      </c>
      <c r="C1429" t="s">
        <v>4802</v>
      </c>
      <c r="D1429" t="s">
        <v>13</v>
      </c>
      <c r="E1429">
        <v>66</v>
      </c>
      <c r="F1429">
        <v>57</v>
      </c>
      <c r="G1429" t="s">
        <v>4798</v>
      </c>
      <c r="H1429" t="s">
        <v>4805</v>
      </c>
      <c r="I1429">
        <v>13.99</v>
      </c>
      <c r="J1429">
        <v>4</v>
      </c>
      <c r="K1429">
        <v>2.2000000000000002</v>
      </c>
      <c r="L1429">
        <v>0</v>
      </c>
      <c r="M1429" t="s">
        <v>4810</v>
      </c>
      <c r="N1429" t="s">
        <v>4900</v>
      </c>
      <c r="O1429" t="s">
        <v>4910</v>
      </c>
    </row>
    <row r="1430" spans="1:15" x14ac:dyDescent="0.35">
      <c r="A1430" t="s">
        <v>1424</v>
      </c>
      <c r="B1430">
        <v>63</v>
      </c>
      <c r="C1430" t="s">
        <v>4803</v>
      </c>
      <c r="D1430" t="s">
        <v>15</v>
      </c>
      <c r="E1430">
        <v>66</v>
      </c>
      <c r="F1430">
        <v>16</v>
      </c>
      <c r="G1430" t="s">
        <v>4798</v>
      </c>
      <c r="H1430" t="s">
        <v>4805</v>
      </c>
      <c r="I1430">
        <v>17.989999999999998</v>
      </c>
      <c r="J1430">
        <v>2</v>
      </c>
      <c r="K1430">
        <v>2.2000000000000002</v>
      </c>
      <c r="L1430">
        <v>0</v>
      </c>
      <c r="M1430" t="s">
        <v>4809</v>
      </c>
      <c r="N1430" t="s">
        <v>4900</v>
      </c>
      <c r="O1430" t="s">
        <v>4911</v>
      </c>
    </row>
    <row r="1431" spans="1:15" x14ac:dyDescent="0.35">
      <c r="A1431" t="s">
        <v>1425</v>
      </c>
      <c r="B1431">
        <v>30</v>
      </c>
      <c r="C1431" t="s">
        <v>4803</v>
      </c>
      <c r="D1431" t="s">
        <v>14</v>
      </c>
      <c r="E1431">
        <v>24</v>
      </c>
      <c r="F1431">
        <v>24</v>
      </c>
      <c r="G1431" t="s">
        <v>4798</v>
      </c>
      <c r="H1431" t="s">
        <v>4805</v>
      </c>
      <c r="I1431">
        <v>8.99</v>
      </c>
      <c r="J1431">
        <v>2</v>
      </c>
      <c r="K1431">
        <v>0.8</v>
      </c>
      <c r="L1431">
        <v>1</v>
      </c>
      <c r="M1431" t="s">
        <v>4810</v>
      </c>
      <c r="N1431" t="s">
        <v>4899</v>
      </c>
      <c r="O1431" t="s">
        <v>4912</v>
      </c>
    </row>
    <row r="1432" spans="1:15" x14ac:dyDescent="0.35">
      <c r="A1432" t="s">
        <v>1426</v>
      </c>
      <c r="B1432">
        <v>22</v>
      </c>
      <c r="C1432" t="s">
        <v>4802</v>
      </c>
      <c r="D1432" t="s">
        <v>13</v>
      </c>
      <c r="E1432">
        <v>45</v>
      </c>
      <c r="F1432">
        <v>40</v>
      </c>
      <c r="G1432" t="s">
        <v>4799</v>
      </c>
      <c r="H1432" t="s">
        <v>4805</v>
      </c>
      <c r="I1432">
        <v>13.99</v>
      </c>
      <c r="J1432">
        <v>3</v>
      </c>
      <c r="K1432">
        <v>2.0299999999999998</v>
      </c>
      <c r="L1432">
        <v>0</v>
      </c>
      <c r="M1432" t="s">
        <v>4810</v>
      </c>
      <c r="N1432" t="s">
        <v>4900</v>
      </c>
      <c r="O1432" t="s">
        <v>4912</v>
      </c>
    </row>
    <row r="1433" spans="1:15" x14ac:dyDescent="0.35">
      <c r="A1433" t="s">
        <v>1427</v>
      </c>
      <c r="B1433">
        <v>50</v>
      </c>
      <c r="C1433" t="s">
        <v>4803</v>
      </c>
      <c r="D1433" t="s">
        <v>15</v>
      </c>
      <c r="E1433">
        <v>83</v>
      </c>
      <c r="F1433">
        <v>39</v>
      </c>
      <c r="G1433" t="s">
        <v>4797</v>
      </c>
      <c r="H1433" t="s">
        <v>4804</v>
      </c>
      <c r="I1433">
        <v>17.989999999999998</v>
      </c>
      <c r="J1433">
        <v>5</v>
      </c>
      <c r="K1433">
        <v>2.77</v>
      </c>
      <c r="L1433">
        <v>0</v>
      </c>
      <c r="M1433" t="s">
        <v>4808</v>
      </c>
      <c r="N1433" t="s">
        <v>4900</v>
      </c>
      <c r="O1433" t="s">
        <v>4910</v>
      </c>
    </row>
    <row r="1434" spans="1:15" x14ac:dyDescent="0.35">
      <c r="A1434" t="s">
        <v>1428</v>
      </c>
      <c r="B1434">
        <v>23</v>
      </c>
      <c r="C1434" t="s">
        <v>4803</v>
      </c>
      <c r="D1434" t="s">
        <v>13</v>
      </c>
      <c r="E1434">
        <v>80</v>
      </c>
      <c r="F1434">
        <v>59</v>
      </c>
      <c r="G1434" t="s">
        <v>4797</v>
      </c>
      <c r="H1434" t="s">
        <v>4805</v>
      </c>
      <c r="I1434">
        <v>13.99</v>
      </c>
      <c r="J1434">
        <v>3</v>
      </c>
      <c r="K1434">
        <v>5</v>
      </c>
      <c r="L1434">
        <v>0</v>
      </c>
      <c r="M1434" t="s">
        <v>4809</v>
      </c>
      <c r="N1434" t="s">
        <v>4900</v>
      </c>
      <c r="O1434" t="s">
        <v>4912</v>
      </c>
    </row>
    <row r="1435" spans="1:15" x14ac:dyDescent="0.35">
      <c r="A1435" t="s">
        <v>1429</v>
      </c>
      <c r="B1435">
        <v>54</v>
      </c>
      <c r="C1435" t="s">
        <v>4802</v>
      </c>
      <c r="D1435" t="s">
        <v>13</v>
      </c>
      <c r="E1435">
        <v>74</v>
      </c>
      <c r="F1435">
        <v>6</v>
      </c>
      <c r="G1435" t="s">
        <v>4798</v>
      </c>
      <c r="H1435" t="s">
        <v>4805</v>
      </c>
      <c r="I1435">
        <v>13.99</v>
      </c>
      <c r="J1435">
        <v>1</v>
      </c>
      <c r="K1435">
        <v>2.4700000000000002</v>
      </c>
      <c r="L1435">
        <v>0</v>
      </c>
      <c r="M1435" t="s">
        <v>4812</v>
      </c>
      <c r="N1435" t="s">
        <v>4900</v>
      </c>
      <c r="O1435" t="s">
        <v>4910</v>
      </c>
    </row>
    <row r="1436" spans="1:15" x14ac:dyDescent="0.35">
      <c r="A1436" t="s">
        <v>4824</v>
      </c>
      <c r="B1436">
        <v>59</v>
      </c>
      <c r="C1436" t="s">
        <v>4802</v>
      </c>
      <c r="D1436" t="s">
        <v>13</v>
      </c>
      <c r="E1436">
        <v>68</v>
      </c>
      <c r="F1436">
        <v>8</v>
      </c>
      <c r="G1436" t="s">
        <v>4798</v>
      </c>
      <c r="H1436" t="s">
        <v>4804</v>
      </c>
      <c r="I1436">
        <v>13.99</v>
      </c>
      <c r="J1436">
        <v>4</v>
      </c>
      <c r="K1436">
        <v>2.0299999999999998</v>
      </c>
      <c r="L1436">
        <v>0</v>
      </c>
      <c r="M1436" t="s">
        <v>4808</v>
      </c>
      <c r="N1436" t="s">
        <v>4900</v>
      </c>
      <c r="O1436" t="s">
        <v>4911</v>
      </c>
    </row>
    <row r="1437" spans="1:15" x14ac:dyDescent="0.35">
      <c r="A1437" t="s">
        <v>1430</v>
      </c>
      <c r="B1437">
        <v>34</v>
      </c>
      <c r="C1437" t="s">
        <v>4803</v>
      </c>
      <c r="D1437" t="s">
        <v>13</v>
      </c>
      <c r="E1437">
        <v>70</v>
      </c>
      <c r="F1437">
        <v>2</v>
      </c>
      <c r="G1437" t="s">
        <v>4799</v>
      </c>
      <c r="H1437" t="s">
        <v>4805</v>
      </c>
      <c r="I1437">
        <v>13.99</v>
      </c>
      <c r="J1437">
        <v>2</v>
      </c>
      <c r="K1437">
        <v>2.33</v>
      </c>
      <c r="L1437">
        <v>0</v>
      </c>
      <c r="M1437" t="s">
        <v>4810</v>
      </c>
      <c r="N1437" t="s">
        <v>4900</v>
      </c>
      <c r="O1437" t="s">
        <v>4912</v>
      </c>
    </row>
    <row r="1438" spans="1:15" x14ac:dyDescent="0.35">
      <c r="A1438" t="s">
        <v>1431</v>
      </c>
      <c r="B1438">
        <v>38</v>
      </c>
      <c r="C1438" t="s">
        <v>4802</v>
      </c>
      <c r="D1438" t="s">
        <v>13</v>
      </c>
      <c r="E1438">
        <v>57</v>
      </c>
      <c r="F1438">
        <v>8</v>
      </c>
      <c r="G1438" t="s">
        <v>4798</v>
      </c>
      <c r="H1438" t="s">
        <v>4805</v>
      </c>
      <c r="I1438">
        <v>13.99</v>
      </c>
      <c r="J1438">
        <v>3</v>
      </c>
      <c r="K1438">
        <v>1.9</v>
      </c>
      <c r="L1438">
        <v>0</v>
      </c>
      <c r="M1438" t="s">
        <v>4808</v>
      </c>
      <c r="N1438" t="s">
        <v>4900</v>
      </c>
      <c r="O1438" t="s">
        <v>4910</v>
      </c>
    </row>
    <row r="1439" spans="1:15" x14ac:dyDescent="0.35">
      <c r="A1439" t="s">
        <v>1432</v>
      </c>
      <c r="B1439">
        <v>47</v>
      </c>
      <c r="C1439" t="s">
        <v>4803</v>
      </c>
      <c r="D1439" t="s">
        <v>13</v>
      </c>
      <c r="E1439">
        <v>37</v>
      </c>
      <c r="F1439">
        <v>30</v>
      </c>
      <c r="G1439" t="s">
        <v>4799</v>
      </c>
      <c r="H1439" t="s">
        <v>4805</v>
      </c>
      <c r="I1439">
        <v>13.99</v>
      </c>
      <c r="J1439">
        <v>2</v>
      </c>
      <c r="K1439">
        <v>1.23</v>
      </c>
      <c r="L1439">
        <v>0</v>
      </c>
      <c r="M1439" t="s">
        <v>4811</v>
      </c>
      <c r="N1439" t="s">
        <v>4900</v>
      </c>
      <c r="O1439" t="s">
        <v>4910</v>
      </c>
    </row>
    <row r="1440" spans="1:15" x14ac:dyDescent="0.35">
      <c r="A1440" t="s">
        <v>1433</v>
      </c>
      <c r="B1440">
        <v>55</v>
      </c>
      <c r="C1440" t="s">
        <v>4802</v>
      </c>
      <c r="D1440" t="s">
        <v>13</v>
      </c>
      <c r="E1440">
        <v>31</v>
      </c>
      <c r="F1440">
        <v>12</v>
      </c>
      <c r="G1440" t="s">
        <v>4798</v>
      </c>
      <c r="H1440" t="s">
        <v>4805</v>
      </c>
      <c r="I1440">
        <v>13.99</v>
      </c>
      <c r="J1440">
        <v>2</v>
      </c>
      <c r="K1440">
        <v>1.03</v>
      </c>
      <c r="L1440">
        <v>0</v>
      </c>
      <c r="M1440" t="s">
        <v>4812</v>
      </c>
      <c r="N1440" t="s">
        <v>4900</v>
      </c>
      <c r="O1440" t="s">
        <v>4911</v>
      </c>
    </row>
    <row r="1441" spans="1:15" x14ac:dyDescent="0.35">
      <c r="A1441" t="s">
        <v>1434</v>
      </c>
      <c r="B1441">
        <v>64</v>
      </c>
      <c r="C1441" t="s">
        <v>4802</v>
      </c>
      <c r="D1441" t="s">
        <v>15</v>
      </c>
      <c r="E1441">
        <v>75</v>
      </c>
      <c r="F1441">
        <v>27</v>
      </c>
      <c r="G1441" t="s">
        <v>4799</v>
      </c>
      <c r="H1441" t="s">
        <v>4804</v>
      </c>
      <c r="I1441">
        <v>17.989999999999998</v>
      </c>
      <c r="J1441">
        <v>3</v>
      </c>
      <c r="K1441">
        <v>2.5</v>
      </c>
      <c r="L1441">
        <v>0</v>
      </c>
      <c r="M1441" t="s">
        <v>4812</v>
      </c>
      <c r="N1441" t="s">
        <v>4900</v>
      </c>
      <c r="O1441" t="s">
        <v>4911</v>
      </c>
    </row>
    <row r="1442" spans="1:15" x14ac:dyDescent="0.35">
      <c r="A1442" t="s">
        <v>1435</v>
      </c>
      <c r="B1442">
        <v>46</v>
      </c>
      <c r="C1442" t="s">
        <v>4802</v>
      </c>
      <c r="D1442" t="s">
        <v>13</v>
      </c>
      <c r="E1442">
        <v>80</v>
      </c>
      <c r="F1442">
        <v>43</v>
      </c>
      <c r="G1442" t="s">
        <v>4797</v>
      </c>
      <c r="H1442" t="s">
        <v>4806</v>
      </c>
      <c r="I1442">
        <v>13.99</v>
      </c>
      <c r="J1442">
        <v>3</v>
      </c>
      <c r="K1442">
        <v>2.67</v>
      </c>
      <c r="L1442">
        <v>0</v>
      </c>
      <c r="M1442" t="s">
        <v>4809</v>
      </c>
      <c r="N1442" t="s">
        <v>4900</v>
      </c>
      <c r="O1442" t="s">
        <v>4910</v>
      </c>
    </row>
    <row r="1443" spans="1:15" x14ac:dyDescent="0.35">
      <c r="A1443" t="s">
        <v>1436</v>
      </c>
      <c r="B1443">
        <v>45</v>
      </c>
      <c r="C1443" t="s">
        <v>4803</v>
      </c>
      <c r="D1443" t="s">
        <v>13</v>
      </c>
      <c r="E1443">
        <v>33</v>
      </c>
      <c r="F1443">
        <v>9</v>
      </c>
      <c r="G1443" t="s">
        <v>4799</v>
      </c>
      <c r="H1443" t="s">
        <v>4804</v>
      </c>
      <c r="I1443">
        <v>13.99</v>
      </c>
      <c r="J1443">
        <v>3</v>
      </c>
      <c r="K1443">
        <v>1.1000000000000001</v>
      </c>
      <c r="L1443">
        <v>0</v>
      </c>
      <c r="M1443" t="s">
        <v>4810</v>
      </c>
      <c r="N1443" t="s">
        <v>4900</v>
      </c>
      <c r="O1443" t="s">
        <v>4910</v>
      </c>
    </row>
    <row r="1444" spans="1:15" x14ac:dyDescent="0.35">
      <c r="A1444" t="s">
        <v>1437</v>
      </c>
      <c r="B1444">
        <v>46</v>
      </c>
      <c r="C1444" t="s">
        <v>4802</v>
      </c>
      <c r="D1444" t="s">
        <v>13</v>
      </c>
      <c r="E1444">
        <v>72</v>
      </c>
      <c r="F1444">
        <v>20</v>
      </c>
      <c r="G1444" t="s">
        <v>4799</v>
      </c>
      <c r="H1444" t="s">
        <v>4804</v>
      </c>
      <c r="I1444">
        <v>13.99</v>
      </c>
      <c r="J1444">
        <v>2</v>
      </c>
      <c r="K1444">
        <v>2.4</v>
      </c>
      <c r="L1444">
        <v>0</v>
      </c>
      <c r="M1444" t="s">
        <v>4808</v>
      </c>
      <c r="N1444" t="s">
        <v>4900</v>
      </c>
      <c r="O1444" t="s">
        <v>4910</v>
      </c>
    </row>
    <row r="1445" spans="1:15" x14ac:dyDescent="0.35">
      <c r="A1445" t="s">
        <v>1438</v>
      </c>
      <c r="B1445">
        <v>46</v>
      </c>
      <c r="C1445" t="s">
        <v>4802</v>
      </c>
      <c r="D1445" t="s">
        <v>13</v>
      </c>
      <c r="E1445">
        <v>67</v>
      </c>
      <c r="F1445">
        <v>4</v>
      </c>
      <c r="G1445" t="s">
        <v>4798</v>
      </c>
      <c r="H1445" t="s">
        <v>4805</v>
      </c>
      <c r="I1445">
        <v>13.99</v>
      </c>
      <c r="J1445">
        <v>1</v>
      </c>
      <c r="K1445">
        <v>2.23</v>
      </c>
      <c r="L1445">
        <v>0</v>
      </c>
      <c r="M1445" t="s">
        <v>4809</v>
      </c>
      <c r="N1445" t="s">
        <v>4900</v>
      </c>
      <c r="O1445" t="s">
        <v>4910</v>
      </c>
    </row>
    <row r="1446" spans="1:15" x14ac:dyDescent="0.35">
      <c r="A1446" t="s">
        <v>1439</v>
      </c>
      <c r="B1446">
        <v>28</v>
      </c>
      <c r="C1446" t="s">
        <v>4802</v>
      </c>
      <c r="D1446" t="s">
        <v>15</v>
      </c>
      <c r="E1446">
        <v>95</v>
      </c>
      <c r="F1446">
        <v>3</v>
      </c>
      <c r="G1446" t="s">
        <v>4797</v>
      </c>
      <c r="H1446" t="s">
        <v>4804</v>
      </c>
      <c r="I1446">
        <v>17.989999999999998</v>
      </c>
      <c r="J1446">
        <v>4</v>
      </c>
      <c r="K1446">
        <v>3.17</v>
      </c>
      <c r="L1446">
        <v>0</v>
      </c>
      <c r="M1446" t="s">
        <v>4812</v>
      </c>
      <c r="N1446" t="s">
        <v>4900</v>
      </c>
      <c r="O1446" t="s">
        <v>4912</v>
      </c>
    </row>
    <row r="1447" spans="1:15" x14ac:dyDescent="0.35">
      <c r="A1447" t="s">
        <v>1440</v>
      </c>
      <c r="B1447">
        <v>52</v>
      </c>
      <c r="C1447" t="s">
        <v>4802</v>
      </c>
      <c r="D1447" t="s">
        <v>13</v>
      </c>
      <c r="E1447">
        <v>34</v>
      </c>
      <c r="F1447">
        <v>999</v>
      </c>
      <c r="G1447" t="s">
        <v>4797</v>
      </c>
      <c r="H1447" t="s">
        <v>4805</v>
      </c>
      <c r="I1447">
        <v>13.99</v>
      </c>
      <c r="J1447">
        <v>1</v>
      </c>
      <c r="K1447">
        <v>1.1299999999999999</v>
      </c>
      <c r="L1447">
        <v>0</v>
      </c>
      <c r="M1447" t="s">
        <v>4810</v>
      </c>
      <c r="N1447" t="s">
        <v>4900</v>
      </c>
      <c r="O1447" t="s">
        <v>4910</v>
      </c>
    </row>
    <row r="1448" spans="1:15" x14ac:dyDescent="0.35">
      <c r="A1448" t="s">
        <v>1441</v>
      </c>
      <c r="B1448">
        <v>31</v>
      </c>
      <c r="C1448" t="s">
        <v>4803</v>
      </c>
      <c r="D1448" t="s">
        <v>13</v>
      </c>
      <c r="E1448">
        <v>47</v>
      </c>
      <c r="F1448">
        <v>37</v>
      </c>
      <c r="G1448" t="s">
        <v>4797</v>
      </c>
      <c r="H1448" t="s">
        <v>4804</v>
      </c>
      <c r="I1448">
        <v>13.99</v>
      </c>
      <c r="J1448">
        <v>4</v>
      </c>
      <c r="K1448">
        <v>1.57</v>
      </c>
      <c r="L1448">
        <v>0</v>
      </c>
      <c r="M1448" t="s">
        <v>4811</v>
      </c>
      <c r="N1448" t="s">
        <v>4900</v>
      </c>
      <c r="O1448" t="s">
        <v>4912</v>
      </c>
    </row>
    <row r="1449" spans="1:15" x14ac:dyDescent="0.35">
      <c r="A1449" t="s">
        <v>1442</v>
      </c>
      <c r="B1449">
        <v>39</v>
      </c>
      <c r="C1449" t="s">
        <v>4802</v>
      </c>
      <c r="D1449" t="s">
        <v>13</v>
      </c>
      <c r="E1449">
        <v>36</v>
      </c>
      <c r="F1449">
        <v>2</v>
      </c>
      <c r="G1449" t="s">
        <v>4798</v>
      </c>
      <c r="H1449" t="s">
        <v>4804</v>
      </c>
      <c r="I1449">
        <v>13.99</v>
      </c>
      <c r="J1449">
        <v>3</v>
      </c>
      <c r="K1449">
        <v>1.2</v>
      </c>
      <c r="L1449">
        <v>0</v>
      </c>
      <c r="M1449" t="s">
        <v>4809</v>
      </c>
      <c r="N1449" t="s">
        <v>4900</v>
      </c>
      <c r="O1449" t="s">
        <v>4910</v>
      </c>
    </row>
    <row r="1450" spans="1:15" x14ac:dyDescent="0.35">
      <c r="A1450" t="s">
        <v>1443</v>
      </c>
      <c r="B1450">
        <v>24</v>
      </c>
      <c r="C1450" t="s">
        <v>4802</v>
      </c>
      <c r="D1450" t="s">
        <v>15</v>
      </c>
      <c r="E1450">
        <v>95</v>
      </c>
      <c r="F1450">
        <v>34</v>
      </c>
      <c r="G1450" t="s">
        <v>4798</v>
      </c>
      <c r="H1450" t="s">
        <v>4804</v>
      </c>
      <c r="I1450">
        <v>17.989999999999998</v>
      </c>
      <c r="J1450">
        <v>3</v>
      </c>
      <c r="K1450">
        <v>3.17</v>
      </c>
      <c r="L1450">
        <v>0</v>
      </c>
      <c r="M1450" t="s">
        <v>4809</v>
      </c>
      <c r="N1450" t="s">
        <v>4900</v>
      </c>
      <c r="O1450" t="s">
        <v>4912</v>
      </c>
    </row>
    <row r="1451" spans="1:15" x14ac:dyDescent="0.35">
      <c r="A1451" t="s">
        <v>1444</v>
      </c>
      <c r="B1451">
        <v>18</v>
      </c>
      <c r="C1451" t="s">
        <v>4802</v>
      </c>
      <c r="D1451" t="s">
        <v>15</v>
      </c>
      <c r="E1451">
        <v>86</v>
      </c>
      <c r="F1451">
        <v>30</v>
      </c>
      <c r="G1451" t="s">
        <v>4799</v>
      </c>
      <c r="H1451" t="s">
        <v>4805</v>
      </c>
      <c r="I1451">
        <v>17.989999999999998</v>
      </c>
      <c r="J1451">
        <v>3</v>
      </c>
      <c r="K1451">
        <v>2.0299999999999998</v>
      </c>
      <c r="L1451">
        <v>1</v>
      </c>
      <c r="M1451" t="s">
        <v>4809</v>
      </c>
      <c r="N1451" t="s">
        <v>4899</v>
      </c>
      <c r="O1451" t="s">
        <v>4912</v>
      </c>
    </row>
    <row r="1452" spans="1:15" x14ac:dyDescent="0.35">
      <c r="A1452" t="s">
        <v>1445</v>
      </c>
      <c r="B1452">
        <v>26</v>
      </c>
      <c r="C1452" t="s">
        <v>4802</v>
      </c>
      <c r="D1452" t="s">
        <v>13</v>
      </c>
      <c r="E1452">
        <v>66</v>
      </c>
      <c r="F1452" t="s">
        <v>4814</v>
      </c>
      <c r="G1452" t="s">
        <v>4798</v>
      </c>
      <c r="H1452" t="s">
        <v>4806</v>
      </c>
      <c r="I1452">
        <v>13.99</v>
      </c>
      <c r="J1452">
        <v>2</v>
      </c>
      <c r="K1452">
        <v>2.2000000000000002</v>
      </c>
      <c r="L1452">
        <v>1</v>
      </c>
      <c r="M1452" t="s">
        <v>4812</v>
      </c>
      <c r="N1452" t="s">
        <v>4899</v>
      </c>
      <c r="O1452" t="s">
        <v>4912</v>
      </c>
    </row>
    <row r="1453" spans="1:15" x14ac:dyDescent="0.35">
      <c r="A1453" t="s">
        <v>1446</v>
      </c>
      <c r="B1453">
        <v>31</v>
      </c>
      <c r="C1453" t="s">
        <v>4803</v>
      </c>
      <c r="D1453" t="s">
        <v>15</v>
      </c>
      <c r="E1453">
        <v>71</v>
      </c>
      <c r="F1453">
        <v>26</v>
      </c>
      <c r="G1453" t="s">
        <v>4799</v>
      </c>
      <c r="H1453" t="s">
        <v>4806</v>
      </c>
      <c r="I1453">
        <v>17.989999999999998</v>
      </c>
      <c r="J1453">
        <v>2</v>
      </c>
      <c r="K1453">
        <v>2.37</v>
      </c>
      <c r="L1453">
        <v>0</v>
      </c>
      <c r="M1453" t="s">
        <v>4808</v>
      </c>
      <c r="N1453" t="s">
        <v>4900</v>
      </c>
      <c r="O1453" t="s">
        <v>4912</v>
      </c>
    </row>
    <row r="1454" spans="1:15" x14ac:dyDescent="0.35">
      <c r="A1454" t="s">
        <v>1447</v>
      </c>
      <c r="B1454">
        <v>57</v>
      </c>
      <c r="C1454" t="s">
        <v>4802</v>
      </c>
      <c r="D1454" t="s">
        <v>13</v>
      </c>
      <c r="E1454">
        <v>50</v>
      </c>
      <c r="F1454">
        <v>40</v>
      </c>
      <c r="G1454" t="s">
        <v>4797</v>
      </c>
      <c r="H1454" t="s">
        <v>4805</v>
      </c>
      <c r="I1454">
        <v>13.99</v>
      </c>
      <c r="J1454">
        <v>3</v>
      </c>
      <c r="K1454">
        <v>2.0299999999999998</v>
      </c>
      <c r="L1454">
        <v>1</v>
      </c>
      <c r="M1454" t="s">
        <v>4809</v>
      </c>
      <c r="N1454" t="s">
        <v>4899</v>
      </c>
      <c r="O1454" t="s">
        <v>4911</v>
      </c>
    </row>
    <row r="1455" spans="1:15" x14ac:dyDescent="0.35">
      <c r="A1455" t="s">
        <v>1448</v>
      </c>
      <c r="B1455">
        <v>18</v>
      </c>
      <c r="C1455" t="s">
        <v>4803</v>
      </c>
      <c r="D1455" t="s">
        <v>15</v>
      </c>
      <c r="E1455">
        <v>58</v>
      </c>
      <c r="F1455">
        <v>33</v>
      </c>
      <c r="G1455" t="s">
        <v>4798</v>
      </c>
      <c r="H1455" t="s">
        <v>4805</v>
      </c>
      <c r="I1455">
        <v>17.989999999999998</v>
      </c>
      <c r="J1455">
        <v>2</v>
      </c>
      <c r="K1455">
        <v>1.93</v>
      </c>
      <c r="L1455">
        <v>0</v>
      </c>
      <c r="M1455" t="s">
        <v>4810</v>
      </c>
      <c r="N1455" t="s">
        <v>4900</v>
      </c>
      <c r="O1455" t="s">
        <v>4912</v>
      </c>
    </row>
    <row r="1456" spans="1:15" x14ac:dyDescent="0.35">
      <c r="A1456" t="s">
        <v>4860</v>
      </c>
      <c r="B1456">
        <v>50</v>
      </c>
      <c r="C1456" t="s">
        <v>4803</v>
      </c>
      <c r="D1456" t="s">
        <v>13</v>
      </c>
      <c r="E1456">
        <v>66</v>
      </c>
      <c r="F1456">
        <v>4</v>
      </c>
      <c r="G1456" t="s">
        <v>4798</v>
      </c>
      <c r="H1456" t="s">
        <v>4804</v>
      </c>
      <c r="I1456">
        <v>13.99</v>
      </c>
      <c r="J1456">
        <v>2</v>
      </c>
      <c r="K1456">
        <v>2.2000000000000002</v>
      </c>
      <c r="L1456">
        <v>0</v>
      </c>
      <c r="M1456" t="s">
        <v>4808</v>
      </c>
      <c r="N1456" t="s">
        <v>4900</v>
      </c>
      <c r="O1456" t="s">
        <v>4910</v>
      </c>
    </row>
    <row r="1457" spans="1:15" x14ac:dyDescent="0.35">
      <c r="A1457" t="s">
        <v>1449</v>
      </c>
      <c r="B1457">
        <v>52</v>
      </c>
      <c r="C1457" t="s">
        <v>4802</v>
      </c>
      <c r="D1457" t="s">
        <v>13</v>
      </c>
      <c r="E1457">
        <v>71</v>
      </c>
      <c r="F1457">
        <v>38</v>
      </c>
      <c r="G1457" t="s">
        <v>4799</v>
      </c>
      <c r="H1457" t="s">
        <v>4806</v>
      </c>
      <c r="I1457">
        <v>13.99</v>
      </c>
      <c r="J1457">
        <v>2</v>
      </c>
      <c r="K1457">
        <v>2.37</v>
      </c>
      <c r="L1457">
        <v>0</v>
      </c>
      <c r="M1457" t="s">
        <v>4810</v>
      </c>
      <c r="N1457" t="s">
        <v>4900</v>
      </c>
      <c r="O1457" t="s">
        <v>4910</v>
      </c>
    </row>
    <row r="1458" spans="1:15" x14ac:dyDescent="0.35">
      <c r="A1458" t="s">
        <v>1450</v>
      </c>
      <c r="B1458">
        <v>23</v>
      </c>
      <c r="C1458" t="s">
        <v>4803</v>
      </c>
      <c r="D1458" t="s">
        <v>13</v>
      </c>
      <c r="E1458">
        <v>30</v>
      </c>
      <c r="F1458">
        <v>53</v>
      </c>
      <c r="G1458" t="s">
        <v>4797</v>
      </c>
      <c r="H1458" t="s">
        <v>4805</v>
      </c>
      <c r="I1458">
        <v>13.99</v>
      </c>
      <c r="J1458">
        <v>2</v>
      </c>
      <c r="K1458">
        <v>2.0299999999999998</v>
      </c>
      <c r="L1458">
        <v>1</v>
      </c>
      <c r="M1458" t="s">
        <v>4812</v>
      </c>
      <c r="N1458" t="s">
        <v>4899</v>
      </c>
      <c r="O1458" t="s">
        <v>4912</v>
      </c>
    </row>
    <row r="1459" spans="1:15" x14ac:dyDescent="0.35">
      <c r="A1459" t="s">
        <v>1451</v>
      </c>
      <c r="B1459">
        <v>43</v>
      </c>
      <c r="C1459" t="s">
        <v>4803</v>
      </c>
      <c r="D1459" t="s">
        <v>13</v>
      </c>
      <c r="E1459">
        <v>64</v>
      </c>
      <c r="F1459">
        <v>14</v>
      </c>
      <c r="G1459" t="s">
        <v>4799</v>
      </c>
      <c r="H1459" t="s">
        <v>4806</v>
      </c>
      <c r="I1459">
        <v>13.99</v>
      </c>
      <c r="J1459">
        <v>2</v>
      </c>
      <c r="K1459">
        <v>2.13</v>
      </c>
      <c r="L1459">
        <v>1</v>
      </c>
      <c r="M1459" t="s">
        <v>4812</v>
      </c>
      <c r="N1459" t="s">
        <v>4899</v>
      </c>
      <c r="O1459" t="s">
        <v>4910</v>
      </c>
    </row>
    <row r="1460" spans="1:15" x14ac:dyDescent="0.35">
      <c r="A1460" t="s">
        <v>1452</v>
      </c>
      <c r="B1460">
        <v>45</v>
      </c>
      <c r="C1460" t="s">
        <v>4802</v>
      </c>
      <c r="D1460" t="s">
        <v>14</v>
      </c>
      <c r="E1460">
        <v>83</v>
      </c>
      <c r="F1460">
        <v>0</v>
      </c>
      <c r="G1460" t="s">
        <v>4799</v>
      </c>
      <c r="H1460" t="s">
        <v>4804</v>
      </c>
      <c r="I1460">
        <v>8.99</v>
      </c>
      <c r="J1460">
        <v>4</v>
      </c>
      <c r="K1460">
        <v>2.77</v>
      </c>
      <c r="L1460">
        <v>0</v>
      </c>
      <c r="M1460" t="s">
        <v>4810</v>
      </c>
      <c r="N1460" t="s">
        <v>4900</v>
      </c>
      <c r="O1460" t="s">
        <v>4910</v>
      </c>
    </row>
    <row r="1461" spans="1:15" x14ac:dyDescent="0.35">
      <c r="A1461" t="s">
        <v>1453</v>
      </c>
      <c r="B1461">
        <v>41</v>
      </c>
      <c r="C1461" t="s">
        <v>4802</v>
      </c>
      <c r="D1461" t="s">
        <v>13</v>
      </c>
      <c r="E1461">
        <v>48</v>
      </c>
      <c r="F1461">
        <v>30</v>
      </c>
      <c r="G1461" t="s">
        <v>4797</v>
      </c>
      <c r="H1461" t="s">
        <v>4806</v>
      </c>
      <c r="I1461">
        <v>13.99</v>
      </c>
      <c r="J1461">
        <v>1</v>
      </c>
      <c r="K1461">
        <v>1.6</v>
      </c>
      <c r="L1461">
        <v>0</v>
      </c>
      <c r="M1461" t="s">
        <v>4812</v>
      </c>
      <c r="N1461" t="s">
        <v>4900</v>
      </c>
      <c r="O1461" t="s">
        <v>4910</v>
      </c>
    </row>
    <row r="1462" spans="1:15" x14ac:dyDescent="0.35">
      <c r="A1462" t="s">
        <v>1454</v>
      </c>
      <c r="B1462">
        <v>32</v>
      </c>
      <c r="C1462" t="s">
        <v>4803</v>
      </c>
      <c r="D1462" t="s">
        <v>13</v>
      </c>
      <c r="E1462">
        <v>40</v>
      </c>
      <c r="F1462">
        <v>999</v>
      </c>
      <c r="G1462" t="s">
        <v>4801</v>
      </c>
      <c r="H1462" t="s">
        <v>4807</v>
      </c>
      <c r="I1462">
        <v>13.99</v>
      </c>
      <c r="J1462">
        <v>1</v>
      </c>
      <c r="K1462">
        <v>1.33</v>
      </c>
      <c r="L1462">
        <v>1</v>
      </c>
      <c r="M1462" t="s">
        <v>4808</v>
      </c>
      <c r="N1462" t="s">
        <v>4899</v>
      </c>
      <c r="O1462" t="s">
        <v>4912</v>
      </c>
    </row>
    <row r="1463" spans="1:15" x14ac:dyDescent="0.35">
      <c r="A1463" t="s">
        <v>1455</v>
      </c>
      <c r="B1463">
        <v>39</v>
      </c>
      <c r="C1463" t="s">
        <v>4802</v>
      </c>
      <c r="D1463" t="s">
        <v>13</v>
      </c>
      <c r="E1463">
        <v>58</v>
      </c>
      <c r="F1463">
        <v>12</v>
      </c>
      <c r="G1463" t="s">
        <v>4799</v>
      </c>
      <c r="H1463" t="s">
        <v>4804</v>
      </c>
      <c r="I1463">
        <v>13.99</v>
      </c>
      <c r="J1463">
        <v>2</v>
      </c>
      <c r="K1463">
        <v>1.93</v>
      </c>
      <c r="L1463">
        <v>0</v>
      </c>
      <c r="M1463" t="s">
        <v>4811</v>
      </c>
      <c r="N1463" t="s">
        <v>4900</v>
      </c>
      <c r="O1463" t="s">
        <v>4910</v>
      </c>
    </row>
    <row r="1464" spans="1:15" x14ac:dyDescent="0.35">
      <c r="A1464" t="s">
        <v>1456</v>
      </c>
      <c r="B1464">
        <v>45</v>
      </c>
      <c r="C1464" t="s">
        <v>4803</v>
      </c>
      <c r="D1464" t="s">
        <v>13</v>
      </c>
      <c r="E1464">
        <v>50</v>
      </c>
      <c r="F1464">
        <v>23</v>
      </c>
      <c r="G1464" t="s">
        <v>4798</v>
      </c>
      <c r="H1464" t="s">
        <v>4805</v>
      </c>
      <c r="I1464">
        <v>13.99</v>
      </c>
      <c r="J1464">
        <v>3</v>
      </c>
      <c r="K1464">
        <v>1.67</v>
      </c>
      <c r="L1464">
        <v>0</v>
      </c>
      <c r="M1464" t="s">
        <v>4812</v>
      </c>
      <c r="N1464" t="s">
        <v>4900</v>
      </c>
      <c r="O1464" t="s">
        <v>4910</v>
      </c>
    </row>
    <row r="1465" spans="1:15" x14ac:dyDescent="0.35">
      <c r="A1465" t="s">
        <v>1457</v>
      </c>
      <c r="B1465">
        <v>45</v>
      </c>
      <c r="C1465" t="s">
        <v>4802</v>
      </c>
      <c r="D1465" t="s">
        <v>13</v>
      </c>
      <c r="E1465">
        <v>51</v>
      </c>
      <c r="F1465">
        <v>999</v>
      </c>
      <c r="G1465" t="s">
        <v>4799</v>
      </c>
      <c r="H1465" t="s">
        <v>4805</v>
      </c>
      <c r="I1465">
        <v>13.99</v>
      </c>
      <c r="J1465">
        <v>1</v>
      </c>
      <c r="K1465">
        <v>1.7</v>
      </c>
      <c r="L1465">
        <v>0</v>
      </c>
      <c r="M1465" t="s">
        <v>4809</v>
      </c>
      <c r="N1465" t="s">
        <v>4900</v>
      </c>
      <c r="O1465" t="s">
        <v>4910</v>
      </c>
    </row>
    <row r="1466" spans="1:15" x14ac:dyDescent="0.35">
      <c r="A1466" t="s">
        <v>1458</v>
      </c>
      <c r="B1466">
        <v>61</v>
      </c>
      <c r="C1466" t="s">
        <v>4803</v>
      </c>
      <c r="D1466" t="s">
        <v>13</v>
      </c>
      <c r="E1466">
        <v>71</v>
      </c>
      <c r="F1466">
        <v>29</v>
      </c>
      <c r="G1466" t="s">
        <v>4799</v>
      </c>
      <c r="H1466" t="s">
        <v>4805</v>
      </c>
      <c r="I1466">
        <v>13.99</v>
      </c>
      <c r="J1466">
        <v>3</v>
      </c>
      <c r="K1466">
        <v>2.37</v>
      </c>
      <c r="L1466">
        <v>0</v>
      </c>
      <c r="M1466" t="s">
        <v>4810</v>
      </c>
      <c r="N1466" t="s">
        <v>4900</v>
      </c>
      <c r="O1466" t="s">
        <v>4911</v>
      </c>
    </row>
    <row r="1467" spans="1:15" x14ac:dyDescent="0.35">
      <c r="A1467" t="s">
        <v>1459</v>
      </c>
      <c r="B1467">
        <v>64</v>
      </c>
      <c r="C1467" t="s">
        <v>4802</v>
      </c>
      <c r="D1467" t="s">
        <v>13</v>
      </c>
      <c r="E1467">
        <v>34</v>
      </c>
      <c r="F1467">
        <v>48</v>
      </c>
      <c r="G1467" t="s">
        <v>4799</v>
      </c>
      <c r="H1467" t="s">
        <v>4804</v>
      </c>
      <c r="I1467">
        <v>13.99</v>
      </c>
      <c r="J1467">
        <v>1</v>
      </c>
      <c r="K1467">
        <v>1.1299999999999999</v>
      </c>
      <c r="L1467">
        <v>0</v>
      </c>
      <c r="M1467" t="s">
        <v>4812</v>
      </c>
      <c r="N1467" t="s">
        <v>4900</v>
      </c>
      <c r="O1467" t="s">
        <v>4911</v>
      </c>
    </row>
    <row r="1468" spans="1:15" x14ac:dyDescent="0.35">
      <c r="A1468" t="s">
        <v>1460</v>
      </c>
      <c r="B1468">
        <v>57</v>
      </c>
      <c r="C1468" t="s">
        <v>4803</v>
      </c>
      <c r="D1468" t="s">
        <v>15</v>
      </c>
      <c r="E1468">
        <v>62</v>
      </c>
      <c r="F1468">
        <v>10</v>
      </c>
      <c r="G1468" t="s">
        <v>4799</v>
      </c>
      <c r="H1468" t="s">
        <v>4806</v>
      </c>
      <c r="I1468">
        <v>17.989999999999998</v>
      </c>
      <c r="J1468">
        <v>5</v>
      </c>
      <c r="K1468">
        <v>2.0699999999999998</v>
      </c>
      <c r="L1468">
        <v>0</v>
      </c>
      <c r="M1468" t="s">
        <v>4811</v>
      </c>
      <c r="N1468" t="s">
        <v>4900</v>
      </c>
      <c r="O1468" t="s">
        <v>4911</v>
      </c>
    </row>
    <row r="1469" spans="1:15" x14ac:dyDescent="0.35">
      <c r="A1469" t="s">
        <v>1461</v>
      </c>
      <c r="B1469">
        <v>64</v>
      </c>
      <c r="C1469" t="s">
        <v>4803</v>
      </c>
      <c r="D1469" t="s">
        <v>13</v>
      </c>
      <c r="E1469">
        <v>61</v>
      </c>
      <c r="F1469">
        <v>6</v>
      </c>
      <c r="G1469" t="s">
        <v>4798</v>
      </c>
      <c r="H1469" t="s">
        <v>4807</v>
      </c>
      <c r="I1469">
        <v>13.99</v>
      </c>
      <c r="J1469">
        <v>1</v>
      </c>
      <c r="K1469">
        <v>2.0299999999999998</v>
      </c>
      <c r="L1469">
        <v>0</v>
      </c>
      <c r="M1469" t="s">
        <v>4812</v>
      </c>
      <c r="N1469" t="s">
        <v>4900</v>
      </c>
      <c r="O1469" t="s">
        <v>4911</v>
      </c>
    </row>
    <row r="1470" spans="1:15" x14ac:dyDescent="0.35">
      <c r="A1470" t="s">
        <v>1462</v>
      </c>
      <c r="B1470">
        <v>28</v>
      </c>
      <c r="C1470" t="s">
        <v>4803</v>
      </c>
      <c r="D1470" t="s">
        <v>15</v>
      </c>
      <c r="E1470">
        <v>71</v>
      </c>
      <c r="F1470">
        <v>19</v>
      </c>
      <c r="G1470" t="s">
        <v>4797</v>
      </c>
      <c r="H1470" t="s">
        <v>4805</v>
      </c>
      <c r="I1470">
        <v>17.989999999999998</v>
      </c>
      <c r="J1470">
        <v>3</v>
      </c>
      <c r="K1470">
        <v>2.37</v>
      </c>
      <c r="L1470">
        <v>0</v>
      </c>
      <c r="M1470" t="s">
        <v>4808</v>
      </c>
      <c r="N1470" t="s">
        <v>4900</v>
      </c>
      <c r="O1470" t="s">
        <v>4912</v>
      </c>
    </row>
    <row r="1471" spans="1:15" x14ac:dyDescent="0.35">
      <c r="A1471" t="s">
        <v>1463</v>
      </c>
      <c r="B1471">
        <v>26</v>
      </c>
      <c r="C1471" t="s">
        <v>4802</v>
      </c>
      <c r="D1471" t="s">
        <v>15</v>
      </c>
      <c r="E1471">
        <v>118</v>
      </c>
      <c r="F1471">
        <v>5</v>
      </c>
      <c r="G1471" t="s">
        <v>4799</v>
      </c>
      <c r="H1471" t="s">
        <v>4806</v>
      </c>
      <c r="I1471">
        <v>17.989999999999998</v>
      </c>
      <c r="J1471">
        <v>4</v>
      </c>
      <c r="K1471">
        <v>3.93</v>
      </c>
      <c r="L1471">
        <v>0</v>
      </c>
      <c r="M1471" t="s">
        <v>4812</v>
      </c>
      <c r="N1471" t="s">
        <v>4900</v>
      </c>
      <c r="O1471" t="s">
        <v>4912</v>
      </c>
    </row>
    <row r="1472" spans="1:15" x14ac:dyDescent="0.35">
      <c r="A1472" t="s">
        <v>1464</v>
      </c>
      <c r="B1472">
        <v>30</v>
      </c>
      <c r="C1472" t="s">
        <v>4802</v>
      </c>
      <c r="D1472" t="s">
        <v>15</v>
      </c>
      <c r="E1472">
        <v>105</v>
      </c>
      <c r="F1472">
        <v>56</v>
      </c>
      <c r="G1472" t="s">
        <v>4798</v>
      </c>
      <c r="H1472" t="s">
        <v>4806</v>
      </c>
      <c r="I1472">
        <v>17.989999999999998</v>
      </c>
      <c r="J1472">
        <v>2</v>
      </c>
      <c r="K1472">
        <v>3.5</v>
      </c>
      <c r="L1472">
        <v>0</v>
      </c>
      <c r="M1472" t="s">
        <v>4811</v>
      </c>
      <c r="N1472" t="s">
        <v>4900</v>
      </c>
      <c r="O1472" t="s">
        <v>4912</v>
      </c>
    </row>
    <row r="1473" spans="1:15" x14ac:dyDescent="0.35">
      <c r="A1473" t="s">
        <v>1465</v>
      </c>
      <c r="B1473">
        <v>31</v>
      </c>
      <c r="C1473" t="s">
        <v>4802</v>
      </c>
      <c r="D1473" t="s">
        <v>13</v>
      </c>
      <c r="E1473">
        <v>43</v>
      </c>
      <c r="F1473">
        <v>14</v>
      </c>
      <c r="G1473" t="s">
        <v>4798</v>
      </c>
      <c r="H1473" t="s">
        <v>4805</v>
      </c>
      <c r="I1473">
        <v>13.99</v>
      </c>
      <c r="J1473">
        <v>4</v>
      </c>
      <c r="K1473">
        <v>2.0299999999999998</v>
      </c>
      <c r="L1473">
        <v>0</v>
      </c>
      <c r="M1473" t="s">
        <v>4809</v>
      </c>
      <c r="N1473" t="s">
        <v>4900</v>
      </c>
      <c r="O1473" t="s">
        <v>4912</v>
      </c>
    </row>
    <row r="1474" spans="1:15" x14ac:dyDescent="0.35">
      <c r="A1474" t="s">
        <v>1466</v>
      </c>
      <c r="B1474">
        <v>62</v>
      </c>
      <c r="C1474" t="s">
        <v>4803</v>
      </c>
      <c r="D1474" t="s">
        <v>15</v>
      </c>
      <c r="E1474">
        <v>88</v>
      </c>
      <c r="F1474">
        <v>4</v>
      </c>
      <c r="G1474" t="s">
        <v>4799</v>
      </c>
      <c r="H1474" t="s">
        <v>4806</v>
      </c>
      <c r="I1474">
        <v>17.989999999999998</v>
      </c>
      <c r="J1474">
        <v>3</v>
      </c>
      <c r="K1474">
        <v>2.93</v>
      </c>
      <c r="L1474">
        <v>0</v>
      </c>
      <c r="M1474" t="s">
        <v>4811</v>
      </c>
      <c r="N1474" t="s">
        <v>4900</v>
      </c>
      <c r="O1474" t="s">
        <v>4911</v>
      </c>
    </row>
    <row r="1475" spans="1:15" x14ac:dyDescent="0.35">
      <c r="A1475" t="s">
        <v>1467</v>
      </c>
      <c r="B1475">
        <v>37</v>
      </c>
      <c r="C1475" t="s">
        <v>4802</v>
      </c>
      <c r="D1475" t="s">
        <v>13</v>
      </c>
      <c r="E1475">
        <v>55</v>
      </c>
      <c r="F1475">
        <v>33</v>
      </c>
      <c r="G1475" t="s">
        <v>4797</v>
      </c>
      <c r="H1475" t="s">
        <v>4806</v>
      </c>
      <c r="I1475">
        <v>13.99</v>
      </c>
      <c r="J1475">
        <v>2</v>
      </c>
      <c r="K1475">
        <v>5</v>
      </c>
      <c r="L1475">
        <v>0</v>
      </c>
      <c r="M1475" t="s">
        <v>4810</v>
      </c>
      <c r="N1475" t="s">
        <v>4900</v>
      </c>
      <c r="O1475" t="s">
        <v>4910</v>
      </c>
    </row>
    <row r="1476" spans="1:15" x14ac:dyDescent="0.35">
      <c r="A1476" t="s">
        <v>1468</v>
      </c>
      <c r="B1476">
        <v>21</v>
      </c>
      <c r="C1476" t="s">
        <v>4803</v>
      </c>
      <c r="D1476" t="s">
        <v>15</v>
      </c>
      <c r="E1476">
        <v>62</v>
      </c>
      <c r="F1476">
        <v>20</v>
      </c>
      <c r="G1476" t="s">
        <v>4799</v>
      </c>
      <c r="H1476" t="s">
        <v>4804</v>
      </c>
      <c r="I1476">
        <v>17.989999999999998</v>
      </c>
      <c r="J1476">
        <v>2</v>
      </c>
      <c r="K1476">
        <v>2.0699999999999998</v>
      </c>
      <c r="L1476">
        <v>0</v>
      </c>
      <c r="M1476" t="s">
        <v>4809</v>
      </c>
      <c r="N1476" t="s">
        <v>4900</v>
      </c>
      <c r="O1476" t="s">
        <v>4912</v>
      </c>
    </row>
    <row r="1477" spans="1:15" x14ac:dyDescent="0.35">
      <c r="A1477" t="s">
        <v>1469</v>
      </c>
      <c r="B1477">
        <v>52</v>
      </c>
      <c r="C1477" t="s">
        <v>4803</v>
      </c>
      <c r="D1477" t="s">
        <v>13</v>
      </c>
      <c r="E1477">
        <v>50</v>
      </c>
      <c r="F1477">
        <v>8</v>
      </c>
      <c r="G1477" t="s">
        <v>4797</v>
      </c>
      <c r="H1477" t="s">
        <v>4805</v>
      </c>
      <c r="I1477">
        <v>13.99</v>
      </c>
      <c r="J1477">
        <v>2</v>
      </c>
      <c r="K1477">
        <v>1.67</v>
      </c>
      <c r="L1477">
        <v>0</v>
      </c>
      <c r="M1477" t="s">
        <v>4809</v>
      </c>
      <c r="N1477" t="s">
        <v>4900</v>
      </c>
      <c r="O1477" t="s">
        <v>4910</v>
      </c>
    </row>
    <row r="1478" spans="1:15" x14ac:dyDescent="0.35">
      <c r="A1478" t="s">
        <v>1470</v>
      </c>
      <c r="B1478">
        <v>52</v>
      </c>
      <c r="C1478" t="s">
        <v>4803</v>
      </c>
      <c r="D1478" t="s">
        <v>13</v>
      </c>
      <c r="E1478">
        <v>42</v>
      </c>
      <c r="F1478">
        <v>4</v>
      </c>
      <c r="G1478" t="s">
        <v>4797</v>
      </c>
      <c r="H1478" t="s">
        <v>4806</v>
      </c>
      <c r="I1478">
        <v>13.99</v>
      </c>
      <c r="J1478">
        <v>3</v>
      </c>
      <c r="K1478">
        <v>1.4</v>
      </c>
      <c r="L1478">
        <v>0</v>
      </c>
      <c r="M1478" t="s">
        <v>4811</v>
      </c>
      <c r="N1478" t="s">
        <v>4900</v>
      </c>
      <c r="O1478" t="s">
        <v>4910</v>
      </c>
    </row>
    <row r="1479" spans="1:15" x14ac:dyDescent="0.35">
      <c r="A1479" t="s">
        <v>1471</v>
      </c>
      <c r="B1479">
        <v>58</v>
      </c>
      <c r="C1479" t="s">
        <v>4802</v>
      </c>
      <c r="D1479" t="s">
        <v>13</v>
      </c>
      <c r="E1479">
        <v>66</v>
      </c>
      <c r="F1479">
        <v>5</v>
      </c>
      <c r="G1479" t="s">
        <v>4797</v>
      </c>
      <c r="H1479" t="s">
        <v>4805</v>
      </c>
      <c r="I1479">
        <v>13.99</v>
      </c>
      <c r="J1479">
        <v>4</v>
      </c>
      <c r="K1479">
        <v>2.2000000000000002</v>
      </c>
      <c r="L1479">
        <v>0</v>
      </c>
      <c r="M1479" t="s">
        <v>4808</v>
      </c>
      <c r="N1479" t="s">
        <v>4900</v>
      </c>
      <c r="O1479" t="s">
        <v>4911</v>
      </c>
    </row>
    <row r="1480" spans="1:15" x14ac:dyDescent="0.35">
      <c r="A1480" t="s">
        <v>1472</v>
      </c>
      <c r="B1480">
        <v>26</v>
      </c>
      <c r="C1480" t="s">
        <v>4802</v>
      </c>
      <c r="D1480" t="s">
        <v>14</v>
      </c>
      <c r="E1480">
        <v>27</v>
      </c>
      <c r="F1480">
        <v>7</v>
      </c>
      <c r="G1480" t="s">
        <v>4797</v>
      </c>
      <c r="H1480" t="s">
        <v>4805</v>
      </c>
      <c r="I1480">
        <v>8.99</v>
      </c>
      <c r="J1480">
        <v>2</v>
      </c>
      <c r="K1480">
        <v>0.9</v>
      </c>
      <c r="L1480">
        <v>0</v>
      </c>
      <c r="M1480" t="s">
        <v>4810</v>
      </c>
      <c r="N1480" t="s">
        <v>4900</v>
      </c>
      <c r="O1480" t="s">
        <v>4912</v>
      </c>
    </row>
    <row r="1481" spans="1:15" x14ac:dyDescent="0.35">
      <c r="A1481" t="s">
        <v>1473</v>
      </c>
      <c r="B1481">
        <v>21</v>
      </c>
      <c r="C1481" t="s">
        <v>4803</v>
      </c>
      <c r="D1481" t="s">
        <v>13</v>
      </c>
      <c r="E1481">
        <v>43</v>
      </c>
      <c r="F1481">
        <v>22</v>
      </c>
      <c r="G1481" t="s">
        <v>4799</v>
      </c>
      <c r="H1481" t="s">
        <v>4804</v>
      </c>
      <c r="I1481">
        <v>13.99</v>
      </c>
      <c r="J1481">
        <v>3</v>
      </c>
      <c r="K1481">
        <v>1.43</v>
      </c>
      <c r="L1481">
        <v>0</v>
      </c>
      <c r="M1481" t="s">
        <v>4808</v>
      </c>
      <c r="N1481" t="s">
        <v>4900</v>
      </c>
      <c r="O1481" t="s">
        <v>4912</v>
      </c>
    </row>
    <row r="1482" spans="1:15" x14ac:dyDescent="0.35">
      <c r="A1482" t="s">
        <v>1474</v>
      </c>
      <c r="B1482">
        <v>45</v>
      </c>
      <c r="C1482" t="s">
        <v>4802</v>
      </c>
      <c r="D1482" t="s">
        <v>13</v>
      </c>
      <c r="E1482">
        <v>70</v>
      </c>
      <c r="F1482">
        <v>60</v>
      </c>
      <c r="G1482" t="s">
        <v>4799</v>
      </c>
      <c r="H1482" t="s">
        <v>4805</v>
      </c>
      <c r="I1482">
        <v>13.99</v>
      </c>
      <c r="J1482">
        <v>4</v>
      </c>
      <c r="K1482">
        <v>2.33</v>
      </c>
      <c r="L1482">
        <v>0</v>
      </c>
      <c r="M1482" t="s">
        <v>4810</v>
      </c>
      <c r="N1482" t="s">
        <v>4900</v>
      </c>
      <c r="O1482" t="s">
        <v>4910</v>
      </c>
    </row>
    <row r="1483" spans="1:15" x14ac:dyDescent="0.35">
      <c r="A1483" t="s">
        <v>1475</v>
      </c>
      <c r="B1483">
        <v>46</v>
      </c>
      <c r="C1483" t="s">
        <v>4802</v>
      </c>
      <c r="D1483" t="s">
        <v>13</v>
      </c>
      <c r="E1483">
        <v>69</v>
      </c>
      <c r="F1483">
        <v>20</v>
      </c>
      <c r="G1483" t="s">
        <v>4799</v>
      </c>
      <c r="H1483" t="s">
        <v>4805</v>
      </c>
      <c r="I1483">
        <v>13.99</v>
      </c>
      <c r="J1483">
        <v>1</v>
      </c>
      <c r="K1483">
        <v>2.2999999999999998</v>
      </c>
      <c r="L1483">
        <v>0</v>
      </c>
      <c r="M1483" t="s">
        <v>4812</v>
      </c>
      <c r="N1483" t="s">
        <v>4900</v>
      </c>
      <c r="O1483" t="s">
        <v>4910</v>
      </c>
    </row>
    <row r="1484" spans="1:15" x14ac:dyDescent="0.35">
      <c r="A1484" t="s">
        <v>1476</v>
      </c>
      <c r="B1484">
        <v>64</v>
      </c>
      <c r="C1484" t="s">
        <v>4803</v>
      </c>
      <c r="D1484" t="s">
        <v>13</v>
      </c>
      <c r="E1484">
        <v>67</v>
      </c>
      <c r="F1484">
        <v>8</v>
      </c>
      <c r="G1484" t="s">
        <v>4799</v>
      </c>
      <c r="H1484" t="s">
        <v>4805</v>
      </c>
      <c r="I1484">
        <v>13.99</v>
      </c>
      <c r="J1484">
        <v>2</v>
      </c>
      <c r="K1484">
        <v>2.23</v>
      </c>
      <c r="L1484">
        <v>0</v>
      </c>
      <c r="M1484" t="s">
        <v>4808</v>
      </c>
      <c r="N1484" t="s">
        <v>4900</v>
      </c>
      <c r="O1484" t="s">
        <v>4911</v>
      </c>
    </row>
    <row r="1485" spans="1:15" x14ac:dyDescent="0.35">
      <c r="A1485" t="s">
        <v>1477</v>
      </c>
      <c r="B1485">
        <v>33</v>
      </c>
      <c r="C1485" t="s">
        <v>4803</v>
      </c>
      <c r="D1485" t="s">
        <v>13</v>
      </c>
      <c r="E1485">
        <v>62</v>
      </c>
      <c r="F1485">
        <v>39</v>
      </c>
      <c r="G1485" t="s">
        <v>4797</v>
      </c>
      <c r="H1485" t="s">
        <v>4806</v>
      </c>
      <c r="I1485">
        <v>13.99</v>
      </c>
      <c r="J1485">
        <v>3</v>
      </c>
      <c r="K1485">
        <v>2.0699999999999998</v>
      </c>
      <c r="L1485">
        <v>1</v>
      </c>
      <c r="M1485" t="s">
        <v>4810</v>
      </c>
      <c r="N1485" t="s">
        <v>4899</v>
      </c>
      <c r="O1485" t="s">
        <v>4912</v>
      </c>
    </row>
    <row r="1486" spans="1:15" x14ac:dyDescent="0.35">
      <c r="A1486" t="s">
        <v>1478</v>
      </c>
      <c r="B1486">
        <v>52</v>
      </c>
      <c r="C1486" t="s">
        <v>4802</v>
      </c>
      <c r="D1486" t="s">
        <v>15</v>
      </c>
      <c r="E1486">
        <v>106</v>
      </c>
      <c r="F1486">
        <v>57</v>
      </c>
      <c r="G1486" t="s">
        <v>4798</v>
      </c>
      <c r="H1486" t="s">
        <v>4805</v>
      </c>
      <c r="I1486">
        <v>17.989999999999998</v>
      </c>
      <c r="J1486">
        <v>2</v>
      </c>
      <c r="K1486">
        <v>3.53</v>
      </c>
      <c r="L1486">
        <v>0</v>
      </c>
      <c r="M1486" t="s">
        <v>4808</v>
      </c>
      <c r="N1486" t="s">
        <v>4900</v>
      </c>
      <c r="O1486" t="s">
        <v>4910</v>
      </c>
    </row>
    <row r="1487" spans="1:15" x14ac:dyDescent="0.35">
      <c r="A1487" t="s">
        <v>1479</v>
      </c>
      <c r="B1487">
        <v>46</v>
      </c>
      <c r="C1487" t="s">
        <v>4802</v>
      </c>
      <c r="D1487" t="s">
        <v>13</v>
      </c>
      <c r="E1487">
        <v>78</v>
      </c>
      <c r="F1487">
        <v>12</v>
      </c>
      <c r="G1487" t="s">
        <v>4800</v>
      </c>
      <c r="H1487" t="s">
        <v>4806</v>
      </c>
      <c r="I1487">
        <v>13.99</v>
      </c>
      <c r="J1487">
        <v>1</v>
      </c>
      <c r="K1487">
        <v>2.6</v>
      </c>
      <c r="L1487">
        <v>0</v>
      </c>
      <c r="M1487" t="s">
        <v>4811</v>
      </c>
      <c r="N1487" t="s">
        <v>4900</v>
      </c>
      <c r="O1487" t="s">
        <v>4910</v>
      </c>
    </row>
    <row r="1488" spans="1:15" x14ac:dyDescent="0.35">
      <c r="A1488" t="s">
        <v>1480</v>
      </c>
      <c r="B1488">
        <v>20</v>
      </c>
      <c r="C1488" t="s">
        <v>4802</v>
      </c>
      <c r="D1488" t="s">
        <v>13</v>
      </c>
      <c r="E1488">
        <v>80</v>
      </c>
      <c r="F1488">
        <v>52</v>
      </c>
      <c r="G1488" t="s">
        <v>4798</v>
      </c>
      <c r="H1488" t="s">
        <v>4806</v>
      </c>
      <c r="I1488">
        <v>13.99</v>
      </c>
      <c r="J1488">
        <v>1</v>
      </c>
      <c r="K1488">
        <v>2.67</v>
      </c>
      <c r="L1488">
        <v>0</v>
      </c>
      <c r="M1488" t="s">
        <v>4809</v>
      </c>
      <c r="N1488" t="s">
        <v>4900</v>
      </c>
      <c r="O1488" t="s">
        <v>4912</v>
      </c>
    </row>
    <row r="1489" spans="1:15" x14ac:dyDescent="0.35">
      <c r="A1489" t="s">
        <v>1481</v>
      </c>
      <c r="B1489">
        <v>19</v>
      </c>
      <c r="C1489" t="s">
        <v>4803</v>
      </c>
      <c r="D1489" t="s">
        <v>15</v>
      </c>
      <c r="E1489">
        <v>55</v>
      </c>
      <c r="F1489">
        <v>34</v>
      </c>
      <c r="G1489" t="s">
        <v>4797</v>
      </c>
      <c r="H1489" t="s">
        <v>4806</v>
      </c>
      <c r="I1489">
        <v>17.989999999999998</v>
      </c>
      <c r="J1489">
        <v>5</v>
      </c>
      <c r="K1489">
        <v>1.83</v>
      </c>
      <c r="L1489">
        <v>0</v>
      </c>
      <c r="M1489" t="s">
        <v>4810</v>
      </c>
      <c r="N1489" t="s">
        <v>4900</v>
      </c>
      <c r="O1489" t="s">
        <v>4912</v>
      </c>
    </row>
    <row r="1490" spans="1:15" x14ac:dyDescent="0.35">
      <c r="A1490" t="s">
        <v>1482</v>
      </c>
      <c r="B1490">
        <v>52</v>
      </c>
      <c r="C1490" t="s">
        <v>4802</v>
      </c>
      <c r="D1490" t="s">
        <v>13</v>
      </c>
      <c r="E1490">
        <v>40</v>
      </c>
      <c r="F1490">
        <v>10</v>
      </c>
      <c r="G1490" t="s">
        <v>4797</v>
      </c>
      <c r="H1490" t="s">
        <v>4806</v>
      </c>
      <c r="I1490">
        <v>13.99</v>
      </c>
      <c r="J1490">
        <v>4</v>
      </c>
      <c r="K1490">
        <v>1.33</v>
      </c>
      <c r="L1490">
        <v>0</v>
      </c>
      <c r="M1490" t="s">
        <v>4812</v>
      </c>
      <c r="N1490" t="s">
        <v>4900</v>
      </c>
      <c r="O1490" t="s">
        <v>4910</v>
      </c>
    </row>
    <row r="1491" spans="1:15" x14ac:dyDescent="0.35">
      <c r="A1491" t="s">
        <v>1483</v>
      </c>
      <c r="B1491">
        <v>29</v>
      </c>
      <c r="C1491" t="s">
        <v>4802</v>
      </c>
      <c r="D1491" t="s">
        <v>15</v>
      </c>
      <c r="E1491">
        <v>87</v>
      </c>
      <c r="F1491">
        <v>19</v>
      </c>
      <c r="G1491" t="s">
        <v>4797</v>
      </c>
      <c r="H1491" t="s">
        <v>4805</v>
      </c>
      <c r="I1491">
        <v>17.989999999999998</v>
      </c>
      <c r="J1491">
        <v>3</v>
      </c>
      <c r="K1491">
        <v>2.9</v>
      </c>
      <c r="L1491">
        <v>1</v>
      </c>
      <c r="M1491" t="s">
        <v>4808</v>
      </c>
      <c r="N1491" t="s">
        <v>4899</v>
      </c>
      <c r="O1491" t="s">
        <v>4912</v>
      </c>
    </row>
    <row r="1492" spans="1:15" x14ac:dyDescent="0.35">
      <c r="A1492" t="s">
        <v>1484</v>
      </c>
      <c r="B1492">
        <v>63</v>
      </c>
      <c r="C1492" t="s">
        <v>4803</v>
      </c>
      <c r="D1492" t="s">
        <v>13</v>
      </c>
      <c r="E1492">
        <v>60</v>
      </c>
      <c r="F1492">
        <v>19</v>
      </c>
      <c r="G1492" t="s">
        <v>4799</v>
      </c>
      <c r="H1492" t="s">
        <v>4804</v>
      </c>
      <c r="I1492">
        <v>13.99</v>
      </c>
      <c r="J1492">
        <v>4</v>
      </c>
      <c r="K1492">
        <v>2</v>
      </c>
      <c r="L1492">
        <v>0</v>
      </c>
      <c r="M1492" t="s">
        <v>4812</v>
      </c>
      <c r="N1492" t="s">
        <v>4900</v>
      </c>
      <c r="O1492" t="s">
        <v>4911</v>
      </c>
    </row>
    <row r="1493" spans="1:15" x14ac:dyDescent="0.35">
      <c r="A1493" t="s">
        <v>1485</v>
      </c>
      <c r="B1493">
        <v>27</v>
      </c>
      <c r="C1493" t="s">
        <v>4802</v>
      </c>
      <c r="D1493" t="s">
        <v>13</v>
      </c>
      <c r="E1493">
        <v>80</v>
      </c>
      <c r="F1493">
        <v>31</v>
      </c>
      <c r="G1493" t="s">
        <v>4798</v>
      </c>
      <c r="H1493" t="s">
        <v>4806</v>
      </c>
      <c r="I1493">
        <v>13.99</v>
      </c>
      <c r="J1493">
        <v>3</v>
      </c>
      <c r="K1493">
        <v>2.67</v>
      </c>
      <c r="L1493">
        <v>0</v>
      </c>
      <c r="M1493" t="s">
        <v>4808</v>
      </c>
      <c r="N1493" t="s">
        <v>4900</v>
      </c>
      <c r="O1493" t="s">
        <v>4912</v>
      </c>
    </row>
    <row r="1494" spans="1:15" x14ac:dyDescent="0.35">
      <c r="A1494" t="s">
        <v>1486</v>
      </c>
      <c r="B1494">
        <v>22</v>
      </c>
      <c r="C1494" t="s">
        <v>4802</v>
      </c>
      <c r="D1494" t="s">
        <v>15</v>
      </c>
      <c r="E1494">
        <v>81</v>
      </c>
      <c r="F1494">
        <v>54</v>
      </c>
      <c r="G1494" t="s">
        <v>4797</v>
      </c>
      <c r="H1494" t="s">
        <v>4807</v>
      </c>
      <c r="I1494">
        <v>17.989999999999998</v>
      </c>
      <c r="J1494">
        <v>2</v>
      </c>
      <c r="K1494">
        <v>2.7</v>
      </c>
      <c r="L1494">
        <v>0</v>
      </c>
      <c r="M1494" t="s">
        <v>4808</v>
      </c>
      <c r="N1494" t="s">
        <v>4900</v>
      </c>
      <c r="O1494" t="s">
        <v>4912</v>
      </c>
    </row>
    <row r="1495" spans="1:15" x14ac:dyDescent="0.35">
      <c r="A1495" t="s">
        <v>1487</v>
      </c>
      <c r="B1495">
        <v>44</v>
      </c>
      <c r="C1495" t="s">
        <v>4803</v>
      </c>
      <c r="D1495" t="s">
        <v>13</v>
      </c>
      <c r="E1495">
        <v>53</v>
      </c>
      <c r="F1495">
        <v>35</v>
      </c>
      <c r="G1495" t="s">
        <v>4797</v>
      </c>
      <c r="H1495" t="s">
        <v>4804</v>
      </c>
      <c r="I1495">
        <v>13.99</v>
      </c>
      <c r="J1495">
        <v>4</v>
      </c>
      <c r="K1495">
        <v>1.77</v>
      </c>
      <c r="L1495">
        <v>0</v>
      </c>
      <c r="M1495" t="s">
        <v>4808</v>
      </c>
      <c r="N1495" t="s">
        <v>4900</v>
      </c>
      <c r="O1495" t="s">
        <v>4910</v>
      </c>
    </row>
    <row r="1496" spans="1:15" x14ac:dyDescent="0.35">
      <c r="A1496" t="s">
        <v>1488</v>
      </c>
      <c r="B1496">
        <v>26</v>
      </c>
      <c r="C1496" t="s">
        <v>4802</v>
      </c>
      <c r="D1496" t="s">
        <v>13</v>
      </c>
      <c r="E1496">
        <v>69</v>
      </c>
      <c r="F1496">
        <v>21</v>
      </c>
      <c r="G1496" t="s">
        <v>4800</v>
      </c>
      <c r="H1496" t="s">
        <v>4805</v>
      </c>
      <c r="I1496">
        <v>13.99</v>
      </c>
      <c r="J1496">
        <v>1</v>
      </c>
      <c r="K1496">
        <v>2.2999999999999998</v>
      </c>
      <c r="L1496">
        <v>1</v>
      </c>
      <c r="M1496" t="s">
        <v>4809</v>
      </c>
      <c r="N1496" t="s">
        <v>4899</v>
      </c>
      <c r="O1496" t="s">
        <v>4912</v>
      </c>
    </row>
    <row r="1497" spans="1:15" x14ac:dyDescent="0.35">
      <c r="A1497" t="s">
        <v>1489</v>
      </c>
      <c r="B1497">
        <v>20</v>
      </c>
      <c r="C1497" t="s">
        <v>4803</v>
      </c>
      <c r="D1497" t="s">
        <v>15</v>
      </c>
      <c r="E1497">
        <v>56</v>
      </c>
      <c r="F1497">
        <v>22</v>
      </c>
      <c r="G1497" t="s">
        <v>4799</v>
      </c>
      <c r="H1497" t="s">
        <v>4805</v>
      </c>
      <c r="I1497">
        <v>17.989999999999998</v>
      </c>
      <c r="J1497">
        <v>3</v>
      </c>
      <c r="K1497">
        <v>1.87</v>
      </c>
      <c r="L1497">
        <v>1</v>
      </c>
      <c r="M1497" t="s">
        <v>4812</v>
      </c>
      <c r="N1497" t="s">
        <v>4899</v>
      </c>
      <c r="O1497" t="s">
        <v>4912</v>
      </c>
    </row>
    <row r="1498" spans="1:15" x14ac:dyDescent="0.35">
      <c r="A1498" t="s">
        <v>1490</v>
      </c>
      <c r="B1498">
        <v>43</v>
      </c>
      <c r="C1498" t="s">
        <v>4802</v>
      </c>
      <c r="D1498" t="s">
        <v>13</v>
      </c>
      <c r="E1498">
        <v>69</v>
      </c>
      <c r="F1498">
        <v>20</v>
      </c>
      <c r="G1498" t="s">
        <v>4798</v>
      </c>
      <c r="H1498" t="s">
        <v>4806</v>
      </c>
      <c r="I1498">
        <v>13.99</v>
      </c>
      <c r="J1498">
        <v>2</v>
      </c>
      <c r="K1498">
        <v>2.2999999999999998</v>
      </c>
      <c r="L1498">
        <v>0</v>
      </c>
      <c r="M1498" t="s">
        <v>4809</v>
      </c>
      <c r="N1498" t="s">
        <v>4900</v>
      </c>
      <c r="O1498" t="s">
        <v>4910</v>
      </c>
    </row>
    <row r="1499" spans="1:15" x14ac:dyDescent="0.35">
      <c r="A1499" t="s">
        <v>1491</v>
      </c>
      <c r="B1499">
        <v>58</v>
      </c>
      <c r="C1499" t="s">
        <v>4802</v>
      </c>
      <c r="D1499" t="s">
        <v>15</v>
      </c>
      <c r="E1499">
        <v>66</v>
      </c>
      <c r="F1499">
        <v>15</v>
      </c>
      <c r="G1499" t="s">
        <v>4800</v>
      </c>
      <c r="H1499" t="s">
        <v>4804</v>
      </c>
      <c r="I1499">
        <v>17.989999999999998</v>
      </c>
      <c r="J1499">
        <v>5</v>
      </c>
      <c r="K1499">
        <v>2.2000000000000002</v>
      </c>
      <c r="L1499">
        <v>0</v>
      </c>
      <c r="M1499" t="s">
        <v>4812</v>
      </c>
      <c r="N1499" t="s">
        <v>4900</v>
      </c>
      <c r="O1499" t="s">
        <v>4911</v>
      </c>
    </row>
    <row r="1500" spans="1:15" x14ac:dyDescent="0.35">
      <c r="A1500" t="s">
        <v>1492</v>
      </c>
      <c r="B1500">
        <v>47</v>
      </c>
      <c r="C1500" t="s">
        <v>4802</v>
      </c>
      <c r="D1500" t="s">
        <v>15</v>
      </c>
      <c r="E1500">
        <v>91</v>
      </c>
      <c r="F1500">
        <v>999</v>
      </c>
      <c r="G1500" t="s">
        <v>4798</v>
      </c>
      <c r="H1500" t="s">
        <v>4805</v>
      </c>
      <c r="I1500">
        <v>17.989999999999998</v>
      </c>
      <c r="J1500">
        <v>3</v>
      </c>
      <c r="K1500">
        <v>3.03</v>
      </c>
      <c r="L1500">
        <v>0</v>
      </c>
      <c r="M1500" t="s">
        <v>4812</v>
      </c>
      <c r="N1500" t="s">
        <v>4900</v>
      </c>
      <c r="O1500" t="s">
        <v>4910</v>
      </c>
    </row>
    <row r="1501" spans="1:15" x14ac:dyDescent="0.35">
      <c r="A1501" t="s">
        <v>1493</v>
      </c>
      <c r="B1501">
        <v>26</v>
      </c>
      <c r="C1501" t="s">
        <v>4802</v>
      </c>
      <c r="D1501" t="s">
        <v>13</v>
      </c>
      <c r="E1501">
        <v>64</v>
      </c>
      <c r="F1501">
        <v>26</v>
      </c>
      <c r="G1501" t="s">
        <v>4798</v>
      </c>
      <c r="H1501" t="s">
        <v>4805</v>
      </c>
      <c r="I1501">
        <v>13.99</v>
      </c>
      <c r="J1501">
        <v>3</v>
      </c>
      <c r="K1501">
        <v>2.13</v>
      </c>
      <c r="L1501">
        <v>0</v>
      </c>
      <c r="M1501" t="s">
        <v>4808</v>
      </c>
      <c r="N1501" t="s">
        <v>4900</v>
      </c>
      <c r="O1501" t="s">
        <v>4912</v>
      </c>
    </row>
    <row r="1502" spans="1:15" x14ac:dyDescent="0.35">
      <c r="A1502" t="s">
        <v>1494</v>
      </c>
      <c r="B1502">
        <v>65</v>
      </c>
      <c r="C1502" t="s">
        <v>4803</v>
      </c>
      <c r="D1502" t="s">
        <v>13</v>
      </c>
      <c r="E1502">
        <v>74</v>
      </c>
      <c r="F1502">
        <v>32</v>
      </c>
      <c r="G1502" t="s">
        <v>4797</v>
      </c>
      <c r="H1502" t="s">
        <v>4806</v>
      </c>
      <c r="I1502">
        <v>13.99</v>
      </c>
      <c r="J1502">
        <v>2</v>
      </c>
      <c r="K1502">
        <v>5</v>
      </c>
      <c r="L1502">
        <v>0</v>
      </c>
      <c r="M1502" t="s">
        <v>4812</v>
      </c>
      <c r="N1502" t="s">
        <v>4900</v>
      </c>
      <c r="O1502" t="s">
        <v>4911</v>
      </c>
    </row>
    <row r="1503" spans="1:15" x14ac:dyDescent="0.35">
      <c r="A1503" t="s">
        <v>1495</v>
      </c>
      <c r="B1503">
        <v>57</v>
      </c>
      <c r="C1503" t="s">
        <v>4803</v>
      </c>
      <c r="D1503" t="s">
        <v>13</v>
      </c>
      <c r="E1503">
        <v>58</v>
      </c>
      <c r="F1503">
        <v>47</v>
      </c>
      <c r="G1503" t="s">
        <v>4797</v>
      </c>
      <c r="H1503" t="s">
        <v>4806</v>
      </c>
      <c r="I1503">
        <v>13.99</v>
      </c>
      <c r="J1503">
        <v>4</v>
      </c>
      <c r="K1503">
        <v>1.93</v>
      </c>
      <c r="L1503">
        <v>0</v>
      </c>
      <c r="M1503" t="s">
        <v>4811</v>
      </c>
      <c r="N1503" t="s">
        <v>4900</v>
      </c>
      <c r="O1503" t="s">
        <v>4911</v>
      </c>
    </row>
    <row r="1504" spans="1:15" x14ac:dyDescent="0.35">
      <c r="A1504" t="s">
        <v>1496</v>
      </c>
      <c r="B1504">
        <v>33</v>
      </c>
      <c r="C1504" t="s">
        <v>4803</v>
      </c>
      <c r="D1504" t="s">
        <v>13</v>
      </c>
      <c r="E1504">
        <v>46</v>
      </c>
      <c r="F1504">
        <v>1</v>
      </c>
      <c r="G1504" t="s">
        <v>4799</v>
      </c>
      <c r="H1504" t="s">
        <v>4805</v>
      </c>
      <c r="I1504">
        <v>13.99</v>
      </c>
      <c r="J1504">
        <v>3</v>
      </c>
      <c r="K1504">
        <v>1.53</v>
      </c>
      <c r="L1504">
        <v>0</v>
      </c>
      <c r="M1504" t="s">
        <v>4809</v>
      </c>
      <c r="N1504" t="s">
        <v>4900</v>
      </c>
      <c r="O1504" t="s">
        <v>4912</v>
      </c>
    </row>
    <row r="1505" spans="1:15" x14ac:dyDescent="0.35">
      <c r="A1505" t="s">
        <v>1497</v>
      </c>
      <c r="B1505">
        <v>58</v>
      </c>
      <c r="C1505" t="s">
        <v>4802</v>
      </c>
      <c r="D1505" t="s">
        <v>13</v>
      </c>
      <c r="E1505">
        <v>35</v>
      </c>
      <c r="F1505">
        <v>15</v>
      </c>
      <c r="G1505" t="s">
        <v>4797</v>
      </c>
      <c r="H1505" t="s">
        <v>4804</v>
      </c>
      <c r="I1505">
        <v>13.99</v>
      </c>
      <c r="J1505">
        <v>1</v>
      </c>
      <c r="K1505">
        <v>1.17</v>
      </c>
      <c r="L1505">
        <v>0</v>
      </c>
      <c r="M1505" t="s">
        <v>4812</v>
      </c>
      <c r="N1505" t="s">
        <v>4900</v>
      </c>
      <c r="O1505" t="s">
        <v>4911</v>
      </c>
    </row>
    <row r="1506" spans="1:15" x14ac:dyDescent="0.35">
      <c r="A1506" t="s">
        <v>1498</v>
      </c>
      <c r="B1506">
        <v>60</v>
      </c>
      <c r="C1506" t="s">
        <v>4803</v>
      </c>
      <c r="D1506" t="s">
        <v>13</v>
      </c>
      <c r="E1506">
        <v>66</v>
      </c>
      <c r="F1506">
        <v>4</v>
      </c>
      <c r="G1506" t="s">
        <v>4799</v>
      </c>
      <c r="H1506" t="s">
        <v>4804</v>
      </c>
      <c r="I1506">
        <v>13.99</v>
      </c>
      <c r="J1506">
        <v>1</v>
      </c>
      <c r="K1506">
        <v>2.2000000000000002</v>
      </c>
      <c r="L1506">
        <v>0</v>
      </c>
      <c r="M1506" t="s">
        <v>4809</v>
      </c>
      <c r="N1506" t="s">
        <v>4900</v>
      </c>
      <c r="O1506" t="s">
        <v>4911</v>
      </c>
    </row>
    <row r="1507" spans="1:15" x14ac:dyDescent="0.35">
      <c r="A1507" t="s">
        <v>1499</v>
      </c>
      <c r="B1507">
        <v>44</v>
      </c>
      <c r="C1507" t="s">
        <v>4803</v>
      </c>
      <c r="D1507" t="s">
        <v>13</v>
      </c>
      <c r="E1507">
        <v>72</v>
      </c>
      <c r="F1507">
        <v>26</v>
      </c>
      <c r="G1507" t="s">
        <v>4800</v>
      </c>
      <c r="H1507" t="s">
        <v>4806</v>
      </c>
      <c r="I1507">
        <v>13.99</v>
      </c>
      <c r="J1507">
        <v>3</v>
      </c>
      <c r="K1507">
        <v>2.4</v>
      </c>
      <c r="L1507">
        <v>0</v>
      </c>
      <c r="M1507" t="s">
        <v>4809</v>
      </c>
      <c r="N1507" t="s">
        <v>4900</v>
      </c>
      <c r="O1507" t="s">
        <v>4910</v>
      </c>
    </row>
    <row r="1508" spans="1:15" x14ac:dyDescent="0.35">
      <c r="A1508" t="s">
        <v>1500</v>
      </c>
      <c r="B1508">
        <v>52</v>
      </c>
      <c r="C1508" t="s">
        <v>4803</v>
      </c>
      <c r="D1508" t="s">
        <v>13</v>
      </c>
      <c r="E1508">
        <v>45</v>
      </c>
      <c r="F1508">
        <v>19</v>
      </c>
      <c r="G1508" t="s">
        <v>4799</v>
      </c>
      <c r="H1508" t="s">
        <v>4805</v>
      </c>
      <c r="I1508">
        <v>13.99</v>
      </c>
      <c r="J1508">
        <v>2</v>
      </c>
      <c r="K1508">
        <v>1.5</v>
      </c>
      <c r="L1508">
        <v>0</v>
      </c>
      <c r="M1508" t="s">
        <v>4812</v>
      </c>
      <c r="N1508" t="s">
        <v>4900</v>
      </c>
      <c r="O1508" t="s">
        <v>4910</v>
      </c>
    </row>
    <row r="1509" spans="1:15" x14ac:dyDescent="0.35">
      <c r="A1509" t="s">
        <v>4861</v>
      </c>
      <c r="B1509">
        <v>36</v>
      </c>
      <c r="C1509" t="s">
        <v>4803</v>
      </c>
      <c r="D1509" t="s">
        <v>13</v>
      </c>
      <c r="E1509">
        <v>49</v>
      </c>
      <c r="F1509">
        <v>19</v>
      </c>
      <c r="G1509" t="s">
        <v>4799</v>
      </c>
      <c r="H1509" t="s">
        <v>4805</v>
      </c>
      <c r="I1509">
        <v>13.99</v>
      </c>
      <c r="J1509">
        <v>4</v>
      </c>
      <c r="K1509">
        <v>1.63</v>
      </c>
      <c r="L1509">
        <v>0</v>
      </c>
      <c r="M1509" t="s">
        <v>4811</v>
      </c>
      <c r="N1509" t="s">
        <v>4900</v>
      </c>
      <c r="O1509" t="s">
        <v>4910</v>
      </c>
    </row>
    <row r="1510" spans="1:15" x14ac:dyDescent="0.35">
      <c r="A1510" t="s">
        <v>1501</v>
      </c>
      <c r="B1510">
        <v>35</v>
      </c>
      <c r="C1510" t="s">
        <v>4803</v>
      </c>
      <c r="D1510" t="s">
        <v>15</v>
      </c>
      <c r="E1510">
        <v>77</v>
      </c>
      <c r="F1510">
        <v>53</v>
      </c>
      <c r="G1510" t="s">
        <v>4799</v>
      </c>
      <c r="H1510" t="s">
        <v>4805</v>
      </c>
      <c r="I1510">
        <v>17.989999999999998</v>
      </c>
      <c r="J1510">
        <v>2</v>
      </c>
      <c r="K1510">
        <v>2.57</v>
      </c>
      <c r="L1510">
        <v>0</v>
      </c>
      <c r="M1510" t="s">
        <v>4808</v>
      </c>
      <c r="N1510" t="s">
        <v>4900</v>
      </c>
      <c r="O1510" t="s">
        <v>4910</v>
      </c>
    </row>
    <row r="1511" spans="1:15" x14ac:dyDescent="0.35">
      <c r="A1511" t="s">
        <v>1502</v>
      </c>
      <c r="B1511">
        <v>51</v>
      </c>
      <c r="C1511" t="s">
        <v>4803</v>
      </c>
      <c r="D1511" t="s">
        <v>13</v>
      </c>
      <c r="E1511">
        <v>37</v>
      </c>
      <c r="F1511">
        <v>16</v>
      </c>
      <c r="G1511" t="s">
        <v>4798</v>
      </c>
      <c r="H1511" t="s">
        <v>4805</v>
      </c>
      <c r="I1511">
        <v>13.99</v>
      </c>
      <c r="J1511">
        <v>2</v>
      </c>
      <c r="K1511">
        <v>1.23</v>
      </c>
      <c r="L1511">
        <v>0</v>
      </c>
      <c r="M1511" t="s">
        <v>4811</v>
      </c>
      <c r="N1511" t="s">
        <v>4900</v>
      </c>
      <c r="O1511" t="s">
        <v>4910</v>
      </c>
    </row>
    <row r="1512" spans="1:15" x14ac:dyDescent="0.35">
      <c r="A1512" t="s">
        <v>1503</v>
      </c>
      <c r="B1512">
        <v>31</v>
      </c>
      <c r="C1512" t="s">
        <v>4802</v>
      </c>
      <c r="D1512" t="s">
        <v>14</v>
      </c>
      <c r="E1512">
        <v>43</v>
      </c>
      <c r="F1512">
        <v>30</v>
      </c>
      <c r="G1512" t="s">
        <v>4798</v>
      </c>
      <c r="H1512" t="s">
        <v>4804</v>
      </c>
      <c r="I1512">
        <v>8.99</v>
      </c>
      <c r="J1512">
        <v>2</v>
      </c>
      <c r="K1512">
        <v>1.43</v>
      </c>
      <c r="L1512">
        <v>1</v>
      </c>
      <c r="M1512" t="s">
        <v>4808</v>
      </c>
      <c r="N1512" t="s">
        <v>4899</v>
      </c>
      <c r="O1512" t="s">
        <v>4912</v>
      </c>
    </row>
    <row r="1513" spans="1:15" x14ac:dyDescent="0.35">
      <c r="A1513" t="s">
        <v>1504</v>
      </c>
      <c r="B1513">
        <v>39</v>
      </c>
      <c r="C1513" t="s">
        <v>4802</v>
      </c>
      <c r="D1513" t="s">
        <v>13</v>
      </c>
      <c r="E1513">
        <v>47</v>
      </c>
      <c r="F1513">
        <v>34</v>
      </c>
      <c r="G1513" t="s">
        <v>4797</v>
      </c>
      <c r="H1513" t="s">
        <v>4804</v>
      </c>
      <c r="I1513">
        <v>13.99</v>
      </c>
      <c r="J1513">
        <v>2</v>
      </c>
      <c r="K1513">
        <v>2.0299999999999998</v>
      </c>
      <c r="L1513">
        <v>1</v>
      </c>
      <c r="M1513" t="s">
        <v>4810</v>
      </c>
      <c r="N1513" t="s">
        <v>4899</v>
      </c>
      <c r="O1513" t="s">
        <v>4910</v>
      </c>
    </row>
    <row r="1514" spans="1:15" x14ac:dyDescent="0.35">
      <c r="A1514" t="s">
        <v>1505</v>
      </c>
      <c r="B1514">
        <v>30</v>
      </c>
      <c r="C1514" t="s">
        <v>4803</v>
      </c>
      <c r="D1514" t="s">
        <v>13</v>
      </c>
      <c r="E1514">
        <v>54</v>
      </c>
      <c r="F1514">
        <v>7</v>
      </c>
      <c r="G1514" t="s">
        <v>4797</v>
      </c>
      <c r="H1514" t="s">
        <v>4804</v>
      </c>
      <c r="I1514">
        <v>13.99</v>
      </c>
      <c r="J1514">
        <v>4</v>
      </c>
      <c r="K1514">
        <v>1.8</v>
      </c>
      <c r="L1514">
        <v>0</v>
      </c>
      <c r="M1514" t="s">
        <v>4811</v>
      </c>
      <c r="N1514" t="s">
        <v>4900</v>
      </c>
      <c r="O1514" t="s">
        <v>4912</v>
      </c>
    </row>
    <row r="1515" spans="1:15" x14ac:dyDescent="0.35">
      <c r="A1515" t="s">
        <v>1506</v>
      </c>
      <c r="B1515">
        <v>41</v>
      </c>
      <c r="C1515" t="s">
        <v>4803</v>
      </c>
      <c r="D1515" t="s">
        <v>14</v>
      </c>
      <c r="E1515">
        <v>15</v>
      </c>
      <c r="F1515">
        <v>49</v>
      </c>
      <c r="G1515" t="s">
        <v>4799</v>
      </c>
      <c r="H1515" t="s">
        <v>4805</v>
      </c>
      <c r="I1515">
        <v>8.99</v>
      </c>
      <c r="J1515">
        <v>2</v>
      </c>
      <c r="K1515">
        <v>0.5</v>
      </c>
      <c r="L1515">
        <v>0</v>
      </c>
      <c r="M1515" t="s">
        <v>4809</v>
      </c>
      <c r="N1515" t="s">
        <v>4900</v>
      </c>
      <c r="O1515" t="s">
        <v>4910</v>
      </c>
    </row>
    <row r="1516" spans="1:15" x14ac:dyDescent="0.35">
      <c r="A1516" t="s">
        <v>1507</v>
      </c>
      <c r="B1516">
        <v>63</v>
      </c>
      <c r="C1516" t="s">
        <v>4803</v>
      </c>
      <c r="D1516" t="s">
        <v>13</v>
      </c>
      <c r="E1516">
        <v>66</v>
      </c>
      <c r="F1516">
        <v>25</v>
      </c>
      <c r="G1516" t="s">
        <v>4797</v>
      </c>
      <c r="H1516" t="s">
        <v>4806</v>
      </c>
      <c r="I1516">
        <v>13.99</v>
      </c>
      <c r="J1516">
        <v>3</v>
      </c>
      <c r="K1516">
        <v>2.2000000000000002</v>
      </c>
      <c r="L1516">
        <v>0</v>
      </c>
      <c r="M1516" t="s">
        <v>4811</v>
      </c>
      <c r="N1516" t="s">
        <v>4900</v>
      </c>
      <c r="O1516" t="s">
        <v>4911</v>
      </c>
    </row>
    <row r="1517" spans="1:15" x14ac:dyDescent="0.35">
      <c r="A1517" t="s">
        <v>1508</v>
      </c>
      <c r="B1517">
        <v>56</v>
      </c>
      <c r="C1517" t="s">
        <v>4803</v>
      </c>
      <c r="D1517" t="s">
        <v>15</v>
      </c>
      <c r="E1517">
        <v>118</v>
      </c>
      <c r="F1517">
        <v>47</v>
      </c>
      <c r="G1517" t="s">
        <v>4800</v>
      </c>
      <c r="H1517" t="s">
        <v>4806</v>
      </c>
      <c r="I1517">
        <v>17.989999999999998</v>
      </c>
      <c r="J1517">
        <v>2</v>
      </c>
      <c r="K1517">
        <v>3.93</v>
      </c>
      <c r="L1517">
        <v>0</v>
      </c>
      <c r="M1517" t="s">
        <v>4808</v>
      </c>
      <c r="N1517" t="s">
        <v>4900</v>
      </c>
      <c r="O1517" t="s">
        <v>4911</v>
      </c>
    </row>
    <row r="1518" spans="1:15" x14ac:dyDescent="0.35">
      <c r="A1518" t="s">
        <v>1509</v>
      </c>
      <c r="B1518">
        <v>23</v>
      </c>
      <c r="C1518" t="s">
        <v>4802</v>
      </c>
      <c r="D1518" t="s">
        <v>13</v>
      </c>
      <c r="E1518">
        <v>50</v>
      </c>
      <c r="F1518">
        <v>39</v>
      </c>
      <c r="G1518" t="s">
        <v>4798</v>
      </c>
      <c r="H1518" t="s">
        <v>4805</v>
      </c>
      <c r="I1518">
        <v>13.99</v>
      </c>
      <c r="J1518">
        <v>3</v>
      </c>
      <c r="K1518">
        <v>1.67</v>
      </c>
      <c r="L1518">
        <v>0</v>
      </c>
      <c r="M1518" t="s">
        <v>4810</v>
      </c>
      <c r="N1518" t="s">
        <v>4900</v>
      </c>
      <c r="O1518" t="s">
        <v>4912</v>
      </c>
    </row>
    <row r="1519" spans="1:15" x14ac:dyDescent="0.35">
      <c r="A1519" t="s">
        <v>1510</v>
      </c>
      <c r="B1519">
        <v>30</v>
      </c>
      <c r="C1519" t="s">
        <v>4802</v>
      </c>
      <c r="D1519" t="s">
        <v>13</v>
      </c>
      <c r="E1519">
        <v>79</v>
      </c>
      <c r="F1519">
        <v>10</v>
      </c>
      <c r="G1519" t="s">
        <v>4799</v>
      </c>
      <c r="H1519" t="s">
        <v>4805</v>
      </c>
      <c r="I1519">
        <v>13.99</v>
      </c>
      <c r="J1519">
        <v>4</v>
      </c>
      <c r="K1519">
        <v>2.63</v>
      </c>
      <c r="L1519">
        <v>0</v>
      </c>
      <c r="M1519" t="s">
        <v>4811</v>
      </c>
      <c r="N1519" t="s">
        <v>4900</v>
      </c>
      <c r="O1519" t="s">
        <v>4912</v>
      </c>
    </row>
    <row r="1520" spans="1:15" x14ac:dyDescent="0.35">
      <c r="A1520" t="s">
        <v>1511</v>
      </c>
      <c r="B1520">
        <v>30</v>
      </c>
      <c r="C1520" t="s">
        <v>4802</v>
      </c>
      <c r="D1520" t="s">
        <v>13</v>
      </c>
      <c r="E1520">
        <v>43</v>
      </c>
      <c r="F1520">
        <v>6</v>
      </c>
      <c r="G1520" t="s">
        <v>4798</v>
      </c>
      <c r="H1520" t="s">
        <v>4806</v>
      </c>
      <c r="I1520">
        <v>13.99</v>
      </c>
      <c r="J1520">
        <v>4</v>
      </c>
      <c r="K1520">
        <v>1.43</v>
      </c>
      <c r="L1520">
        <v>0</v>
      </c>
      <c r="M1520" t="s">
        <v>4812</v>
      </c>
      <c r="N1520" t="s">
        <v>4900</v>
      </c>
      <c r="O1520" t="s">
        <v>4912</v>
      </c>
    </row>
    <row r="1521" spans="1:15" x14ac:dyDescent="0.35">
      <c r="A1521" t="s">
        <v>1512</v>
      </c>
      <c r="B1521">
        <v>19</v>
      </c>
      <c r="C1521" t="s">
        <v>4803</v>
      </c>
      <c r="D1521" t="s">
        <v>13</v>
      </c>
      <c r="E1521">
        <v>50</v>
      </c>
      <c r="F1521">
        <v>19</v>
      </c>
      <c r="G1521" t="s">
        <v>4797</v>
      </c>
      <c r="H1521" t="s">
        <v>4806</v>
      </c>
      <c r="I1521">
        <v>13.99</v>
      </c>
      <c r="J1521">
        <v>4</v>
      </c>
      <c r="K1521">
        <v>1.67</v>
      </c>
      <c r="L1521">
        <v>0</v>
      </c>
      <c r="M1521" t="s">
        <v>4809</v>
      </c>
      <c r="N1521" t="s">
        <v>4900</v>
      </c>
      <c r="O1521" t="s">
        <v>4912</v>
      </c>
    </row>
    <row r="1522" spans="1:15" x14ac:dyDescent="0.35">
      <c r="A1522" t="s">
        <v>1513</v>
      </c>
      <c r="B1522">
        <v>50</v>
      </c>
      <c r="C1522" t="s">
        <v>4802</v>
      </c>
      <c r="D1522" t="s">
        <v>13</v>
      </c>
      <c r="E1522">
        <v>58</v>
      </c>
      <c r="F1522">
        <v>56</v>
      </c>
      <c r="G1522" t="s">
        <v>4798</v>
      </c>
      <c r="H1522" t="s">
        <v>4805</v>
      </c>
      <c r="I1522">
        <v>13.99</v>
      </c>
      <c r="J1522">
        <v>1</v>
      </c>
      <c r="K1522">
        <v>1.93</v>
      </c>
      <c r="L1522">
        <v>0</v>
      </c>
      <c r="M1522" t="s">
        <v>4811</v>
      </c>
      <c r="N1522" t="s">
        <v>4900</v>
      </c>
      <c r="O1522" t="s">
        <v>4910</v>
      </c>
    </row>
    <row r="1523" spans="1:15" x14ac:dyDescent="0.35">
      <c r="A1523" t="s">
        <v>1514</v>
      </c>
      <c r="B1523">
        <v>20</v>
      </c>
      <c r="C1523" t="s">
        <v>4803</v>
      </c>
      <c r="D1523" t="s">
        <v>13</v>
      </c>
      <c r="E1523">
        <v>78</v>
      </c>
      <c r="F1523">
        <v>3</v>
      </c>
      <c r="G1523" t="s">
        <v>4798</v>
      </c>
      <c r="H1523" t="s">
        <v>4805</v>
      </c>
      <c r="I1523">
        <v>13.99</v>
      </c>
      <c r="J1523">
        <v>2</v>
      </c>
      <c r="K1523">
        <v>2.6</v>
      </c>
      <c r="L1523">
        <v>0</v>
      </c>
      <c r="M1523" t="s">
        <v>4812</v>
      </c>
      <c r="N1523" t="s">
        <v>4900</v>
      </c>
      <c r="O1523" t="s">
        <v>4912</v>
      </c>
    </row>
    <row r="1524" spans="1:15" x14ac:dyDescent="0.35">
      <c r="A1524" t="s">
        <v>1515</v>
      </c>
      <c r="B1524">
        <v>40</v>
      </c>
      <c r="C1524" t="s">
        <v>4803</v>
      </c>
      <c r="D1524" t="s">
        <v>13</v>
      </c>
      <c r="E1524">
        <v>53</v>
      </c>
      <c r="F1524">
        <v>38</v>
      </c>
      <c r="G1524" t="s">
        <v>4798</v>
      </c>
      <c r="H1524" t="s">
        <v>4806</v>
      </c>
      <c r="I1524">
        <v>13.99</v>
      </c>
      <c r="J1524">
        <v>2</v>
      </c>
      <c r="K1524">
        <v>1.77</v>
      </c>
      <c r="L1524">
        <v>0</v>
      </c>
      <c r="M1524" t="s">
        <v>4808</v>
      </c>
      <c r="N1524" t="s">
        <v>4900</v>
      </c>
      <c r="O1524" t="s">
        <v>4910</v>
      </c>
    </row>
    <row r="1525" spans="1:15" x14ac:dyDescent="0.35">
      <c r="A1525" t="s">
        <v>1516</v>
      </c>
      <c r="B1525">
        <v>53</v>
      </c>
      <c r="C1525" t="s">
        <v>4803</v>
      </c>
      <c r="D1525" t="s">
        <v>13</v>
      </c>
      <c r="E1525">
        <v>56</v>
      </c>
      <c r="F1525">
        <v>17</v>
      </c>
      <c r="G1525" t="s">
        <v>4798</v>
      </c>
      <c r="H1525" t="s">
        <v>4806</v>
      </c>
      <c r="I1525">
        <v>13.99</v>
      </c>
      <c r="J1525">
        <v>3</v>
      </c>
      <c r="K1525">
        <v>1.87</v>
      </c>
      <c r="L1525">
        <v>0</v>
      </c>
      <c r="M1525" t="s">
        <v>4811</v>
      </c>
      <c r="N1525" t="s">
        <v>4900</v>
      </c>
      <c r="O1525" t="s">
        <v>4910</v>
      </c>
    </row>
    <row r="1526" spans="1:15" x14ac:dyDescent="0.35">
      <c r="A1526" t="s">
        <v>4862</v>
      </c>
      <c r="B1526">
        <v>18</v>
      </c>
      <c r="C1526" t="s">
        <v>4802</v>
      </c>
      <c r="D1526" t="s">
        <v>13</v>
      </c>
      <c r="E1526">
        <v>35</v>
      </c>
      <c r="F1526">
        <v>54</v>
      </c>
      <c r="G1526" t="s">
        <v>4798</v>
      </c>
      <c r="H1526" t="s">
        <v>4805</v>
      </c>
      <c r="I1526">
        <v>13.99</v>
      </c>
      <c r="J1526">
        <v>3</v>
      </c>
      <c r="K1526">
        <v>1.17</v>
      </c>
      <c r="L1526">
        <v>0</v>
      </c>
      <c r="M1526" t="s">
        <v>4808</v>
      </c>
      <c r="N1526" t="s">
        <v>4900</v>
      </c>
      <c r="O1526" t="s">
        <v>4912</v>
      </c>
    </row>
    <row r="1527" spans="1:15" x14ac:dyDescent="0.35">
      <c r="A1527" t="s">
        <v>1517</v>
      </c>
      <c r="B1527">
        <v>28</v>
      </c>
      <c r="C1527" t="s">
        <v>4803</v>
      </c>
      <c r="D1527" t="s">
        <v>13</v>
      </c>
      <c r="E1527">
        <v>37</v>
      </c>
      <c r="F1527">
        <v>10</v>
      </c>
      <c r="G1527" t="s">
        <v>4799</v>
      </c>
      <c r="H1527" t="s">
        <v>4804</v>
      </c>
      <c r="I1527">
        <v>13.99</v>
      </c>
      <c r="J1527">
        <v>3</v>
      </c>
      <c r="K1527">
        <v>1.23</v>
      </c>
      <c r="L1527">
        <v>0</v>
      </c>
      <c r="M1527" t="s">
        <v>4812</v>
      </c>
      <c r="N1527" t="s">
        <v>4900</v>
      </c>
      <c r="O1527" t="s">
        <v>4912</v>
      </c>
    </row>
    <row r="1528" spans="1:15" x14ac:dyDescent="0.35">
      <c r="A1528" t="s">
        <v>1518</v>
      </c>
      <c r="B1528">
        <v>50</v>
      </c>
      <c r="C1528" t="s">
        <v>4802</v>
      </c>
      <c r="D1528" t="s">
        <v>13</v>
      </c>
      <c r="E1528">
        <v>66</v>
      </c>
      <c r="F1528">
        <v>31</v>
      </c>
      <c r="G1528" t="s">
        <v>4797</v>
      </c>
      <c r="H1528" t="s">
        <v>4804</v>
      </c>
      <c r="I1528">
        <v>13.99</v>
      </c>
      <c r="J1528">
        <v>3</v>
      </c>
      <c r="K1528">
        <v>2.2000000000000002</v>
      </c>
      <c r="L1528">
        <v>0</v>
      </c>
      <c r="M1528" t="s">
        <v>4812</v>
      </c>
      <c r="N1528" t="s">
        <v>4900</v>
      </c>
      <c r="O1528" t="s">
        <v>4910</v>
      </c>
    </row>
    <row r="1529" spans="1:15" x14ac:dyDescent="0.35">
      <c r="A1529" t="s">
        <v>1519</v>
      </c>
      <c r="B1529">
        <v>51</v>
      </c>
      <c r="C1529" t="s">
        <v>4802</v>
      </c>
      <c r="D1529" t="s">
        <v>13</v>
      </c>
      <c r="E1529">
        <v>72</v>
      </c>
      <c r="F1529">
        <v>10</v>
      </c>
      <c r="G1529" t="s">
        <v>4799</v>
      </c>
      <c r="H1529" t="s">
        <v>4805</v>
      </c>
      <c r="I1529">
        <v>13.99</v>
      </c>
      <c r="J1529">
        <v>3</v>
      </c>
      <c r="K1529">
        <v>2.4</v>
      </c>
      <c r="L1529">
        <v>0</v>
      </c>
      <c r="M1529" t="s">
        <v>4812</v>
      </c>
      <c r="N1529" t="s">
        <v>4900</v>
      </c>
      <c r="O1529" t="s">
        <v>4910</v>
      </c>
    </row>
    <row r="1530" spans="1:15" x14ac:dyDescent="0.35">
      <c r="A1530" t="s">
        <v>1520</v>
      </c>
      <c r="B1530">
        <v>18</v>
      </c>
      <c r="C1530" t="s">
        <v>4802</v>
      </c>
      <c r="D1530" t="s">
        <v>13</v>
      </c>
      <c r="E1530">
        <v>45</v>
      </c>
      <c r="F1530">
        <v>17</v>
      </c>
      <c r="G1530" t="s">
        <v>4797</v>
      </c>
      <c r="H1530" t="s">
        <v>4806</v>
      </c>
      <c r="I1530">
        <v>13.99</v>
      </c>
      <c r="J1530">
        <v>2</v>
      </c>
      <c r="K1530">
        <v>1.5</v>
      </c>
      <c r="L1530">
        <v>1</v>
      </c>
      <c r="M1530" t="s">
        <v>4810</v>
      </c>
      <c r="N1530" t="s">
        <v>4899</v>
      </c>
      <c r="O1530" t="s">
        <v>4912</v>
      </c>
    </row>
    <row r="1531" spans="1:15" x14ac:dyDescent="0.35">
      <c r="A1531" t="s">
        <v>1521</v>
      </c>
      <c r="B1531">
        <v>42</v>
      </c>
      <c r="C1531" t="s">
        <v>4802</v>
      </c>
      <c r="D1531" t="s">
        <v>13</v>
      </c>
      <c r="E1531">
        <v>74</v>
      </c>
      <c r="F1531">
        <v>43</v>
      </c>
      <c r="G1531" t="s">
        <v>4798</v>
      </c>
      <c r="H1531" t="s">
        <v>4804</v>
      </c>
      <c r="I1531">
        <v>13.99</v>
      </c>
      <c r="J1531">
        <v>4</v>
      </c>
      <c r="K1531">
        <v>2.4700000000000002</v>
      </c>
      <c r="L1531">
        <v>0</v>
      </c>
      <c r="M1531" t="s">
        <v>4812</v>
      </c>
      <c r="N1531" t="s">
        <v>4900</v>
      </c>
      <c r="O1531" t="s">
        <v>4910</v>
      </c>
    </row>
    <row r="1532" spans="1:15" x14ac:dyDescent="0.35">
      <c r="A1532" t="s">
        <v>1522</v>
      </c>
      <c r="B1532">
        <v>20</v>
      </c>
      <c r="C1532" t="s">
        <v>4802</v>
      </c>
      <c r="D1532" t="s">
        <v>13</v>
      </c>
      <c r="E1532">
        <v>56</v>
      </c>
      <c r="F1532">
        <v>37</v>
      </c>
      <c r="G1532" t="s">
        <v>4797</v>
      </c>
      <c r="H1532" t="s">
        <v>4804</v>
      </c>
      <c r="I1532">
        <v>13.99</v>
      </c>
      <c r="J1532">
        <v>4</v>
      </c>
      <c r="K1532">
        <v>1.87</v>
      </c>
      <c r="L1532">
        <v>1</v>
      </c>
      <c r="M1532" t="s">
        <v>4808</v>
      </c>
      <c r="N1532" t="s">
        <v>4899</v>
      </c>
      <c r="O1532" t="s">
        <v>4912</v>
      </c>
    </row>
    <row r="1533" spans="1:15" x14ac:dyDescent="0.35">
      <c r="A1533" t="s">
        <v>1523</v>
      </c>
      <c r="B1533">
        <v>59</v>
      </c>
      <c r="C1533" t="s">
        <v>4802</v>
      </c>
      <c r="D1533" t="s">
        <v>15</v>
      </c>
      <c r="E1533">
        <v>92</v>
      </c>
      <c r="F1533">
        <v>51</v>
      </c>
      <c r="G1533" t="s">
        <v>4797</v>
      </c>
      <c r="H1533" t="s">
        <v>4805</v>
      </c>
      <c r="I1533">
        <v>17.989999999999998</v>
      </c>
      <c r="J1533">
        <v>5</v>
      </c>
      <c r="K1533">
        <v>3.07</v>
      </c>
      <c r="L1533">
        <v>0</v>
      </c>
      <c r="M1533" t="s">
        <v>4808</v>
      </c>
      <c r="N1533" t="s">
        <v>4900</v>
      </c>
      <c r="O1533" t="s">
        <v>4911</v>
      </c>
    </row>
    <row r="1534" spans="1:15" x14ac:dyDescent="0.35">
      <c r="A1534" t="s">
        <v>1524</v>
      </c>
      <c r="B1534">
        <v>52</v>
      </c>
      <c r="C1534" t="s">
        <v>4803</v>
      </c>
      <c r="D1534" t="s">
        <v>13</v>
      </c>
      <c r="E1534">
        <v>45</v>
      </c>
      <c r="F1534">
        <v>50</v>
      </c>
      <c r="G1534" t="s">
        <v>4798</v>
      </c>
      <c r="H1534" t="s">
        <v>4805</v>
      </c>
      <c r="I1534">
        <v>13.99</v>
      </c>
      <c r="J1534">
        <v>4</v>
      </c>
      <c r="K1534">
        <v>2.0299999999999998</v>
      </c>
      <c r="L1534">
        <v>0</v>
      </c>
      <c r="M1534" t="s">
        <v>4808</v>
      </c>
      <c r="N1534" t="s">
        <v>4900</v>
      </c>
      <c r="O1534" t="s">
        <v>4910</v>
      </c>
    </row>
    <row r="1535" spans="1:15" x14ac:dyDescent="0.35">
      <c r="A1535" t="s">
        <v>1525</v>
      </c>
      <c r="B1535">
        <v>56</v>
      </c>
      <c r="C1535" t="s">
        <v>4802</v>
      </c>
      <c r="D1535" t="s">
        <v>15</v>
      </c>
      <c r="E1535">
        <v>112</v>
      </c>
      <c r="F1535">
        <v>8</v>
      </c>
      <c r="G1535" t="s">
        <v>4797</v>
      </c>
      <c r="H1535" t="s">
        <v>4806</v>
      </c>
      <c r="I1535">
        <v>17.989999999999998</v>
      </c>
      <c r="J1535">
        <v>5</v>
      </c>
      <c r="K1535">
        <v>3.73</v>
      </c>
      <c r="L1535">
        <v>0</v>
      </c>
      <c r="M1535" t="s">
        <v>4810</v>
      </c>
      <c r="N1535" t="s">
        <v>4900</v>
      </c>
      <c r="O1535" t="s">
        <v>4911</v>
      </c>
    </row>
    <row r="1536" spans="1:15" x14ac:dyDescent="0.35">
      <c r="A1536" t="s">
        <v>1526</v>
      </c>
      <c r="B1536">
        <v>44</v>
      </c>
      <c r="C1536" t="s">
        <v>4803</v>
      </c>
      <c r="D1536" t="s">
        <v>15</v>
      </c>
      <c r="E1536">
        <v>56</v>
      </c>
      <c r="F1536">
        <v>10</v>
      </c>
      <c r="G1536" t="s">
        <v>4798</v>
      </c>
      <c r="H1536" t="s">
        <v>4804</v>
      </c>
      <c r="I1536">
        <v>17.989999999999998</v>
      </c>
      <c r="J1536">
        <v>2</v>
      </c>
      <c r="K1536">
        <v>1.87</v>
      </c>
      <c r="L1536">
        <v>0</v>
      </c>
      <c r="M1536" t="s">
        <v>4812</v>
      </c>
      <c r="N1536" t="s">
        <v>4900</v>
      </c>
      <c r="O1536" t="s">
        <v>4910</v>
      </c>
    </row>
    <row r="1537" spans="1:15" x14ac:dyDescent="0.35">
      <c r="A1537" t="s">
        <v>1527</v>
      </c>
      <c r="B1537">
        <v>59</v>
      </c>
      <c r="C1537" t="s">
        <v>4803</v>
      </c>
      <c r="D1537" t="s">
        <v>13</v>
      </c>
      <c r="E1537">
        <v>52</v>
      </c>
      <c r="F1537">
        <v>38</v>
      </c>
      <c r="G1537" t="s">
        <v>4797</v>
      </c>
      <c r="H1537" t="s">
        <v>4804</v>
      </c>
      <c r="I1537">
        <v>13.99</v>
      </c>
      <c r="J1537">
        <v>4</v>
      </c>
      <c r="K1537">
        <v>1.73</v>
      </c>
      <c r="L1537">
        <v>0</v>
      </c>
      <c r="M1537" t="s">
        <v>4812</v>
      </c>
      <c r="N1537" t="s">
        <v>4900</v>
      </c>
      <c r="O1537" t="s">
        <v>4911</v>
      </c>
    </row>
    <row r="1538" spans="1:15" x14ac:dyDescent="0.35">
      <c r="A1538" t="s">
        <v>1528</v>
      </c>
      <c r="B1538">
        <v>39</v>
      </c>
      <c r="C1538" t="s">
        <v>4802</v>
      </c>
      <c r="D1538" t="s">
        <v>13</v>
      </c>
      <c r="E1538">
        <v>59</v>
      </c>
      <c r="F1538">
        <v>26</v>
      </c>
      <c r="G1538" t="s">
        <v>4798</v>
      </c>
      <c r="H1538" t="s">
        <v>4805</v>
      </c>
      <c r="I1538">
        <v>13.99</v>
      </c>
      <c r="J1538">
        <v>4</v>
      </c>
      <c r="K1538">
        <v>1.97</v>
      </c>
      <c r="L1538">
        <v>0</v>
      </c>
      <c r="M1538" t="s">
        <v>4811</v>
      </c>
      <c r="N1538" t="s">
        <v>4900</v>
      </c>
      <c r="O1538" t="s">
        <v>4910</v>
      </c>
    </row>
    <row r="1539" spans="1:15" x14ac:dyDescent="0.35">
      <c r="A1539" t="s">
        <v>1529</v>
      </c>
      <c r="B1539">
        <v>24</v>
      </c>
      <c r="C1539" t="s">
        <v>4802</v>
      </c>
      <c r="D1539" t="s">
        <v>14</v>
      </c>
      <c r="E1539">
        <v>38</v>
      </c>
      <c r="F1539">
        <v>26</v>
      </c>
      <c r="G1539" t="s">
        <v>4799</v>
      </c>
      <c r="H1539" t="s">
        <v>4806</v>
      </c>
      <c r="I1539">
        <v>8.99</v>
      </c>
      <c r="J1539">
        <v>2</v>
      </c>
      <c r="K1539">
        <v>1.27</v>
      </c>
      <c r="L1539">
        <v>0</v>
      </c>
      <c r="M1539" t="s">
        <v>4808</v>
      </c>
      <c r="N1539" t="s">
        <v>4900</v>
      </c>
      <c r="O1539" t="s">
        <v>4912</v>
      </c>
    </row>
    <row r="1540" spans="1:15" x14ac:dyDescent="0.35">
      <c r="A1540" t="s">
        <v>1530</v>
      </c>
      <c r="B1540">
        <v>42</v>
      </c>
      <c r="C1540" t="s">
        <v>4803</v>
      </c>
      <c r="D1540" t="s">
        <v>15</v>
      </c>
      <c r="E1540">
        <v>74</v>
      </c>
      <c r="F1540">
        <v>14</v>
      </c>
      <c r="G1540" t="s">
        <v>4798</v>
      </c>
      <c r="H1540" t="s">
        <v>4805</v>
      </c>
      <c r="I1540">
        <v>17.989999999999998</v>
      </c>
      <c r="J1540">
        <v>5</v>
      </c>
      <c r="K1540">
        <v>2.4700000000000002</v>
      </c>
      <c r="L1540">
        <v>0</v>
      </c>
      <c r="M1540" t="s">
        <v>4810</v>
      </c>
      <c r="N1540" t="s">
        <v>4900</v>
      </c>
      <c r="O1540" t="s">
        <v>4910</v>
      </c>
    </row>
    <row r="1541" spans="1:15" x14ac:dyDescent="0.35">
      <c r="A1541" t="s">
        <v>1531</v>
      </c>
      <c r="B1541">
        <v>47</v>
      </c>
      <c r="C1541" t="s">
        <v>4803</v>
      </c>
      <c r="D1541" t="s">
        <v>13</v>
      </c>
      <c r="E1541">
        <v>40</v>
      </c>
      <c r="F1541">
        <v>15</v>
      </c>
      <c r="G1541" t="s">
        <v>4798</v>
      </c>
      <c r="H1541" t="s">
        <v>4804</v>
      </c>
      <c r="I1541">
        <v>13.99</v>
      </c>
      <c r="J1541">
        <v>3</v>
      </c>
      <c r="K1541">
        <v>2.0299999999999998</v>
      </c>
      <c r="L1541">
        <v>0</v>
      </c>
      <c r="M1541" t="s">
        <v>4809</v>
      </c>
      <c r="N1541" t="s">
        <v>4900</v>
      </c>
      <c r="O1541" t="s">
        <v>4910</v>
      </c>
    </row>
    <row r="1542" spans="1:15" x14ac:dyDescent="0.35">
      <c r="A1542" t="s">
        <v>1532</v>
      </c>
      <c r="B1542">
        <v>25</v>
      </c>
      <c r="C1542" t="s">
        <v>4803</v>
      </c>
      <c r="D1542" t="s">
        <v>15</v>
      </c>
      <c r="E1542">
        <v>91</v>
      </c>
      <c r="F1542">
        <v>11</v>
      </c>
      <c r="G1542" t="s">
        <v>4799</v>
      </c>
      <c r="H1542" t="s">
        <v>4806</v>
      </c>
      <c r="I1542">
        <v>17.989999999999998</v>
      </c>
      <c r="J1542">
        <v>2</v>
      </c>
      <c r="K1542">
        <v>3.03</v>
      </c>
      <c r="L1542">
        <v>0</v>
      </c>
      <c r="M1542" t="s">
        <v>4812</v>
      </c>
      <c r="N1542" t="s">
        <v>4900</v>
      </c>
      <c r="O1542" t="s">
        <v>4912</v>
      </c>
    </row>
    <row r="1543" spans="1:15" x14ac:dyDescent="0.35">
      <c r="A1543" t="s">
        <v>1533</v>
      </c>
      <c r="B1543">
        <v>61</v>
      </c>
      <c r="C1543" t="s">
        <v>4803</v>
      </c>
      <c r="D1543" t="s">
        <v>15</v>
      </c>
      <c r="E1543">
        <v>100</v>
      </c>
      <c r="F1543">
        <v>12</v>
      </c>
      <c r="G1543" t="s">
        <v>4797</v>
      </c>
      <c r="H1543" t="s">
        <v>4805</v>
      </c>
      <c r="I1543">
        <v>17.989999999999998</v>
      </c>
      <c r="J1543">
        <v>3</v>
      </c>
      <c r="K1543">
        <v>3.33</v>
      </c>
      <c r="L1543">
        <v>0</v>
      </c>
      <c r="M1543" t="s">
        <v>4809</v>
      </c>
      <c r="N1543" t="s">
        <v>4900</v>
      </c>
      <c r="O1543" t="s">
        <v>4911</v>
      </c>
    </row>
    <row r="1544" spans="1:15" x14ac:dyDescent="0.35">
      <c r="A1544" t="s">
        <v>1534</v>
      </c>
      <c r="B1544">
        <v>58</v>
      </c>
      <c r="C1544" t="s">
        <v>4802</v>
      </c>
      <c r="D1544" t="s">
        <v>13</v>
      </c>
      <c r="E1544">
        <v>69</v>
      </c>
      <c r="F1544">
        <v>26</v>
      </c>
      <c r="G1544" t="s">
        <v>4798</v>
      </c>
      <c r="H1544" t="s">
        <v>4806</v>
      </c>
      <c r="I1544">
        <v>13.99</v>
      </c>
      <c r="J1544">
        <v>4</v>
      </c>
      <c r="K1544">
        <v>2.2999999999999998</v>
      </c>
      <c r="L1544">
        <v>0</v>
      </c>
      <c r="M1544" t="s">
        <v>4811</v>
      </c>
      <c r="N1544" t="s">
        <v>4900</v>
      </c>
      <c r="O1544" t="s">
        <v>4911</v>
      </c>
    </row>
    <row r="1545" spans="1:15" x14ac:dyDescent="0.35">
      <c r="A1545" t="s">
        <v>1535</v>
      </c>
      <c r="B1545">
        <v>40</v>
      </c>
      <c r="C1545" t="s">
        <v>4802</v>
      </c>
      <c r="D1545" t="s">
        <v>13</v>
      </c>
      <c r="E1545">
        <v>35</v>
      </c>
      <c r="F1545">
        <v>49</v>
      </c>
      <c r="G1545" t="s">
        <v>4798</v>
      </c>
      <c r="H1545" t="s">
        <v>4804</v>
      </c>
      <c r="I1545">
        <v>13.99</v>
      </c>
      <c r="J1545">
        <v>3</v>
      </c>
      <c r="K1545">
        <v>2.0299999999999998</v>
      </c>
      <c r="L1545">
        <v>0</v>
      </c>
      <c r="M1545" t="s">
        <v>4809</v>
      </c>
      <c r="N1545" t="s">
        <v>4900</v>
      </c>
      <c r="O1545" t="s">
        <v>4910</v>
      </c>
    </row>
    <row r="1546" spans="1:15" x14ac:dyDescent="0.35">
      <c r="A1546" t="s">
        <v>1536</v>
      </c>
      <c r="B1546">
        <v>48</v>
      </c>
      <c r="C1546" t="s">
        <v>4802</v>
      </c>
      <c r="D1546" t="s">
        <v>15</v>
      </c>
      <c r="E1546">
        <v>111</v>
      </c>
      <c r="F1546">
        <v>42</v>
      </c>
      <c r="G1546" t="s">
        <v>4799</v>
      </c>
      <c r="H1546" t="s">
        <v>4807</v>
      </c>
      <c r="I1546">
        <v>17.989999999999998</v>
      </c>
      <c r="J1546">
        <v>4</v>
      </c>
      <c r="K1546">
        <v>3.7</v>
      </c>
      <c r="L1546">
        <v>0</v>
      </c>
      <c r="M1546" t="s">
        <v>4810</v>
      </c>
      <c r="N1546" t="s">
        <v>4900</v>
      </c>
      <c r="O1546" t="s">
        <v>4910</v>
      </c>
    </row>
    <row r="1547" spans="1:15" x14ac:dyDescent="0.35">
      <c r="A1547" t="s">
        <v>1537</v>
      </c>
      <c r="B1547">
        <v>56</v>
      </c>
      <c r="C1547" t="s">
        <v>4803</v>
      </c>
      <c r="D1547" t="s">
        <v>15</v>
      </c>
      <c r="E1547">
        <v>112</v>
      </c>
      <c r="F1547">
        <v>33</v>
      </c>
      <c r="G1547" t="s">
        <v>4800</v>
      </c>
      <c r="H1547" t="s">
        <v>4805</v>
      </c>
      <c r="I1547">
        <v>17.989999999999998</v>
      </c>
      <c r="J1547">
        <v>3</v>
      </c>
      <c r="K1547">
        <v>2.0299999999999998</v>
      </c>
      <c r="L1547">
        <v>0</v>
      </c>
      <c r="M1547" t="s">
        <v>4810</v>
      </c>
      <c r="N1547" t="s">
        <v>4900</v>
      </c>
      <c r="O1547" t="s">
        <v>4911</v>
      </c>
    </row>
    <row r="1548" spans="1:15" x14ac:dyDescent="0.35">
      <c r="A1548" t="s">
        <v>1538</v>
      </c>
      <c r="B1548">
        <v>54</v>
      </c>
      <c r="C1548" t="s">
        <v>4803</v>
      </c>
      <c r="D1548" t="s">
        <v>13</v>
      </c>
      <c r="E1548">
        <v>63</v>
      </c>
      <c r="F1548">
        <v>29</v>
      </c>
      <c r="G1548" t="s">
        <v>4798</v>
      </c>
      <c r="H1548" t="s">
        <v>4804</v>
      </c>
      <c r="I1548">
        <v>13.99</v>
      </c>
      <c r="J1548">
        <v>4</v>
      </c>
      <c r="K1548">
        <v>2.0299999999999998</v>
      </c>
      <c r="L1548">
        <v>0</v>
      </c>
      <c r="M1548" t="s">
        <v>4808</v>
      </c>
      <c r="N1548" t="s">
        <v>4900</v>
      </c>
      <c r="O1548" t="s">
        <v>4910</v>
      </c>
    </row>
    <row r="1549" spans="1:15" x14ac:dyDescent="0.35">
      <c r="A1549" t="s">
        <v>1539</v>
      </c>
      <c r="B1549">
        <v>55</v>
      </c>
      <c r="C1549" t="s">
        <v>4803</v>
      </c>
      <c r="D1549" t="s">
        <v>13</v>
      </c>
      <c r="E1549">
        <v>67</v>
      </c>
      <c r="F1549">
        <v>56</v>
      </c>
      <c r="G1549" t="s">
        <v>4798</v>
      </c>
      <c r="H1549" t="s">
        <v>4806</v>
      </c>
      <c r="I1549">
        <v>13.99</v>
      </c>
      <c r="J1549">
        <v>2</v>
      </c>
      <c r="K1549">
        <v>2.23</v>
      </c>
      <c r="L1549">
        <v>0</v>
      </c>
      <c r="M1549" t="s">
        <v>4811</v>
      </c>
      <c r="N1549" t="s">
        <v>4900</v>
      </c>
      <c r="O1549" t="s">
        <v>4911</v>
      </c>
    </row>
    <row r="1550" spans="1:15" x14ac:dyDescent="0.35">
      <c r="A1550" t="s">
        <v>1540</v>
      </c>
      <c r="B1550">
        <v>65</v>
      </c>
      <c r="C1550" t="s">
        <v>4803</v>
      </c>
      <c r="D1550" t="s">
        <v>13</v>
      </c>
      <c r="E1550">
        <v>55</v>
      </c>
      <c r="F1550">
        <v>18</v>
      </c>
      <c r="G1550" t="s">
        <v>4799</v>
      </c>
      <c r="H1550" t="s">
        <v>4805</v>
      </c>
      <c r="I1550">
        <v>13.99</v>
      </c>
      <c r="J1550">
        <v>4</v>
      </c>
      <c r="K1550">
        <v>1.83</v>
      </c>
      <c r="L1550">
        <v>0</v>
      </c>
      <c r="M1550" t="s">
        <v>4809</v>
      </c>
      <c r="N1550" t="s">
        <v>4900</v>
      </c>
      <c r="O1550" t="s">
        <v>4911</v>
      </c>
    </row>
    <row r="1551" spans="1:15" x14ac:dyDescent="0.35">
      <c r="A1551" t="s">
        <v>1541</v>
      </c>
      <c r="B1551">
        <v>48</v>
      </c>
      <c r="C1551" t="s">
        <v>4802</v>
      </c>
      <c r="D1551" t="s">
        <v>15</v>
      </c>
      <c r="E1551">
        <v>107</v>
      </c>
      <c r="F1551">
        <v>30</v>
      </c>
      <c r="G1551" t="s">
        <v>4798</v>
      </c>
      <c r="H1551" t="s">
        <v>4806</v>
      </c>
      <c r="I1551">
        <v>17.989999999999998</v>
      </c>
      <c r="J1551">
        <v>2</v>
      </c>
      <c r="K1551">
        <v>3.57</v>
      </c>
      <c r="L1551">
        <v>1</v>
      </c>
      <c r="M1551" t="s">
        <v>4809</v>
      </c>
      <c r="N1551" t="s">
        <v>4899</v>
      </c>
      <c r="O1551" t="s">
        <v>4910</v>
      </c>
    </row>
    <row r="1552" spans="1:15" x14ac:dyDescent="0.35">
      <c r="A1552" t="s">
        <v>1542</v>
      </c>
      <c r="B1552">
        <v>45</v>
      </c>
      <c r="C1552" t="s">
        <v>4803</v>
      </c>
      <c r="D1552" t="s">
        <v>15</v>
      </c>
      <c r="E1552">
        <v>96</v>
      </c>
      <c r="F1552">
        <v>37</v>
      </c>
      <c r="G1552" t="s">
        <v>4800</v>
      </c>
      <c r="H1552" t="s">
        <v>4806</v>
      </c>
      <c r="I1552">
        <v>17.989999999999998</v>
      </c>
      <c r="J1552">
        <v>5</v>
      </c>
      <c r="K1552">
        <v>3.2</v>
      </c>
      <c r="L1552">
        <v>0</v>
      </c>
      <c r="M1552" t="s">
        <v>4812</v>
      </c>
      <c r="N1552" t="s">
        <v>4900</v>
      </c>
      <c r="O1552" t="s">
        <v>4910</v>
      </c>
    </row>
    <row r="1553" spans="1:15" x14ac:dyDescent="0.35">
      <c r="A1553" t="s">
        <v>1543</v>
      </c>
      <c r="B1553">
        <v>61</v>
      </c>
      <c r="C1553" t="s">
        <v>4802</v>
      </c>
      <c r="D1553" t="s">
        <v>13</v>
      </c>
      <c r="E1553">
        <v>77</v>
      </c>
      <c r="F1553">
        <v>30</v>
      </c>
      <c r="G1553" t="s">
        <v>4799</v>
      </c>
      <c r="H1553" t="s">
        <v>4805</v>
      </c>
      <c r="I1553">
        <v>13.99</v>
      </c>
      <c r="J1553">
        <v>2</v>
      </c>
      <c r="K1553">
        <v>2.57</v>
      </c>
      <c r="L1553">
        <v>0</v>
      </c>
      <c r="M1553" t="s">
        <v>4810</v>
      </c>
      <c r="N1553" t="s">
        <v>4900</v>
      </c>
      <c r="O1553" t="s">
        <v>4911</v>
      </c>
    </row>
    <row r="1554" spans="1:15" x14ac:dyDescent="0.35">
      <c r="A1554" t="s">
        <v>1544</v>
      </c>
      <c r="B1554">
        <v>33</v>
      </c>
      <c r="C1554" t="s">
        <v>4803</v>
      </c>
      <c r="D1554" t="s">
        <v>15</v>
      </c>
      <c r="E1554">
        <v>85</v>
      </c>
      <c r="F1554">
        <v>8</v>
      </c>
      <c r="G1554" t="s">
        <v>4800</v>
      </c>
      <c r="H1554" t="s">
        <v>4806</v>
      </c>
      <c r="I1554">
        <v>17.989999999999998</v>
      </c>
      <c r="J1554">
        <v>3</v>
      </c>
      <c r="K1554">
        <v>2.0299999999999998</v>
      </c>
      <c r="L1554">
        <v>0</v>
      </c>
      <c r="M1554" t="s">
        <v>4809</v>
      </c>
      <c r="N1554" t="s">
        <v>4900</v>
      </c>
      <c r="O1554" t="s">
        <v>4912</v>
      </c>
    </row>
    <row r="1555" spans="1:15" x14ac:dyDescent="0.35">
      <c r="A1555" t="s">
        <v>1545</v>
      </c>
      <c r="B1555">
        <v>38</v>
      </c>
      <c r="C1555" t="s">
        <v>4802</v>
      </c>
      <c r="D1555" t="s">
        <v>13</v>
      </c>
      <c r="E1555">
        <v>32</v>
      </c>
      <c r="F1555">
        <v>3</v>
      </c>
      <c r="G1555" t="s">
        <v>4797</v>
      </c>
      <c r="H1555" t="s">
        <v>4805</v>
      </c>
      <c r="I1555">
        <v>13.99</v>
      </c>
      <c r="J1555">
        <v>2</v>
      </c>
      <c r="K1555">
        <v>1.07</v>
      </c>
      <c r="L1555">
        <v>0</v>
      </c>
      <c r="M1555" t="s">
        <v>4810</v>
      </c>
      <c r="N1555" t="s">
        <v>4900</v>
      </c>
      <c r="O1555" t="s">
        <v>4910</v>
      </c>
    </row>
    <row r="1556" spans="1:15" x14ac:dyDescent="0.35">
      <c r="A1556" t="s">
        <v>1546</v>
      </c>
      <c r="B1556">
        <v>60</v>
      </c>
      <c r="C1556" t="s">
        <v>4803</v>
      </c>
      <c r="D1556" t="s">
        <v>14</v>
      </c>
      <c r="E1556">
        <v>24</v>
      </c>
      <c r="F1556">
        <v>4</v>
      </c>
      <c r="G1556" t="s">
        <v>4798</v>
      </c>
      <c r="H1556" t="s">
        <v>4804</v>
      </c>
      <c r="I1556">
        <v>8.99</v>
      </c>
      <c r="J1556">
        <v>1</v>
      </c>
      <c r="K1556">
        <v>0.8</v>
      </c>
      <c r="L1556">
        <v>0</v>
      </c>
      <c r="M1556" t="s">
        <v>4809</v>
      </c>
      <c r="N1556" t="s">
        <v>4900</v>
      </c>
      <c r="O1556" t="s">
        <v>4911</v>
      </c>
    </row>
    <row r="1557" spans="1:15" x14ac:dyDescent="0.35">
      <c r="A1557" t="s">
        <v>1547</v>
      </c>
      <c r="B1557">
        <v>28</v>
      </c>
      <c r="C1557" t="s">
        <v>4802</v>
      </c>
      <c r="D1557" t="s">
        <v>13</v>
      </c>
      <c r="E1557">
        <v>38</v>
      </c>
      <c r="F1557">
        <v>40</v>
      </c>
      <c r="G1557" t="s">
        <v>4799</v>
      </c>
      <c r="H1557" t="s">
        <v>4804</v>
      </c>
      <c r="I1557">
        <v>13.99</v>
      </c>
      <c r="J1557">
        <v>2</v>
      </c>
      <c r="K1557">
        <v>1.27</v>
      </c>
      <c r="L1557">
        <v>0</v>
      </c>
      <c r="M1557" t="s">
        <v>4810</v>
      </c>
      <c r="N1557" t="s">
        <v>4900</v>
      </c>
      <c r="O1557" t="s">
        <v>4912</v>
      </c>
    </row>
    <row r="1558" spans="1:15" x14ac:dyDescent="0.35">
      <c r="A1558" t="s">
        <v>1548</v>
      </c>
      <c r="B1558">
        <v>40</v>
      </c>
      <c r="C1558" t="s">
        <v>4803</v>
      </c>
      <c r="D1558" t="s">
        <v>15</v>
      </c>
      <c r="E1558">
        <v>112</v>
      </c>
      <c r="F1558">
        <v>17</v>
      </c>
      <c r="G1558" t="s">
        <v>4799</v>
      </c>
      <c r="H1558" t="s">
        <v>4806</v>
      </c>
      <c r="I1558">
        <v>17.989999999999998</v>
      </c>
      <c r="J1558">
        <v>3</v>
      </c>
      <c r="K1558">
        <v>3.73</v>
      </c>
      <c r="L1558">
        <v>0</v>
      </c>
      <c r="M1558" t="s">
        <v>4808</v>
      </c>
      <c r="N1558" t="s">
        <v>4900</v>
      </c>
      <c r="O1558" t="s">
        <v>4910</v>
      </c>
    </row>
    <row r="1559" spans="1:15" x14ac:dyDescent="0.35">
      <c r="A1559" t="s">
        <v>1549</v>
      </c>
      <c r="B1559">
        <v>31</v>
      </c>
      <c r="C1559" t="s">
        <v>4802</v>
      </c>
      <c r="D1559" t="s">
        <v>15</v>
      </c>
      <c r="E1559">
        <v>109</v>
      </c>
      <c r="F1559">
        <v>53</v>
      </c>
      <c r="G1559" t="s">
        <v>4799</v>
      </c>
      <c r="H1559" t="s">
        <v>4805</v>
      </c>
      <c r="I1559">
        <v>17.989999999999998</v>
      </c>
      <c r="J1559">
        <v>4</v>
      </c>
      <c r="K1559">
        <v>3.63</v>
      </c>
      <c r="L1559">
        <v>1</v>
      </c>
      <c r="M1559" t="s">
        <v>4810</v>
      </c>
      <c r="N1559" t="s">
        <v>4899</v>
      </c>
      <c r="O1559" t="s">
        <v>4912</v>
      </c>
    </row>
    <row r="1560" spans="1:15" x14ac:dyDescent="0.35">
      <c r="A1560" t="s">
        <v>1550</v>
      </c>
      <c r="B1560">
        <v>50</v>
      </c>
      <c r="C1560" t="s">
        <v>4803</v>
      </c>
      <c r="D1560" t="s">
        <v>15</v>
      </c>
      <c r="E1560">
        <v>110</v>
      </c>
      <c r="F1560">
        <v>54</v>
      </c>
      <c r="G1560" t="s">
        <v>4798</v>
      </c>
      <c r="H1560" t="s">
        <v>4805</v>
      </c>
      <c r="I1560">
        <v>17.989999999999998</v>
      </c>
      <c r="J1560">
        <v>4</v>
      </c>
      <c r="K1560">
        <v>3.67</v>
      </c>
      <c r="L1560">
        <v>0</v>
      </c>
      <c r="M1560" t="s">
        <v>4808</v>
      </c>
      <c r="N1560" t="s">
        <v>4900</v>
      </c>
      <c r="O1560" t="s">
        <v>4910</v>
      </c>
    </row>
    <row r="1561" spans="1:15" x14ac:dyDescent="0.35">
      <c r="A1561" t="s">
        <v>1551</v>
      </c>
      <c r="B1561">
        <v>47</v>
      </c>
      <c r="C1561" t="s">
        <v>4803</v>
      </c>
      <c r="D1561" t="s">
        <v>15</v>
      </c>
      <c r="E1561">
        <v>56</v>
      </c>
      <c r="F1561">
        <v>37</v>
      </c>
      <c r="G1561" t="s">
        <v>4800</v>
      </c>
      <c r="H1561" t="s">
        <v>4804</v>
      </c>
      <c r="I1561">
        <v>17.989999999999998</v>
      </c>
      <c r="J1561">
        <v>2</v>
      </c>
      <c r="K1561">
        <v>1.87</v>
      </c>
      <c r="L1561">
        <v>0</v>
      </c>
      <c r="M1561" t="s">
        <v>4810</v>
      </c>
      <c r="N1561" t="s">
        <v>4900</v>
      </c>
      <c r="O1561" t="s">
        <v>4910</v>
      </c>
    </row>
    <row r="1562" spans="1:15" x14ac:dyDescent="0.35">
      <c r="A1562" t="s">
        <v>1552</v>
      </c>
      <c r="B1562">
        <v>29</v>
      </c>
      <c r="C1562" t="s">
        <v>4802</v>
      </c>
      <c r="D1562" t="s">
        <v>13</v>
      </c>
      <c r="E1562">
        <v>73</v>
      </c>
      <c r="F1562">
        <v>27</v>
      </c>
      <c r="G1562" t="s">
        <v>4798</v>
      </c>
      <c r="H1562" t="s">
        <v>4804</v>
      </c>
      <c r="I1562">
        <v>13.99</v>
      </c>
      <c r="J1562">
        <v>3</v>
      </c>
      <c r="K1562">
        <v>2.4300000000000002</v>
      </c>
      <c r="L1562">
        <v>0</v>
      </c>
      <c r="M1562" t="s">
        <v>4809</v>
      </c>
      <c r="N1562" t="s">
        <v>4900</v>
      </c>
      <c r="O1562" t="s">
        <v>4912</v>
      </c>
    </row>
    <row r="1563" spans="1:15" x14ac:dyDescent="0.35">
      <c r="A1563" t="s">
        <v>1553</v>
      </c>
      <c r="B1563">
        <v>58</v>
      </c>
      <c r="C1563" t="s">
        <v>4803</v>
      </c>
      <c r="D1563" t="s">
        <v>13</v>
      </c>
      <c r="E1563">
        <v>35</v>
      </c>
      <c r="F1563">
        <v>35</v>
      </c>
      <c r="G1563" t="s">
        <v>4797</v>
      </c>
      <c r="H1563" t="s">
        <v>4805</v>
      </c>
      <c r="I1563">
        <v>13.99</v>
      </c>
      <c r="J1563">
        <v>4</v>
      </c>
      <c r="K1563">
        <v>1.17</v>
      </c>
      <c r="L1563">
        <v>0</v>
      </c>
      <c r="M1563" t="s">
        <v>4811</v>
      </c>
      <c r="N1563" t="s">
        <v>4900</v>
      </c>
      <c r="O1563" t="s">
        <v>4911</v>
      </c>
    </row>
    <row r="1564" spans="1:15" x14ac:dyDescent="0.35">
      <c r="A1564" t="s">
        <v>1554</v>
      </c>
      <c r="B1564">
        <v>24</v>
      </c>
      <c r="C1564" t="s">
        <v>4802</v>
      </c>
      <c r="D1564" t="s">
        <v>13</v>
      </c>
      <c r="E1564">
        <v>38</v>
      </c>
      <c r="F1564">
        <v>40</v>
      </c>
      <c r="G1564" t="s">
        <v>4798</v>
      </c>
      <c r="H1564" t="s">
        <v>4805</v>
      </c>
      <c r="I1564">
        <v>13.99</v>
      </c>
      <c r="J1564">
        <v>1</v>
      </c>
      <c r="K1564">
        <v>1.27</v>
      </c>
      <c r="L1564">
        <v>0</v>
      </c>
      <c r="M1564" t="s">
        <v>4810</v>
      </c>
      <c r="N1564" t="s">
        <v>4900</v>
      </c>
      <c r="O1564" t="s">
        <v>4912</v>
      </c>
    </row>
    <row r="1565" spans="1:15" x14ac:dyDescent="0.35">
      <c r="A1565" t="s">
        <v>1555</v>
      </c>
      <c r="B1565">
        <v>22</v>
      </c>
      <c r="C1565" t="s">
        <v>4802</v>
      </c>
      <c r="D1565" t="s">
        <v>13</v>
      </c>
      <c r="E1565">
        <v>30</v>
      </c>
      <c r="F1565">
        <v>50</v>
      </c>
      <c r="G1565" t="s">
        <v>4798</v>
      </c>
      <c r="H1565" t="s">
        <v>4806</v>
      </c>
      <c r="I1565">
        <v>13.99</v>
      </c>
      <c r="J1565">
        <v>3</v>
      </c>
      <c r="K1565">
        <v>1</v>
      </c>
      <c r="L1565">
        <v>0</v>
      </c>
      <c r="M1565" t="s">
        <v>4812</v>
      </c>
      <c r="N1565" t="s">
        <v>4900</v>
      </c>
      <c r="O1565" t="s">
        <v>4912</v>
      </c>
    </row>
    <row r="1566" spans="1:15" x14ac:dyDescent="0.35">
      <c r="A1566" t="s">
        <v>1556</v>
      </c>
      <c r="B1566">
        <v>26</v>
      </c>
      <c r="C1566" t="s">
        <v>4803</v>
      </c>
      <c r="D1566" t="s">
        <v>13</v>
      </c>
      <c r="E1566">
        <v>75</v>
      </c>
      <c r="F1566">
        <v>54</v>
      </c>
      <c r="G1566" t="s">
        <v>4797</v>
      </c>
      <c r="H1566" t="s">
        <v>4806</v>
      </c>
      <c r="I1566">
        <v>13.99</v>
      </c>
      <c r="J1566">
        <v>3</v>
      </c>
      <c r="K1566">
        <v>2.5</v>
      </c>
      <c r="L1566">
        <v>1</v>
      </c>
      <c r="M1566" t="s">
        <v>4809</v>
      </c>
      <c r="N1566" t="s">
        <v>4899</v>
      </c>
      <c r="O1566" t="s">
        <v>4912</v>
      </c>
    </row>
    <row r="1567" spans="1:15" x14ac:dyDescent="0.35">
      <c r="A1567" t="s">
        <v>1557</v>
      </c>
      <c r="B1567">
        <v>23</v>
      </c>
      <c r="C1567" t="s">
        <v>4803</v>
      </c>
      <c r="D1567" t="s">
        <v>15</v>
      </c>
      <c r="E1567">
        <v>87</v>
      </c>
      <c r="F1567">
        <v>17</v>
      </c>
      <c r="G1567" t="s">
        <v>4797</v>
      </c>
      <c r="H1567" t="s">
        <v>4804</v>
      </c>
      <c r="I1567">
        <v>17.989999999999998</v>
      </c>
      <c r="J1567">
        <v>5</v>
      </c>
      <c r="K1567">
        <v>2.9</v>
      </c>
      <c r="L1567">
        <v>0</v>
      </c>
      <c r="M1567" t="s">
        <v>4811</v>
      </c>
      <c r="N1567" t="s">
        <v>4900</v>
      </c>
      <c r="O1567" t="s">
        <v>4912</v>
      </c>
    </row>
    <row r="1568" spans="1:15" x14ac:dyDescent="0.35">
      <c r="A1568" t="s">
        <v>1558</v>
      </c>
      <c r="B1568">
        <v>65</v>
      </c>
      <c r="C1568" t="s">
        <v>4802</v>
      </c>
      <c r="D1568" t="s">
        <v>15</v>
      </c>
      <c r="E1568">
        <v>108</v>
      </c>
      <c r="F1568">
        <v>58</v>
      </c>
      <c r="G1568" t="s">
        <v>4799</v>
      </c>
      <c r="H1568" t="s">
        <v>4806</v>
      </c>
      <c r="I1568">
        <v>17.989999999999998</v>
      </c>
      <c r="J1568">
        <v>5</v>
      </c>
      <c r="K1568">
        <v>3.6</v>
      </c>
      <c r="L1568">
        <v>0</v>
      </c>
      <c r="M1568" t="s">
        <v>4812</v>
      </c>
      <c r="N1568" t="s">
        <v>4900</v>
      </c>
      <c r="O1568" t="s">
        <v>4911</v>
      </c>
    </row>
    <row r="1569" spans="1:15" x14ac:dyDescent="0.35">
      <c r="A1569" t="s">
        <v>1559</v>
      </c>
      <c r="B1569">
        <v>57</v>
      </c>
      <c r="C1569" t="s">
        <v>4802</v>
      </c>
      <c r="D1569" t="s">
        <v>13</v>
      </c>
      <c r="E1569">
        <v>45</v>
      </c>
      <c r="F1569">
        <v>10</v>
      </c>
      <c r="G1569" t="s">
        <v>4799</v>
      </c>
      <c r="H1569" t="s">
        <v>4804</v>
      </c>
      <c r="I1569">
        <v>13.99</v>
      </c>
      <c r="J1569">
        <v>4</v>
      </c>
      <c r="K1569">
        <v>1.5</v>
      </c>
      <c r="L1569">
        <v>0</v>
      </c>
      <c r="M1569" t="s">
        <v>4808</v>
      </c>
      <c r="N1569" t="s">
        <v>4900</v>
      </c>
      <c r="O1569" t="s">
        <v>4911</v>
      </c>
    </row>
    <row r="1570" spans="1:15" x14ac:dyDescent="0.35">
      <c r="A1570" t="s">
        <v>1560</v>
      </c>
      <c r="B1570">
        <v>27</v>
      </c>
      <c r="C1570" t="s">
        <v>4802</v>
      </c>
      <c r="D1570" t="s">
        <v>15</v>
      </c>
      <c r="E1570">
        <v>77</v>
      </c>
      <c r="F1570">
        <v>11</v>
      </c>
      <c r="G1570" t="s">
        <v>4799</v>
      </c>
      <c r="H1570" t="s">
        <v>4805</v>
      </c>
      <c r="I1570">
        <v>17.989999999999998</v>
      </c>
      <c r="J1570">
        <v>3</v>
      </c>
      <c r="K1570">
        <v>2.57</v>
      </c>
      <c r="L1570">
        <v>0</v>
      </c>
      <c r="M1570" t="s">
        <v>4809</v>
      </c>
      <c r="N1570" t="s">
        <v>4900</v>
      </c>
      <c r="O1570" t="s">
        <v>4912</v>
      </c>
    </row>
    <row r="1571" spans="1:15" x14ac:dyDescent="0.35">
      <c r="A1571" t="s">
        <v>1561</v>
      </c>
      <c r="B1571">
        <v>45</v>
      </c>
      <c r="C1571" t="s">
        <v>4803</v>
      </c>
      <c r="D1571" t="s">
        <v>13</v>
      </c>
      <c r="E1571">
        <v>69</v>
      </c>
      <c r="F1571">
        <v>34</v>
      </c>
      <c r="G1571" t="s">
        <v>4799</v>
      </c>
      <c r="H1571" t="s">
        <v>4806</v>
      </c>
      <c r="I1571">
        <v>13.99</v>
      </c>
      <c r="J1571">
        <v>1</v>
      </c>
      <c r="K1571">
        <v>2.2999999999999998</v>
      </c>
      <c r="L1571">
        <v>1</v>
      </c>
      <c r="M1571" t="s">
        <v>4812</v>
      </c>
      <c r="N1571" t="s">
        <v>4899</v>
      </c>
      <c r="O1571" t="s">
        <v>4910</v>
      </c>
    </row>
    <row r="1572" spans="1:15" x14ac:dyDescent="0.35">
      <c r="A1572" t="s">
        <v>1562</v>
      </c>
      <c r="B1572">
        <v>55</v>
      </c>
      <c r="C1572" t="s">
        <v>4802</v>
      </c>
      <c r="D1572" t="s">
        <v>15</v>
      </c>
      <c r="E1572">
        <v>96</v>
      </c>
      <c r="F1572">
        <v>1</v>
      </c>
      <c r="G1572" t="s">
        <v>4798</v>
      </c>
      <c r="H1572" t="s">
        <v>4806</v>
      </c>
      <c r="I1572">
        <v>17.989999999999998</v>
      </c>
      <c r="J1572">
        <v>4</v>
      </c>
      <c r="K1572">
        <v>5</v>
      </c>
      <c r="L1572">
        <v>0</v>
      </c>
      <c r="M1572" t="s">
        <v>4810</v>
      </c>
      <c r="N1572" t="s">
        <v>4900</v>
      </c>
      <c r="O1572" t="s">
        <v>4911</v>
      </c>
    </row>
    <row r="1573" spans="1:15" x14ac:dyDescent="0.35">
      <c r="A1573" t="s">
        <v>1563</v>
      </c>
      <c r="B1573">
        <v>37</v>
      </c>
      <c r="C1573" t="s">
        <v>4802</v>
      </c>
      <c r="D1573" t="s">
        <v>13</v>
      </c>
      <c r="E1573">
        <v>70</v>
      </c>
      <c r="F1573">
        <v>57</v>
      </c>
      <c r="G1573" t="s">
        <v>4799</v>
      </c>
      <c r="H1573" t="s">
        <v>4806</v>
      </c>
      <c r="I1573">
        <v>13.99</v>
      </c>
      <c r="J1573">
        <v>1</v>
      </c>
      <c r="K1573">
        <v>2.33</v>
      </c>
      <c r="L1573">
        <v>0</v>
      </c>
      <c r="M1573" t="s">
        <v>4812</v>
      </c>
      <c r="N1573" t="s">
        <v>4900</v>
      </c>
      <c r="O1573" t="s">
        <v>4910</v>
      </c>
    </row>
    <row r="1574" spans="1:15" x14ac:dyDescent="0.35">
      <c r="A1574" t="s">
        <v>1564</v>
      </c>
      <c r="B1574">
        <v>57</v>
      </c>
      <c r="C1574" t="s">
        <v>4802</v>
      </c>
      <c r="D1574" t="s">
        <v>15</v>
      </c>
      <c r="E1574">
        <v>83</v>
      </c>
      <c r="F1574">
        <v>56</v>
      </c>
      <c r="G1574" t="s">
        <v>4797</v>
      </c>
      <c r="H1574" t="s">
        <v>4806</v>
      </c>
      <c r="I1574">
        <v>17.989999999999998</v>
      </c>
      <c r="J1574">
        <v>2</v>
      </c>
      <c r="K1574">
        <v>2.77</v>
      </c>
      <c r="L1574">
        <v>1</v>
      </c>
      <c r="M1574" t="s">
        <v>4812</v>
      </c>
      <c r="N1574" t="s">
        <v>4899</v>
      </c>
      <c r="O1574" t="s">
        <v>4911</v>
      </c>
    </row>
    <row r="1575" spans="1:15" x14ac:dyDescent="0.35">
      <c r="A1575" t="s">
        <v>1565</v>
      </c>
      <c r="B1575">
        <v>50</v>
      </c>
      <c r="C1575" t="s">
        <v>4803</v>
      </c>
      <c r="D1575" t="s">
        <v>13</v>
      </c>
      <c r="E1575">
        <v>39</v>
      </c>
      <c r="F1575">
        <v>43</v>
      </c>
      <c r="G1575" t="s">
        <v>4797</v>
      </c>
      <c r="H1575" t="s">
        <v>4805</v>
      </c>
      <c r="I1575">
        <v>13.99</v>
      </c>
      <c r="J1575">
        <v>1</v>
      </c>
      <c r="K1575">
        <v>1.3</v>
      </c>
      <c r="L1575">
        <v>0</v>
      </c>
      <c r="M1575" t="s">
        <v>4808</v>
      </c>
      <c r="N1575" t="s">
        <v>4900</v>
      </c>
      <c r="O1575" t="s">
        <v>4910</v>
      </c>
    </row>
    <row r="1576" spans="1:15" x14ac:dyDescent="0.35">
      <c r="A1576" t="s">
        <v>1566</v>
      </c>
      <c r="B1576">
        <v>20</v>
      </c>
      <c r="C1576" t="s">
        <v>4803</v>
      </c>
      <c r="D1576" t="s">
        <v>13</v>
      </c>
      <c r="E1576">
        <v>61</v>
      </c>
      <c r="F1576">
        <v>50</v>
      </c>
      <c r="G1576" t="s">
        <v>4798</v>
      </c>
      <c r="H1576" t="s">
        <v>4804</v>
      </c>
      <c r="I1576">
        <v>13.99</v>
      </c>
      <c r="J1576">
        <v>1</v>
      </c>
      <c r="K1576">
        <v>2.0299999999999998</v>
      </c>
      <c r="L1576">
        <v>1</v>
      </c>
      <c r="M1576" t="s">
        <v>4809</v>
      </c>
      <c r="N1576" t="s">
        <v>4899</v>
      </c>
      <c r="O1576" t="s">
        <v>4912</v>
      </c>
    </row>
    <row r="1577" spans="1:15" x14ac:dyDescent="0.35">
      <c r="A1577" t="s">
        <v>1567</v>
      </c>
      <c r="B1577">
        <v>27</v>
      </c>
      <c r="C1577" t="s">
        <v>4803</v>
      </c>
      <c r="D1577" t="s">
        <v>15</v>
      </c>
      <c r="E1577">
        <v>61</v>
      </c>
      <c r="F1577">
        <v>46</v>
      </c>
      <c r="G1577" t="s">
        <v>4798</v>
      </c>
      <c r="H1577" t="s">
        <v>4804</v>
      </c>
      <c r="I1577">
        <v>17.989999999999998</v>
      </c>
      <c r="J1577">
        <v>2</v>
      </c>
      <c r="K1577">
        <v>2.0299999999999998</v>
      </c>
      <c r="L1577">
        <v>0</v>
      </c>
      <c r="M1577" t="s">
        <v>4811</v>
      </c>
      <c r="N1577" t="s">
        <v>4900</v>
      </c>
      <c r="O1577" t="s">
        <v>4912</v>
      </c>
    </row>
    <row r="1578" spans="1:15" x14ac:dyDescent="0.35">
      <c r="A1578" t="s">
        <v>1568</v>
      </c>
      <c r="B1578">
        <v>48</v>
      </c>
      <c r="C1578" t="s">
        <v>4802</v>
      </c>
      <c r="D1578" t="s">
        <v>13</v>
      </c>
      <c r="E1578">
        <v>56</v>
      </c>
      <c r="F1578">
        <v>35</v>
      </c>
      <c r="G1578" t="s">
        <v>4797</v>
      </c>
      <c r="H1578" t="s">
        <v>4806</v>
      </c>
      <c r="I1578">
        <v>13.99</v>
      </c>
      <c r="J1578">
        <v>3</v>
      </c>
      <c r="K1578">
        <v>1.87</v>
      </c>
      <c r="L1578">
        <v>0</v>
      </c>
      <c r="M1578" t="s">
        <v>4812</v>
      </c>
      <c r="N1578" t="s">
        <v>4900</v>
      </c>
      <c r="O1578" t="s">
        <v>4910</v>
      </c>
    </row>
    <row r="1579" spans="1:15" x14ac:dyDescent="0.35">
      <c r="A1579" t="s">
        <v>1569</v>
      </c>
      <c r="B1579">
        <v>30</v>
      </c>
      <c r="C1579" t="s">
        <v>4803</v>
      </c>
      <c r="D1579" t="s">
        <v>14</v>
      </c>
      <c r="E1579">
        <v>44</v>
      </c>
      <c r="F1579">
        <v>48</v>
      </c>
      <c r="G1579" t="s">
        <v>4797</v>
      </c>
      <c r="H1579" t="s">
        <v>4805</v>
      </c>
      <c r="I1579">
        <v>8.99</v>
      </c>
      <c r="J1579">
        <v>2</v>
      </c>
      <c r="K1579">
        <v>1.47</v>
      </c>
      <c r="L1579">
        <v>0</v>
      </c>
      <c r="M1579" t="s">
        <v>4809</v>
      </c>
      <c r="N1579" t="s">
        <v>4900</v>
      </c>
      <c r="O1579" t="s">
        <v>4912</v>
      </c>
    </row>
    <row r="1580" spans="1:15" x14ac:dyDescent="0.35">
      <c r="A1580" t="s">
        <v>1570</v>
      </c>
      <c r="B1580">
        <v>27</v>
      </c>
      <c r="C1580" t="s">
        <v>4802</v>
      </c>
      <c r="D1580" t="s">
        <v>13</v>
      </c>
      <c r="E1580">
        <v>34</v>
      </c>
      <c r="F1580">
        <v>20</v>
      </c>
      <c r="G1580" t="s">
        <v>4798</v>
      </c>
      <c r="H1580" t="s">
        <v>4806</v>
      </c>
      <c r="I1580">
        <v>13.99</v>
      </c>
      <c r="J1580">
        <v>2</v>
      </c>
      <c r="K1580">
        <v>1.1299999999999999</v>
      </c>
      <c r="L1580">
        <v>0</v>
      </c>
      <c r="M1580" t="s">
        <v>4808</v>
      </c>
      <c r="N1580" t="s">
        <v>4900</v>
      </c>
      <c r="O1580" t="s">
        <v>4912</v>
      </c>
    </row>
    <row r="1581" spans="1:15" x14ac:dyDescent="0.35">
      <c r="A1581" t="s">
        <v>1571</v>
      </c>
      <c r="B1581">
        <v>36</v>
      </c>
      <c r="C1581" t="s">
        <v>4802</v>
      </c>
      <c r="D1581" t="s">
        <v>13</v>
      </c>
      <c r="E1581">
        <v>61</v>
      </c>
      <c r="F1581">
        <v>26</v>
      </c>
      <c r="G1581" t="s">
        <v>4800</v>
      </c>
      <c r="H1581" t="s">
        <v>4806</v>
      </c>
      <c r="I1581">
        <v>13.99</v>
      </c>
      <c r="J1581">
        <v>4</v>
      </c>
      <c r="K1581">
        <v>2.0299999999999998</v>
      </c>
      <c r="L1581">
        <v>0</v>
      </c>
      <c r="M1581" t="s">
        <v>4810</v>
      </c>
      <c r="N1581" t="s">
        <v>4900</v>
      </c>
      <c r="O1581" t="s">
        <v>4910</v>
      </c>
    </row>
    <row r="1582" spans="1:15" x14ac:dyDescent="0.35">
      <c r="A1582" t="s">
        <v>1572</v>
      </c>
      <c r="B1582">
        <v>34</v>
      </c>
      <c r="C1582" t="s">
        <v>4803</v>
      </c>
      <c r="D1582" t="s">
        <v>13</v>
      </c>
      <c r="E1582">
        <v>80</v>
      </c>
      <c r="F1582">
        <v>17</v>
      </c>
      <c r="G1582" t="s">
        <v>4797</v>
      </c>
      <c r="H1582" t="s">
        <v>4806</v>
      </c>
      <c r="I1582">
        <v>13.99</v>
      </c>
      <c r="J1582">
        <v>3</v>
      </c>
      <c r="K1582">
        <v>2.67</v>
      </c>
      <c r="L1582">
        <v>0</v>
      </c>
      <c r="M1582" t="s">
        <v>4812</v>
      </c>
      <c r="N1582" t="s">
        <v>4900</v>
      </c>
      <c r="O1582" t="s">
        <v>4912</v>
      </c>
    </row>
    <row r="1583" spans="1:15" x14ac:dyDescent="0.35">
      <c r="A1583" t="s">
        <v>1573</v>
      </c>
      <c r="B1583">
        <v>29</v>
      </c>
      <c r="C1583" t="s">
        <v>4803</v>
      </c>
      <c r="D1583" t="s">
        <v>15</v>
      </c>
      <c r="E1583">
        <v>59</v>
      </c>
      <c r="F1583">
        <v>50</v>
      </c>
      <c r="G1583" t="s">
        <v>4800</v>
      </c>
      <c r="H1583" t="s">
        <v>4806</v>
      </c>
      <c r="I1583">
        <v>17.989999999999998</v>
      </c>
      <c r="J1583">
        <v>2</v>
      </c>
      <c r="K1583">
        <v>1.97</v>
      </c>
      <c r="L1583">
        <v>0</v>
      </c>
      <c r="M1583" t="s">
        <v>4808</v>
      </c>
      <c r="N1583" t="s">
        <v>4900</v>
      </c>
      <c r="O1583" t="s">
        <v>4912</v>
      </c>
    </row>
    <row r="1584" spans="1:15" x14ac:dyDescent="0.35">
      <c r="A1584" t="s">
        <v>1574</v>
      </c>
      <c r="B1584">
        <v>32</v>
      </c>
      <c r="C1584" t="s">
        <v>4802</v>
      </c>
      <c r="D1584" t="s">
        <v>15</v>
      </c>
      <c r="E1584">
        <v>120</v>
      </c>
      <c r="F1584">
        <v>22</v>
      </c>
      <c r="G1584" t="s">
        <v>4798</v>
      </c>
      <c r="H1584" t="s">
        <v>4806</v>
      </c>
      <c r="I1584">
        <v>17.989999999999998</v>
      </c>
      <c r="J1584">
        <v>2</v>
      </c>
      <c r="K1584">
        <v>4</v>
      </c>
      <c r="L1584">
        <v>0</v>
      </c>
      <c r="M1584" t="s">
        <v>4811</v>
      </c>
      <c r="N1584" t="s">
        <v>4900</v>
      </c>
      <c r="O1584" t="s">
        <v>4912</v>
      </c>
    </row>
    <row r="1585" spans="1:15" x14ac:dyDescent="0.35">
      <c r="A1585" t="s">
        <v>1575</v>
      </c>
      <c r="B1585">
        <v>53</v>
      </c>
      <c r="C1585" t="s">
        <v>4803</v>
      </c>
      <c r="D1585" t="s">
        <v>13</v>
      </c>
      <c r="E1585">
        <v>40</v>
      </c>
      <c r="F1585">
        <v>28</v>
      </c>
      <c r="G1585" t="s">
        <v>4798</v>
      </c>
      <c r="H1585" t="s">
        <v>4806</v>
      </c>
      <c r="I1585">
        <v>13.99</v>
      </c>
      <c r="J1585">
        <v>1</v>
      </c>
      <c r="K1585">
        <v>1.33</v>
      </c>
      <c r="L1585">
        <v>0</v>
      </c>
      <c r="M1585" t="s">
        <v>4808</v>
      </c>
      <c r="N1585" t="s">
        <v>4900</v>
      </c>
      <c r="O1585" t="s">
        <v>4910</v>
      </c>
    </row>
    <row r="1586" spans="1:15" x14ac:dyDescent="0.35">
      <c r="A1586" t="s">
        <v>1576</v>
      </c>
      <c r="B1586">
        <v>41</v>
      </c>
      <c r="C1586" t="s">
        <v>4803</v>
      </c>
      <c r="D1586" t="s">
        <v>13</v>
      </c>
      <c r="E1586">
        <v>53</v>
      </c>
      <c r="F1586">
        <v>43</v>
      </c>
      <c r="G1586" t="s">
        <v>4799</v>
      </c>
      <c r="H1586" t="s">
        <v>4804</v>
      </c>
      <c r="I1586">
        <v>13.99</v>
      </c>
      <c r="J1586">
        <v>3</v>
      </c>
      <c r="K1586">
        <v>1.77</v>
      </c>
      <c r="L1586">
        <v>0</v>
      </c>
      <c r="M1586" t="s">
        <v>4812</v>
      </c>
      <c r="N1586" t="s">
        <v>4900</v>
      </c>
      <c r="O1586" t="s">
        <v>4910</v>
      </c>
    </row>
    <row r="1587" spans="1:15" x14ac:dyDescent="0.35">
      <c r="A1587" t="s">
        <v>1577</v>
      </c>
      <c r="B1587">
        <v>31</v>
      </c>
      <c r="C1587" t="s">
        <v>4803</v>
      </c>
      <c r="D1587" t="s">
        <v>13</v>
      </c>
      <c r="E1587">
        <v>58</v>
      </c>
      <c r="F1587">
        <v>38</v>
      </c>
      <c r="G1587" t="s">
        <v>4797</v>
      </c>
      <c r="H1587" t="s">
        <v>4804</v>
      </c>
      <c r="I1587">
        <v>13.99</v>
      </c>
      <c r="J1587">
        <v>4</v>
      </c>
      <c r="K1587">
        <v>1.93</v>
      </c>
      <c r="L1587">
        <v>0</v>
      </c>
      <c r="M1587" t="s">
        <v>4811</v>
      </c>
      <c r="N1587" t="s">
        <v>4900</v>
      </c>
      <c r="O1587" t="s">
        <v>4912</v>
      </c>
    </row>
    <row r="1588" spans="1:15" x14ac:dyDescent="0.35">
      <c r="A1588" t="s">
        <v>1578</v>
      </c>
      <c r="B1588">
        <v>34</v>
      </c>
      <c r="C1588" t="s">
        <v>4803</v>
      </c>
      <c r="D1588" t="s">
        <v>13</v>
      </c>
      <c r="E1588">
        <v>70</v>
      </c>
      <c r="F1588">
        <v>20</v>
      </c>
      <c r="G1588" t="s">
        <v>4797</v>
      </c>
      <c r="H1588" t="s">
        <v>4804</v>
      </c>
      <c r="I1588">
        <v>13.99</v>
      </c>
      <c r="J1588">
        <v>3</v>
      </c>
      <c r="K1588">
        <v>2.33</v>
      </c>
      <c r="L1588">
        <v>0</v>
      </c>
      <c r="M1588" t="s">
        <v>4812</v>
      </c>
      <c r="N1588" t="s">
        <v>4900</v>
      </c>
      <c r="O1588" t="s">
        <v>4912</v>
      </c>
    </row>
    <row r="1589" spans="1:15" x14ac:dyDescent="0.35">
      <c r="A1589" t="s">
        <v>1579</v>
      </c>
      <c r="B1589">
        <v>45</v>
      </c>
      <c r="C1589" t="s">
        <v>4803</v>
      </c>
      <c r="D1589" t="s">
        <v>13</v>
      </c>
      <c r="E1589">
        <v>43</v>
      </c>
      <c r="F1589">
        <v>53</v>
      </c>
      <c r="G1589" t="s">
        <v>4798</v>
      </c>
      <c r="H1589" t="s">
        <v>4804</v>
      </c>
      <c r="I1589">
        <v>13.99</v>
      </c>
      <c r="J1589">
        <v>4</v>
      </c>
      <c r="K1589">
        <v>1.43</v>
      </c>
      <c r="L1589">
        <v>0</v>
      </c>
      <c r="M1589" t="s">
        <v>4808</v>
      </c>
      <c r="N1589" t="s">
        <v>4900</v>
      </c>
      <c r="O1589" t="s">
        <v>4910</v>
      </c>
    </row>
    <row r="1590" spans="1:15" x14ac:dyDescent="0.35">
      <c r="A1590" t="s">
        <v>1580</v>
      </c>
      <c r="B1590">
        <v>27</v>
      </c>
      <c r="C1590" t="s">
        <v>4803</v>
      </c>
      <c r="D1590" t="s">
        <v>15</v>
      </c>
      <c r="E1590">
        <v>74</v>
      </c>
      <c r="F1590">
        <v>46</v>
      </c>
      <c r="G1590" t="s">
        <v>4798</v>
      </c>
      <c r="H1590" t="s">
        <v>4805</v>
      </c>
      <c r="I1590">
        <v>17.989999999999998</v>
      </c>
      <c r="J1590">
        <v>3</v>
      </c>
      <c r="K1590">
        <v>2.4700000000000002</v>
      </c>
      <c r="L1590">
        <v>0</v>
      </c>
      <c r="M1590" t="s">
        <v>4809</v>
      </c>
      <c r="N1590" t="s">
        <v>4900</v>
      </c>
      <c r="O1590" t="s">
        <v>4912</v>
      </c>
    </row>
    <row r="1591" spans="1:15" x14ac:dyDescent="0.35">
      <c r="A1591" t="s">
        <v>1581</v>
      </c>
      <c r="B1591">
        <v>25</v>
      </c>
      <c r="C1591" t="s">
        <v>4802</v>
      </c>
      <c r="D1591" t="s">
        <v>13</v>
      </c>
      <c r="E1591">
        <v>39</v>
      </c>
      <c r="F1591">
        <v>60</v>
      </c>
      <c r="G1591" t="s">
        <v>4797</v>
      </c>
      <c r="H1591" t="s">
        <v>4805</v>
      </c>
      <c r="I1591">
        <v>13.99</v>
      </c>
      <c r="J1591">
        <v>3</v>
      </c>
      <c r="K1591">
        <v>1.3</v>
      </c>
      <c r="L1591">
        <v>0</v>
      </c>
      <c r="M1591" t="s">
        <v>4809</v>
      </c>
      <c r="N1591" t="s">
        <v>4900</v>
      </c>
      <c r="O1591" t="s">
        <v>4912</v>
      </c>
    </row>
    <row r="1592" spans="1:15" x14ac:dyDescent="0.35">
      <c r="A1592" t="s">
        <v>1582</v>
      </c>
      <c r="B1592">
        <v>37</v>
      </c>
      <c r="C1592" t="s">
        <v>4802</v>
      </c>
      <c r="D1592" t="s">
        <v>13</v>
      </c>
      <c r="E1592">
        <v>68</v>
      </c>
      <c r="F1592">
        <v>54</v>
      </c>
      <c r="G1592" t="s">
        <v>4798</v>
      </c>
      <c r="H1592" t="s">
        <v>4805</v>
      </c>
      <c r="I1592">
        <v>13.99</v>
      </c>
      <c r="J1592">
        <v>3</v>
      </c>
      <c r="K1592">
        <v>2.27</v>
      </c>
      <c r="L1592">
        <v>0</v>
      </c>
      <c r="M1592" t="s">
        <v>4809</v>
      </c>
      <c r="N1592" t="s">
        <v>4900</v>
      </c>
      <c r="O1592" t="s">
        <v>4910</v>
      </c>
    </row>
    <row r="1593" spans="1:15" x14ac:dyDescent="0.35">
      <c r="A1593" t="s">
        <v>1583</v>
      </c>
      <c r="B1593">
        <v>46</v>
      </c>
      <c r="C1593" t="s">
        <v>4803</v>
      </c>
      <c r="D1593" t="s">
        <v>13</v>
      </c>
      <c r="E1593">
        <v>60</v>
      </c>
      <c r="F1593">
        <v>8</v>
      </c>
      <c r="G1593" t="s">
        <v>4798</v>
      </c>
      <c r="H1593" t="s">
        <v>4805</v>
      </c>
      <c r="I1593">
        <v>13.99</v>
      </c>
      <c r="J1593">
        <v>2</v>
      </c>
      <c r="K1593">
        <v>2</v>
      </c>
      <c r="L1593">
        <v>0</v>
      </c>
      <c r="M1593" t="s">
        <v>4808</v>
      </c>
      <c r="N1593" t="s">
        <v>4900</v>
      </c>
      <c r="O1593" t="s">
        <v>4910</v>
      </c>
    </row>
    <row r="1594" spans="1:15" x14ac:dyDescent="0.35">
      <c r="A1594" t="s">
        <v>1584</v>
      </c>
      <c r="B1594">
        <v>31</v>
      </c>
      <c r="C1594" t="s">
        <v>4803</v>
      </c>
      <c r="D1594" t="s">
        <v>13</v>
      </c>
      <c r="E1594">
        <v>56</v>
      </c>
      <c r="F1594">
        <v>22</v>
      </c>
      <c r="G1594" t="s">
        <v>4799</v>
      </c>
      <c r="H1594" t="s">
        <v>4806</v>
      </c>
      <c r="I1594">
        <v>13.99</v>
      </c>
      <c r="J1594">
        <v>3</v>
      </c>
      <c r="K1594">
        <v>2.0299999999999998</v>
      </c>
      <c r="L1594">
        <v>1</v>
      </c>
      <c r="M1594" t="s">
        <v>4812</v>
      </c>
      <c r="N1594" t="s">
        <v>4899</v>
      </c>
      <c r="O1594" t="s">
        <v>4912</v>
      </c>
    </row>
    <row r="1595" spans="1:15" x14ac:dyDescent="0.35">
      <c r="A1595" t="s">
        <v>1585</v>
      </c>
      <c r="B1595">
        <v>63</v>
      </c>
      <c r="C1595" t="s">
        <v>4802</v>
      </c>
      <c r="D1595" t="s">
        <v>13</v>
      </c>
      <c r="E1595">
        <v>66</v>
      </c>
      <c r="F1595">
        <v>44</v>
      </c>
      <c r="G1595" t="s">
        <v>4800</v>
      </c>
      <c r="H1595" t="s">
        <v>4805</v>
      </c>
      <c r="I1595">
        <v>13.99</v>
      </c>
      <c r="J1595">
        <v>2</v>
      </c>
      <c r="K1595">
        <v>2.2000000000000002</v>
      </c>
      <c r="L1595">
        <v>0</v>
      </c>
      <c r="M1595" t="s">
        <v>4808</v>
      </c>
      <c r="N1595" t="s">
        <v>4900</v>
      </c>
      <c r="O1595" t="s">
        <v>4911</v>
      </c>
    </row>
    <row r="1596" spans="1:15" x14ac:dyDescent="0.35">
      <c r="A1596" t="s">
        <v>1586</v>
      </c>
      <c r="B1596">
        <v>35</v>
      </c>
      <c r="C1596" t="s">
        <v>4802</v>
      </c>
      <c r="D1596" t="s">
        <v>13</v>
      </c>
      <c r="E1596">
        <v>67</v>
      </c>
      <c r="F1596">
        <v>7</v>
      </c>
      <c r="G1596" t="s">
        <v>4798</v>
      </c>
      <c r="H1596" t="s">
        <v>4805</v>
      </c>
      <c r="I1596">
        <v>13.99</v>
      </c>
      <c r="J1596">
        <v>4</v>
      </c>
      <c r="K1596">
        <v>2.23</v>
      </c>
      <c r="L1596">
        <v>0</v>
      </c>
      <c r="M1596" t="s">
        <v>4810</v>
      </c>
      <c r="N1596" t="s">
        <v>4900</v>
      </c>
      <c r="O1596" t="s">
        <v>4910</v>
      </c>
    </row>
    <row r="1597" spans="1:15" x14ac:dyDescent="0.35">
      <c r="A1597" t="s">
        <v>1587</v>
      </c>
      <c r="B1597">
        <v>21</v>
      </c>
      <c r="C1597" t="s">
        <v>4803</v>
      </c>
      <c r="D1597" t="s">
        <v>15</v>
      </c>
      <c r="E1597">
        <v>76</v>
      </c>
      <c r="F1597">
        <v>13</v>
      </c>
      <c r="G1597" t="s">
        <v>4799</v>
      </c>
      <c r="H1597" t="s">
        <v>4804</v>
      </c>
      <c r="I1597">
        <v>17.989999999999998</v>
      </c>
      <c r="J1597">
        <v>5</v>
      </c>
      <c r="K1597">
        <v>2.5299999999999998</v>
      </c>
      <c r="L1597">
        <v>0</v>
      </c>
      <c r="M1597" t="s">
        <v>4812</v>
      </c>
      <c r="N1597" t="s">
        <v>4900</v>
      </c>
      <c r="O1597" t="s">
        <v>4912</v>
      </c>
    </row>
    <row r="1598" spans="1:15" x14ac:dyDescent="0.35">
      <c r="A1598" t="s">
        <v>1588</v>
      </c>
      <c r="B1598">
        <v>56</v>
      </c>
      <c r="C1598" t="s">
        <v>4802</v>
      </c>
      <c r="D1598" t="s">
        <v>13</v>
      </c>
      <c r="E1598">
        <v>37</v>
      </c>
      <c r="F1598">
        <v>48</v>
      </c>
      <c r="G1598" t="s">
        <v>4799</v>
      </c>
      <c r="H1598" t="s">
        <v>4805</v>
      </c>
      <c r="I1598">
        <v>13.99</v>
      </c>
      <c r="J1598">
        <v>1</v>
      </c>
      <c r="K1598">
        <v>5</v>
      </c>
      <c r="L1598">
        <v>0</v>
      </c>
      <c r="M1598" t="s">
        <v>4808</v>
      </c>
      <c r="N1598" t="s">
        <v>4900</v>
      </c>
      <c r="O1598" t="s">
        <v>4911</v>
      </c>
    </row>
    <row r="1599" spans="1:15" x14ac:dyDescent="0.35">
      <c r="A1599" t="s">
        <v>1589</v>
      </c>
      <c r="B1599">
        <v>39</v>
      </c>
      <c r="C1599" t="s">
        <v>4802</v>
      </c>
      <c r="D1599" t="s">
        <v>13</v>
      </c>
      <c r="E1599">
        <v>53</v>
      </c>
      <c r="F1599">
        <v>33</v>
      </c>
      <c r="G1599" t="s">
        <v>4797</v>
      </c>
      <c r="H1599" t="s">
        <v>4806</v>
      </c>
      <c r="I1599">
        <v>13.99</v>
      </c>
      <c r="J1599">
        <v>1</v>
      </c>
      <c r="K1599">
        <v>1.77</v>
      </c>
      <c r="L1599">
        <v>0</v>
      </c>
      <c r="M1599" t="s">
        <v>4810</v>
      </c>
      <c r="N1599" t="s">
        <v>4900</v>
      </c>
      <c r="O1599" t="s">
        <v>4910</v>
      </c>
    </row>
    <row r="1600" spans="1:15" x14ac:dyDescent="0.35">
      <c r="A1600" t="s">
        <v>1590</v>
      </c>
      <c r="B1600">
        <v>34</v>
      </c>
      <c r="C1600" t="s">
        <v>4803</v>
      </c>
      <c r="D1600" t="s">
        <v>13</v>
      </c>
      <c r="E1600">
        <v>37</v>
      </c>
      <c r="F1600">
        <v>44</v>
      </c>
      <c r="G1600" t="s">
        <v>4798</v>
      </c>
      <c r="H1600" t="s">
        <v>4806</v>
      </c>
      <c r="I1600">
        <v>13.99</v>
      </c>
      <c r="J1600">
        <v>2</v>
      </c>
      <c r="K1600">
        <v>1.23</v>
      </c>
      <c r="L1600">
        <v>0</v>
      </c>
      <c r="M1600" t="s">
        <v>4811</v>
      </c>
      <c r="N1600" t="s">
        <v>4900</v>
      </c>
      <c r="O1600" t="s">
        <v>4912</v>
      </c>
    </row>
    <row r="1601" spans="1:15" x14ac:dyDescent="0.35">
      <c r="A1601" t="s">
        <v>1591</v>
      </c>
      <c r="B1601">
        <v>44</v>
      </c>
      <c r="C1601" t="s">
        <v>4802</v>
      </c>
      <c r="D1601" t="s">
        <v>13</v>
      </c>
      <c r="E1601">
        <v>75</v>
      </c>
      <c r="F1601">
        <v>17</v>
      </c>
      <c r="G1601" t="s">
        <v>4798</v>
      </c>
      <c r="H1601" t="s">
        <v>4806</v>
      </c>
      <c r="I1601">
        <v>13.99</v>
      </c>
      <c r="J1601">
        <v>2</v>
      </c>
      <c r="K1601">
        <v>2.5</v>
      </c>
      <c r="L1601">
        <v>0</v>
      </c>
      <c r="M1601" t="s">
        <v>4808</v>
      </c>
      <c r="N1601" t="s">
        <v>4900</v>
      </c>
      <c r="O1601" t="s">
        <v>4910</v>
      </c>
    </row>
    <row r="1602" spans="1:15" x14ac:dyDescent="0.35">
      <c r="A1602" t="s">
        <v>1592</v>
      </c>
      <c r="B1602">
        <v>39</v>
      </c>
      <c r="C1602" t="s">
        <v>4802</v>
      </c>
      <c r="D1602" t="s">
        <v>13</v>
      </c>
      <c r="E1602">
        <v>61</v>
      </c>
      <c r="F1602">
        <v>5</v>
      </c>
      <c r="G1602" t="s">
        <v>4797</v>
      </c>
      <c r="H1602" t="s">
        <v>4805</v>
      </c>
      <c r="I1602">
        <v>13.99</v>
      </c>
      <c r="J1602">
        <v>3</v>
      </c>
      <c r="K1602">
        <v>2.0299999999999998</v>
      </c>
      <c r="L1602">
        <v>0</v>
      </c>
      <c r="M1602" t="s">
        <v>4809</v>
      </c>
      <c r="N1602" t="s">
        <v>4900</v>
      </c>
      <c r="O1602" t="s">
        <v>4910</v>
      </c>
    </row>
    <row r="1603" spans="1:15" x14ac:dyDescent="0.35">
      <c r="A1603" t="s">
        <v>1593</v>
      </c>
      <c r="B1603">
        <v>53</v>
      </c>
      <c r="C1603" t="s">
        <v>4803</v>
      </c>
      <c r="D1603" t="s">
        <v>13</v>
      </c>
      <c r="E1603">
        <v>66</v>
      </c>
      <c r="F1603">
        <v>4</v>
      </c>
      <c r="G1603" t="s">
        <v>4797</v>
      </c>
      <c r="H1603" t="s">
        <v>4805</v>
      </c>
      <c r="I1603">
        <v>13.99</v>
      </c>
      <c r="J1603">
        <v>2</v>
      </c>
      <c r="K1603">
        <v>2.2000000000000002</v>
      </c>
      <c r="L1603">
        <v>0</v>
      </c>
      <c r="M1603" t="s">
        <v>4811</v>
      </c>
      <c r="N1603" t="s">
        <v>4900</v>
      </c>
      <c r="O1603" t="s">
        <v>4910</v>
      </c>
    </row>
    <row r="1604" spans="1:15" x14ac:dyDescent="0.35">
      <c r="A1604" t="s">
        <v>1594</v>
      </c>
      <c r="B1604">
        <v>18</v>
      </c>
      <c r="C1604" t="s">
        <v>4803</v>
      </c>
      <c r="D1604" t="s">
        <v>13</v>
      </c>
      <c r="E1604">
        <v>68</v>
      </c>
      <c r="F1604" t="s">
        <v>4814</v>
      </c>
      <c r="G1604" t="s">
        <v>4798</v>
      </c>
      <c r="H1604" t="s">
        <v>4805</v>
      </c>
      <c r="I1604">
        <v>13.99</v>
      </c>
      <c r="J1604">
        <v>1</v>
      </c>
      <c r="K1604">
        <v>2.0299999999999998</v>
      </c>
      <c r="L1604">
        <v>0</v>
      </c>
      <c r="M1604" t="s">
        <v>4810</v>
      </c>
      <c r="N1604" t="s">
        <v>4900</v>
      </c>
      <c r="O1604" t="s">
        <v>4912</v>
      </c>
    </row>
    <row r="1605" spans="1:15" x14ac:dyDescent="0.35">
      <c r="A1605" t="s">
        <v>1595</v>
      </c>
      <c r="B1605">
        <v>64</v>
      </c>
      <c r="C1605" t="s">
        <v>4803</v>
      </c>
      <c r="D1605" t="s">
        <v>13</v>
      </c>
      <c r="E1605">
        <v>59</v>
      </c>
      <c r="F1605">
        <v>19</v>
      </c>
      <c r="G1605" t="s">
        <v>4799</v>
      </c>
      <c r="H1605" t="s">
        <v>4806</v>
      </c>
      <c r="I1605">
        <v>13.99</v>
      </c>
      <c r="J1605">
        <v>2</v>
      </c>
      <c r="K1605">
        <v>1.97</v>
      </c>
      <c r="L1605">
        <v>0</v>
      </c>
      <c r="M1605" t="s">
        <v>4812</v>
      </c>
      <c r="N1605" t="s">
        <v>4900</v>
      </c>
      <c r="O1605" t="s">
        <v>4911</v>
      </c>
    </row>
    <row r="1606" spans="1:15" x14ac:dyDescent="0.35">
      <c r="A1606" t="s">
        <v>1596</v>
      </c>
      <c r="B1606">
        <v>36</v>
      </c>
      <c r="C1606" t="s">
        <v>4803</v>
      </c>
      <c r="D1606" t="s">
        <v>15</v>
      </c>
      <c r="E1606">
        <v>74</v>
      </c>
      <c r="F1606">
        <v>44</v>
      </c>
      <c r="G1606" t="s">
        <v>4798</v>
      </c>
      <c r="H1606" t="s">
        <v>4804</v>
      </c>
      <c r="I1606">
        <v>17.989999999999998</v>
      </c>
      <c r="J1606">
        <v>3</v>
      </c>
      <c r="K1606">
        <v>2.4700000000000002</v>
      </c>
      <c r="L1606">
        <v>0</v>
      </c>
      <c r="M1606" t="s">
        <v>4812</v>
      </c>
      <c r="N1606" t="s">
        <v>4900</v>
      </c>
      <c r="O1606" t="s">
        <v>4910</v>
      </c>
    </row>
    <row r="1607" spans="1:15" x14ac:dyDescent="0.35">
      <c r="A1607" t="s">
        <v>1597</v>
      </c>
      <c r="B1607">
        <v>47</v>
      </c>
      <c r="C1607" t="s">
        <v>4802</v>
      </c>
      <c r="D1607" t="s">
        <v>13</v>
      </c>
      <c r="E1607">
        <v>53</v>
      </c>
      <c r="F1607">
        <v>56</v>
      </c>
      <c r="G1607" t="s">
        <v>4797</v>
      </c>
      <c r="H1607" t="s">
        <v>4805</v>
      </c>
      <c r="I1607">
        <v>13.99</v>
      </c>
      <c r="J1607">
        <v>1</v>
      </c>
      <c r="K1607">
        <v>1.77</v>
      </c>
      <c r="L1607">
        <v>0</v>
      </c>
      <c r="M1607" t="s">
        <v>4811</v>
      </c>
      <c r="N1607" t="s">
        <v>4900</v>
      </c>
      <c r="O1607" t="s">
        <v>4910</v>
      </c>
    </row>
    <row r="1608" spans="1:15" x14ac:dyDescent="0.35">
      <c r="A1608" t="s">
        <v>1598</v>
      </c>
      <c r="B1608">
        <v>48</v>
      </c>
      <c r="C1608" t="s">
        <v>4802</v>
      </c>
      <c r="D1608" t="s">
        <v>15</v>
      </c>
      <c r="E1608">
        <v>87</v>
      </c>
      <c r="F1608">
        <v>42</v>
      </c>
      <c r="G1608" t="s">
        <v>4799</v>
      </c>
      <c r="H1608" t="s">
        <v>4805</v>
      </c>
      <c r="I1608">
        <v>17.989999999999998</v>
      </c>
      <c r="J1608">
        <v>5</v>
      </c>
      <c r="K1608">
        <v>2.9</v>
      </c>
      <c r="L1608">
        <v>1</v>
      </c>
      <c r="M1608" t="s">
        <v>4809</v>
      </c>
      <c r="N1608" t="s">
        <v>4899</v>
      </c>
      <c r="O1608" t="s">
        <v>4910</v>
      </c>
    </row>
    <row r="1609" spans="1:15" x14ac:dyDescent="0.35">
      <c r="A1609" t="s">
        <v>1599</v>
      </c>
      <c r="B1609">
        <v>65</v>
      </c>
      <c r="C1609" t="s">
        <v>4802</v>
      </c>
      <c r="D1609" t="s">
        <v>15</v>
      </c>
      <c r="E1609">
        <v>77</v>
      </c>
      <c r="F1609">
        <v>999</v>
      </c>
      <c r="G1609" t="s">
        <v>4798</v>
      </c>
      <c r="H1609" t="s">
        <v>4806</v>
      </c>
      <c r="I1609">
        <v>17.989999999999998</v>
      </c>
      <c r="J1609">
        <v>2</v>
      </c>
      <c r="K1609">
        <v>2.57</v>
      </c>
      <c r="L1609">
        <v>0</v>
      </c>
      <c r="M1609" t="s">
        <v>4811</v>
      </c>
      <c r="N1609" t="s">
        <v>4900</v>
      </c>
      <c r="O1609" t="s">
        <v>4911</v>
      </c>
    </row>
    <row r="1610" spans="1:15" x14ac:dyDescent="0.35">
      <c r="A1610" t="s">
        <v>1600</v>
      </c>
      <c r="B1610">
        <v>28</v>
      </c>
      <c r="C1610" t="s">
        <v>4802</v>
      </c>
      <c r="D1610" t="s">
        <v>13</v>
      </c>
      <c r="E1610">
        <v>66</v>
      </c>
      <c r="F1610">
        <v>42</v>
      </c>
      <c r="G1610" t="s">
        <v>4799</v>
      </c>
      <c r="H1610" t="s">
        <v>4807</v>
      </c>
      <c r="I1610">
        <v>13.99</v>
      </c>
      <c r="J1610">
        <v>3</v>
      </c>
      <c r="K1610">
        <v>2.2000000000000002</v>
      </c>
      <c r="L1610">
        <v>0</v>
      </c>
      <c r="M1610" t="s">
        <v>4811</v>
      </c>
      <c r="N1610" t="s">
        <v>4900</v>
      </c>
      <c r="O1610" t="s">
        <v>4912</v>
      </c>
    </row>
    <row r="1611" spans="1:15" x14ac:dyDescent="0.35">
      <c r="A1611" t="s">
        <v>1601</v>
      </c>
      <c r="B1611">
        <v>28</v>
      </c>
      <c r="C1611" t="s">
        <v>4802</v>
      </c>
      <c r="D1611" t="s">
        <v>13</v>
      </c>
      <c r="E1611">
        <v>55</v>
      </c>
      <c r="F1611">
        <v>56</v>
      </c>
      <c r="G1611" t="s">
        <v>4799</v>
      </c>
      <c r="H1611" t="s">
        <v>4805</v>
      </c>
      <c r="I1611">
        <v>13.99</v>
      </c>
      <c r="J1611">
        <v>1</v>
      </c>
      <c r="K1611">
        <v>1.83</v>
      </c>
      <c r="L1611">
        <v>1</v>
      </c>
      <c r="M1611" t="s">
        <v>4809</v>
      </c>
      <c r="N1611" t="s">
        <v>4899</v>
      </c>
      <c r="O1611" t="s">
        <v>4912</v>
      </c>
    </row>
    <row r="1612" spans="1:15" x14ac:dyDescent="0.35">
      <c r="A1612" t="s">
        <v>1602</v>
      </c>
      <c r="B1612">
        <v>45</v>
      </c>
      <c r="C1612" t="s">
        <v>4803</v>
      </c>
      <c r="D1612" t="s">
        <v>15</v>
      </c>
      <c r="E1612">
        <v>94</v>
      </c>
      <c r="F1612">
        <v>49</v>
      </c>
      <c r="G1612" t="s">
        <v>4798</v>
      </c>
      <c r="H1612" t="s">
        <v>4805</v>
      </c>
      <c r="I1612">
        <v>17.989999999999998</v>
      </c>
      <c r="J1612">
        <v>3</v>
      </c>
      <c r="K1612">
        <v>3.13</v>
      </c>
      <c r="L1612">
        <v>0</v>
      </c>
      <c r="M1612" t="s">
        <v>4809</v>
      </c>
      <c r="N1612" t="s">
        <v>4900</v>
      </c>
      <c r="O1612" t="s">
        <v>4910</v>
      </c>
    </row>
    <row r="1613" spans="1:15" x14ac:dyDescent="0.35">
      <c r="A1613" t="s">
        <v>1603</v>
      </c>
      <c r="B1613">
        <v>51</v>
      </c>
      <c r="C1613" t="s">
        <v>4802</v>
      </c>
      <c r="D1613" t="s">
        <v>13</v>
      </c>
      <c r="E1613">
        <v>61</v>
      </c>
      <c r="F1613">
        <v>14</v>
      </c>
      <c r="G1613" t="s">
        <v>4799</v>
      </c>
      <c r="H1613" t="s">
        <v>4804</v>
      </c>
      <c r="I1613">
        <v>13.99</v>
      </c>
      <c r="J1613">
        <v>3</v>
      </c>
      <c r="K1613">
        <v>2.0299999999999998</v>
      </c>
      <c r="L1613">
        <v>0</v>
      </c>
      <c r="M1613" t="s">
        <v>4811</v>
      </c>
      <c r="N1613" t="s">
        <v>4900</v>
      </c>
      <c r="O1613" t="s">
        <v>4910</v>
      </c>
    </row>
    <row r="1614" spans="1:15" x14ac:dyDescent="0.35">
      <c r="A1614" t="s">
        <v>1604</v>
      </c>
      <c r="B1614">
        <v>20</v>
      </c>
      <c r="C1614" t="s">
        <v>4802</v>
      </c>
      <c r="D1614" t="s">
        <v>13</v>
      </c>
      <c r="E1614">
        <v>56</v>
      </c>
      <c r="F1614">
        <v>42</v>
      </c>
      <c r="G1614" t="s">
        <v>4798</v>
      </c>
      <c r="H1614" t="s">
        <v>4806</v>
      </c>
      <c r="I1614">
        <v>13.99</v>
      </c>
      <c r="J1614">
        <v>1</v>
      </c>
      <c r="K1614">
        <v>1.87</v>
      </c>
      <c r="L1614">
        <v>0</v>
      </c>
      <c r="M1614" t="s">
        <v>4810</v>
      </c>
      <c r="N1614" t="s">
        <v>4900</v>
      </c>
      <c r="O1614" t="s">
        <v>4912</v>
      </c>
    </row>
    <row r="1615" spans="1:15" x14ac:dyDescent="0.35">
      <c r="A1615" t="s">
        <v>1605</v>
      </c>
      <c r="B1615">
        <v>65</v>
      </c>
      <c r="C1615" t="s">
        <v>4803</v>
      </c>
      <c r="D1615" t="s">
        <v>13</v>
      </c>
      <c r="E1615">
        <v>80</v>
      </c>
      <c r="F1615">
        <v>38</v>
      </c>
      <c r="G1615" t="s">
        <v>4797</v>
      </c>
      <c r="H1615" t="s">
        <v>4806</v>
      </c>
      <c r="I1615">
        <v>13.99</v>
      </c>
      <c r="J1615">
        <v>2</v>
      </c>
      <c r="K1615">
        <v>2.67</v>
      </c>
      <c r="L1615">
        <v>0</v>
      </c>
      <c r="M1615" t="s">
        <v>4808</v>
      </c>
      <c r="N1615" t="s">
        <v>4900</v>
      </c>
      <c r="O1615" t="s">
        <v>4911</v>
      </c>
    </row>
    <row r="1616" spans="1:15" x14ac:dyDescent="0.35">
      <c r="A1616" t="s">
        <v>1606</v>
      </c>
      <c r="B1616">
        <v>43</v>
      </c>
      <c r="C1616" t="s">
        <v>4803</v>
      </c>
      <c r="D1616" t="s">
        <v>15</v>
      </c>
      <c r="E1616">
        <v>55</v>
      </c>
      <c r="F1616">
        <v>16</v>
      </c>
      <c r="G1616" t="s">
        <v>4798</v>
      </c>
      <c r="H1616" t="s">
        <v>4805</v>
      </c>
      <c r="I1616">
        <v>17.989999999999998</v>
      </c>
      <c r="J1616">
        <v>5</v>
      </c>
      <c r="K1616">
        <v>1.83</v>
      </c>
      <c r="L1616">
        <v>0</v>
      </c>
      <c r="M1616" t="s">
        <v>4811</v>
      </c>
      <c r="N1616" t="s">
        <v>4900</v>
      </c>
      <c r="O1616" t="s">
        <v>4910</v>
      </c>
    </row>
    <row r="1617" spans="1:15" x14ac:dyDescent="0.35">
      <c r="A1617" t="s">
        <v>1607</v>
      </c>
      <c r="B1617">
        <v>57</v>
      </c>
      <c r="C1617" t="s">
        <v>4802</v>
      </c>
      <c r="D1617" t="s">
        <v>13</v>
      </c>
      <c r="E1617">
        <v>62</v>
      </c>
      <c r="F1617">
        <v>2</v>
      </c>
      <c r="G1617" t="s">
        <v>4798</v>
      </c>
      <c r="H1617" t="s">
        <v>4804</v>
      </c>
      <c r="I1617">
        <v>13.99</v>
      </c>
      <c r="J1617">
        <v>4</v>
      </c>
      <c r="K1617">
        <v>2.0299999999999998</v>
      </c>
      <c r="L1617">
        <v>0</v>
      </c>
      <c r="M1617" t="s">
        <v>4810</v>
      </c>
      <c r="N1617" t="s">
        <v>4900</v>
      </c>
      <c r="O1617" t="s">
        <v>4911</v>
      </c>
    </row>
    <row r="1618" spans="1:15" x14ac:dyDescent="0.35">
      <c r="A1618" t="s">
        <v>1608</v>
      </c>
      <c r="B1618">
        <v>49</v>
      </c>
      <c r="C1618" t="s">
        <v>4803</v>
      </c>
      <c r="D1618" t="s">
        <v>13</v>
      </c>
      <c r="E1618">
        <v>66</v>
      </c>
      <c r="F1618">
        <v>60</v>
      </c>
      <c r="G1618" t="s">
        <v>4799</v>
      </c>
      <c r="H1618" t="s">
        <v>4805</v>
      </c>
      <c r="I1618">
        <v>13.99</v>
      </c>
      <c r="J1618">
        <v>2</v>
      </c>
      <c r="K1618">
        <v>2.2000000000000002</v>
      </c>
      <c r="L1618">
        <v>0</v>
      </c>
      <c r="M1618" t="s">
        <v>4808</v>
      </c>
      <c r="N1618" t="s">
        <v>4900</v>
      </c>
      <c r="O1618" t="s">
        <v>4910</v>
      </c>
    </row>
    <row r="1619" spans="1:15" x14ac:dyDescent="0.35">
      <c r="A1619" t="s">
        <v>1609</v>
      </c>
      <c r="B1619">
        <v>61</v>
      </c>
      <c r="C1619" t="s">
        <v>4803</v>
      </c>
      <c r="D1619" t="s">
        <v>13</v>
      </c>
      <c r="E1619">
        <v>71</v>
      </c>
      <c r="F1619">
        <v>31</v>
      </c>
      <c r="G1619" t="s">
        <v>4798</v>
      </c>
      <c r="H1619" t="s">
        <v>4806</v>
      </c>
      <c r="I1619">
        <v>13.99</v>
      </c>
      <c r="J1619">
        <v>1</v>
      </c>
      <c r="K1619">
        <v>2.37</v>
      </c>
      <c r="L1619">
        <v>0</v>
      </c>
      <c r="M1619" t="s">
        <v>4808</v>
      </c>
      <c r="N1619" t="s">
        <v>4900</v>
      </c>
      <c r="O1619" t="s">
        <v>4911</v>
      </c>
    </row>
    <row r="1620" spans="1:15" x14ac:dyDescent="0.35">
      <c r="A1620" t="s">
        <v>1610</v>
      </c>
      <c r="B1620">
        <v>43</v>
      </c>
      <c r="C1620" t="s">
        <v>4803</v>
      </c>
      <c r="D1620" t="s">
        <v>15</v>
      </c>
      <c r="E1620">
        <v>108</v>
      </c>
      <c r="F1620">
        <v>52</v>
      </c>
      <c r="G1620" t="s">
        <v>4797</v>
      </c>
      <c r="H1620" t="s">
        <v>4805</v>
      </c>
      <c r="I1620">
        <v>17.989999999999998</v>
      </c>
      <c r="J1620">
        <v>2</v>
      </c>
      <c r="K1620">
        <v>3.6</v>
      </c>
      <c r="L1620">
        <v>0</v>
      </c>
      <c r="M1620" t="s">
        <v>4812</v>
      </c>
      <c r="N1620" t="s">
        <v>4900</v>
      </c>
      <c r="O1620" t="s">
        <v>4910</v>
      </c>
    </row>
    <row r="1621" spans="1:15" x14ac:dyDescent="0.35">
      <c r="A1621" t="s">
        <v>1611</v>
      </c>
      <c r="B1621">
        <v>22</v>
      </c>
      <c r="C1621" t="s">
        <v>4803</v>
      </c>
      <c r="D1621" t="s">
        <v>13</v>
      </c>
      <c r="E1621">
        <v>47</v>
      </c>
      <c r="F1621">
        <v>41</v>
      </c>
      <c r="G1621" t="s">
        <v>4799</v>
      </c>
      <c r="H1621" t="s">
        <v>4805</v>
      </c>
      <c r="I1621">
        <v>13.99</v>
      </c>
      <c r="J1621">
        <v>3</v>
      </c>
      <c r="K1621">
        <v>1.57</v>
      </c>
      <c r="L1621">
        <v>0</v>
      </c>
      <c r="M1621" t="s">
        <v>4809</v>
      </c>
      <c r="N1621" t="s">
        <v>4900</v>
      </c>
      <c r="O1621" t="s">
        <v>4912</v>
      </c>
    </row>
    <row r="1622" spans="1:15" x14ac:dyDescent="0.35">
      <c r="A1622" t="s">
        <v>1612</v>
      </c>
      <c r="B1622">
        <v>58</v>
      </c>
      <c r="C1622" t="s">
        <v>4803</v>
      </c>
      <c r="D1622" t="s">
        <v>13</v>
      </c>
      <c r="E1622">
        <v>67</v>
      </c>
      <c r="F1622">
        <v>9</v>
      </c>
      <c r="G1622" t="s">
        <v>4798</v>
      </c>
      <c r="H1622" t="s">
        <v>4805</v>
      </c>
      <c r="I1622">
        <v>13.99</v>
      </c>
      <c r="J1622">
        <v>4</v>
      </c>
      <c r="K1622">
        <v>2.23</v>
      </c>
      <c r="L1622">
        <v>0</v>
      </c>
      <c r="M1622" t="s">
        <v>4810</v>
      </c>
      <c r="N1622" t="s">
        <v>4900</v>
      </c>
      <c r="O1622" t="s">
        <v>4911</v>
      </c>
    </row>
    <row r="1623" spans="1:15" x14ac:dyDescent="0.35">
      <c r="A1623" t="s">
        <v>1613</v>
      </c>
      <c r="B1623">
        <v>37</v>
      </c>
      <c r="C1623" t="s">
        <v>4803</v>
      </c>
      <c r="D1623" t="s">
        <v>13</v>
      </c>
      <c r="E1623">
        <v>68</v>
      </c>
      <c r="F1623">
        <v>34</v>
      </c>
      <c r="G1623" t="s">
        <v>4799</v>
      </c>
      <c r="H1623" t="s">
        <v>4805</v>
      </c>
      <c r="I1623">
        <v>13.99</v>
      </c>
      <c r="J1623">
        <v>1</v>
      </c>
      <c r="K1623">
        <v>2.27</v>
      </c>
      <c r="L1623">
        <v>0</v>
      </c>
      <c r="M1623" t="s">
        <v>4812</v>
      </c>
      <c r="N1623" t="s">
        <v>4900</v>
      </c>
      <c r="O1623" t="s">
        <v>4910</v>
      </c>
    </row>
    <row r="1624" spans="1:15" x14ac:dyDescent="0.35">
      <c r="A1624" t="s">
        <v>1614</v>
      </c>
      <c r="B1624">
        <v>28</v>
      </c>
      <c r="C1624" t="s">
        <v>4802</v>
      </c>
      <c r="D1624" t="s">
        <v>15</v>
      </c>
      <c r="E1624">
        <v>61</v>
      </c>
      <c r="F1624">
        <v>6</v>
      </c>
      <c r="G1624" t="s">
        <v>4797</v>
      </c>
      <c r="H1624" t="s">
        <v>4804</v>
      </c>
      <c r="I1624">
        <v>17.989999999999998</v>
      </c>
      <c r="J1624">
        <v>2</v>
      </c>
      <c r="K1624">
        <v>2.0299999999999998</v>
      </c>
      <c r="L1624">
        <v>0</v>
      </c>
      <c r="M1624" t="s">
        <v>4811</v>
      </c>
      <c r="N1624" t="s">
        <v>4900</v>
      </c>
      <c r="O1624" t="s">
        <v>4912</v>
      </c>
    </row>
    <row r="1625" spans="1:15" x14ac:dyDescent="0.35">
      <c r="A1625" t="s">
        <v>1615</v>
      </c>
      <c r="B1625">
        <v>47</v>
      </c>
      <c r="C1625" t="s">
        <v>4803</v>
      </c>
      <c r="D1625" t="s">
        <v>13</v>
      </c>
      <c r="E1625">
        <v>60</v>
      </c>
      <c r="F1625">
        <v>999</v>
      </c>
      <c r="G1625" t="s">
        <v>4799</v>
      </c>
      <c r="H1625" t="s">
        <v>4805</v>
      </c>
      <c r="I1625">
        <v>13.99</v>
      </c>
      <c r="J1625">
        <v>1</v>
      </c>
      <c r="K1625">
        <v>2</v>
      </c>
      <c r="L1625">
        <v>0</v>
      </c>
      <c r="M1625" t="s">
        <v>4811</v>
      </c>
      <c r="N1625" t="s">
        <v>4900</v>
      </c>
      <c r="O1625" t="s">
        <v>4910</v>
      </c>
    </row>
    <row r="1626" spans="1:15" x14ac:dyDescent="0.35">
      <c r="A1626" t="s">
        <v>1616</v>
      </c>
      <c r="B1626">
        <v>40</v>
      </c>
      <c r="C1626" t="s">
        <v>4802</v>
      </c>
      <c r="D1626" t="s">
        <v>15</v>
      </c>
      <c r="E1626">
        <v>88</v>
      </c>
      <c r="F1626">
        <v>46</v>
      </c>
      <c r="G1626" t="s">
        <v>4798</v>
      </c>
      <c r="H1626" t="s">
        <v>4806</v>
      </c>
      <c r="I1626">
        <v>17.989999999999998</v>
      </c>
      <c r="J1626">
        <v>4</v>
      </c>
      <c r="K1626">
        <v>2.93</v>
      </c>
      <c r="L1626">
        <v>0</v>
      </c>
      <c r="M1626" t="s">
        <v>4809</v>
      </c>
      <c r="N1626" t="s">
        <v>4900</v>
      </c>
      <c r="O1626" t="s">
        <v>4910</v>
      </c>
    </row>
    <row r="1627" spans="1:15" x14ac:dyDescent="0.35">
      <c r="A1627" t="s">
        <v>1617</v>
      </c>
      <c r="B1627">
        <v>64</v>
      </c>
      <c r="C1627" t="s">
        <v>4802</v>
      </c>
      <c r="D1627" t="s">
        <v>15</v>
      </c>
      <c r="E1627">
        <v>78</v>
      </c>
      <c r="F1627">
        <v>7</v>
      </c>
      <c r="G1627" t="s">
        <v>4799</v>
      </c>
      <c r="H1627" t="s">
        <v>4806</v>
      </c>
      <c r="I1627">
        <v>17.989999999999998</v>
      </c>
      <c r="J1627">
        <v>5</v>
      </c>
      <c r="K1627">
        <v>2.6</v>
      </c>
      <c r="L1627">
        <v>0</v>
      </c>
      <c r="M1627" t="s">
        <v>4810</v>
      </c>
      <c r="N1627" t="s">
        <v>4900</v>
      </c>
      <c r="O1627" t="s">
        <v>4911</v>
      </c>
    </row>
    <row r="1628" spans="1:15" x14ac:dyDescent="0.35">
      <c r="A1628" t="s">
        <v>1618</v>
      </c>
      <c r="B1628">
        <v>47</v>
      </c>
      <c r="C1628" t="s">
        <v>4802</v>
      </c>
      <c r="D1628" t="s">
        <v>15</v>
      </c>
      <c r="E1628">
        <v>110</v>
      </c>
      <c r="F1628">
        <v>27</v>
      </c>
      <c r="G1628" t="s">
        <v>4800</v>
      </c>
      <c r="H1628" t="s">
        <v>4805</v>
      </c>
      <c r="I1628">
        <v>17.989999999999998</v>
      </c>
      <c r="J1628">
        <v>4</v>
      </c>
      <c r="K1628">
        <v>5</v>
      </c>
      <c r="L1628">
        <v>0</v>
      </c>
      <c r="M1628" t="s">
        <v>4808</v>
      </c>
      <c r="N1628" t="s">
        <v>4900</v>
      </c>
      <c r="O1628" t="s">
        <v>4910</v>
      </c>
    </row>
    <row r="1629" spans="1:15" x14ac:dyDescent="0.35">
      <c r="A1629" t="s">
        <v>4863</v>
      </c>
      <c r="B1629">
        <v>64</v>
      </c>
      <c r="C1629" t="s">
        <v>4802</v>
      </c>
      <c r="D1629" t="s">
        <v>15</v>
      </c>
      <c r="E1629">
        <v>67</v>
      </c>
      <c r="F1629">
        <v>23</v>
      </c>
      <c r="G1629" t="s">
        <v>4799</v>
      </c>
      <c r="H1629" t="s">
        <v>4804</v>
      </c>
      <c r="I1629">
        <v>17.989999999999998</v>
      </c>
      <c r="J1629">
        <v>5</v>
      </c>
      <c r="K1629">
        <v>2.23</v>
      </c>
      <c r="L1629">
        <v>0</v>
      </c>
      <c r="M1629" t="s">
        <v>4809</v>
      </c>
      <c r="N1629" t="s">
        <v>4900</v>
      </c>
      <c r="O1629" t="s">
        <v>4911</v>
      </c>
    </row>
    <row r="1630" spans="1:15" x14ac:dyDescent="0.35">
      <c r="A1630" t="s">
        <v>1619</v>
      </c>
      <c r="B1630">
        <v>31</v>
      </c>
      <c r="C1630" t="s">
        <v>4803</v>
      </c>
      <c r="D1630" t="s">
        <v>13</v>
      </c>
      <c r="E1630">
        <v>69</v>
      </c>
      <c r="F1630">
        <v>2</v>
      </c>
      <c r="G1630" t="s">
        <v>4798</v>
      </c>
      <c r="H1630" t="s">
        <v>4805</v>
      </c>
      <c r="I1630">
        <v>13.99</v>
      </c>
      <c r="J1630">
        <v>4</v>
      </c>
      <c r="K1630">
        <v>2.0299999999999998</v>
      </c>
      <c r="L1630">
        <v>0</v>
      </c>
      <c r="M1630" t="s">
        <v>4812</v>
      </c>
      <c r="N1630" t="s">
        <v>4900</v>
      </c>
      <c r="O1630" t="s">
        <v>4912</v>
      </c>
    </row>
    <row r="1631" spans="1:15" x14ac:dyDescent="0.35">
      <c r="A1631" t="s">
        <v>1620</v>
      </c>
      <c r="B1631">
        <v>42</v>
      </c>
      <c r="C1631" t="s">
        <v>4803</v>
      </c>
      <c r="D1631" t="s">
        <v>13</v>
      </c>
      <c r="E1631">
        <v>71</v>
      </c>
      <c r="F1631">
        <v>38</v>
      </c>
      <c r="G1631" t="s">
        <v>4799</v>
      </c>
      <c r="H1631" t="s">
        <v>4807</v>
      </c>
      <c r="I1631">
        <v>13.99</v>
      </c>
      <c r="J1631">
        <v>1</v>
      </c>
      <c r="K1631">
        <v>2.37</v>
      </c>
      <c r="L1631">
        <v>1</v>
      </c>
      <c r="M1631" t="s">
        <v>4811</v>
      </c>
      <c r="N1631" t="s">
        <v>4899</v>
      </c>
      <c r="O1631" t="s">
        <v>4910</v>
      </c>
    </row>
    <row r="1632" spans="1:15" x14ac:dyDescent="0.35">
      <c r="A1632" t="s">
        <v>1621</v>
      </c>
      <c r="B1632">
        <v>25</v>
      </c>
      <c r="C1632" t="s">
        <v>4802</v>
      </c>
      <c r="D1632" t="s">
        <v>13</v>
      </c>
      <c r="E1632">
        <v>59</v>
      </c>
      <c r="F1632">
        <v>37</v>
      </c>
      <c r="G1632" t="s">
        <v>4797</v>
      </c>
      <c r="H1632" t="s">
        <v>4804</v>
      </c>
      <c r="I1632">
        <v>13.99</v>
      </c>
      <c r="J1632">
        <v>4</v>
      </c>
      <c r="K1632">
        <v>2.0299999999999998</v>
      </c>
      <c r="L1632">
        <v>1</v>
      </c>
      <c r="M1632" t="s">
        <v>4809</v>
      </c>
      <c r="N1632" t="s">
        <v>4899</v>
      </c>
      <c r="O1632" t="s">
        <v>4912</v>
      </c>
    </row>
    <row r="1633" spans="1:15" x14ac:dyDescent="0.35">
      <c r="A1633" t="s">
        <v>1622</v>
      </c>
      <c r="B1633">
        <v>60</v>
      </c>
      <c r="C1633" t="s">
        <v>4803</v>
      </c>
      <c r="D1633" t="s">
        <v>13</v>
      </c>
      <c r="E1633">
        <v>58</v>
      </c>
      <c r="F1633">
        <v>38</v>
      </c>
      <c r="G1633" t="s">
        <v>4797</v>
      </c>
      <c r="H1633" t="s">
        <v>4804</v>
      </c>
      <c r="I1633">
        <v>13.99</v>
      </c>
      <c r="J1633">
        <v>3</v>
      </c>
      <c r="K1633">
        <v>1.93</v>
      </c>
      <c r="L1633">
        <v>1</v>
      </c>
      <c r="M1633" t="s">
        <v>4808</v>
      </c>
      <c r="N1633" t="s">
        <v>4899</v>
      </c>
      <c r="O1633" t="s">
        <v>4911</v>
      </c>
    </row>
    <row r="1634" spans="1:15" x14ac:dyDescent="0.35">
      <c r="A1634" t="s">
        <v>1623</v>
      </c>
      <c r="B1634">
        <v>47</v>
      </c>
      <c r="C1634" t="s">
        <v>4802</v>
      </c>
      <c r="D1634" t="s">
        <v>13</v>
      </c>
      <c r="E1634">
        <v>71</v>
      </c>
      <c r="F1634">
        <v>50</v>
      </c>
      <c r="G1634" t="s">
        <v>4800</v>
      </c>
      <c r="H1634" t="s">
        <v>4805</v>
      </c>
      <c r="I1634">
        <v>13.99</v>
      </c>
      <c r="J1634">
        <v>1</v>
      </c>
      <c r="K1634">
        <v>2.37</v>
      </c>
      <c r="L1634">
        <v>1</v>
      </c>
      <c r="M1634" t="s">
        <v>4812</v>
      </c>
      <c r="N1634" t="s">
        <v>4899</v>
      </c>
      <c r="O1634" t="s">
        <v>4910</v>
      </c>
    </row>
    <row r="1635" spans="1:15" x14ac:dyDescent="0.35">
      <c r="A1635" t="s">
        <v>1624</v>
      </c>
      <c r="B1635">
        <v>32</v>
      </c>
      <c r="C1635" t="s">
        <v>4802</v>
      </c>
      <c r="D1635" t="s">
        <v>13</v>
      </c>
      <c r="E1635">
        <v>40</v>
      </c>
      <c r="F1635">
        <v>0</v>
      </c>
      <c r="G1635" t="s">
        <v>4797</v>
      </c>
      <c r="H1635" t="s">
        <v>4804</v>
      </c>
      <c r="I1635">
        <v>13.99</v>
      </c>
      <c r="J1635">
        <v>3</v>
      </c>
      <c r="K1635">
        <v>1.33</v>
      </c>
      <c r="L1635">
        <v>0</v>
      </c>
      <c r="M1635" t="s">
        <v>4810</v>
      </c>
      <c r="N1635" t="s">
        <v>4900</v>
      </c>
      <c r="O1635" t="s">
        <v>4912</v>
      </c>
    </row>
    <row r="1636" spans="1:15" x14ac:dyDescent="0.35">
      <c r="A1636" t="s">
        <v>1625</v>
      </c>
      <c r="B1636">
        <v>25</v>
      </c>
      <c r="C1636" t="s">
        <v>4802</v>
      </c>
      <c r="D1636" t="s">
        <v>13</v>
      </c>
      <c r="E1636">
        <v>43</v>
      </c>
      <c r="F1636">
        <v>31</v>
      </c>
      <c r="G1636" t="s">
        <v>4799</v>
      </c>
      <c r="H1636" t="s">
        <v>4804</v>
      </c>
      <c r="I1636">
        <v>13.99</v>
      </c>
      <c r="J1636">
        <v>1</v>
      </c>
      <c r="K1636">
        <v>1.43</v>
      </c>
      <c r="L1636">
        <v>0</v>
      </c>
      <c r="M1636" t="s">
        <v>4808</v>
      </c>
      <c r="N1636" t="s">
        <v>4900</v>
      </c>
      <c r="O1636" t="s">
        <v>4912</v>
      </c>
    </row>
    <row r="1637" spans="1:15" x14ac:dyDescent="0.35">
      <c r="A1637" t="s">
        <v>1626</v>
      </c>
      <c r="B1637">
        <v>27</v>
      </c>
      <c r="C1637" t="s">
        <v>4802</v>
      </c>
      <c r="D1637" t="s">
        <v>15</v>
      </c>
      <c r="E1637">
        <v>96</v>
      </c>
      <c r="F1637">
        <v>8</v>
      </c>
      <c r="G1637" t="s">
        <v>4797</v>
      </c>
      <c r="H1637" t="s">
        <v>4805</v>
      </c>
      <c r="I1637">
        <v>17.989999999999998</v>
      </c>
      <c r="J1637">
        <v>4</v>
      </c>
      <c r="K1637">
        <v>3.2</v>
      </c>
      <c r="L1637">
        <v>1</v>
      </c>
      <c r="M1637" t="s">
        <v>4810</v>
      </c>
      <c r="N1637" t="s">
        <v>4899</v>
      </c>
      <c r="O1637" t="s">
        <v>4912</v>
      </c>
    </row>
    <row r="1638" spans="1:15" x14ac:dyDescent="0.35">
      <c r="A1638" t="s">
        <v>1627</v>
      </c>
      <c r="B1638">
        <v>23</v>
      </c>
      <c r="C1638" t="s">
        <v>4802</v>
      </c>
      <c r="D1638" t="s">
        <v>15</v>
      </c>
      <c r="E1638">
        <v>120</v>
      </c>
      <c r="F1638">
        <v>48</v>
      </c>
      <c r="G1638" t="s">
        <v>4797</v>
      </c>
      <c r="H1638" t="s">
        <v>4807</v>
      </c>
      <c r="I1638">
        <v>17.989999999999998</v>
      </c>
      <c r="J1638">
        <v>5</v>
      </c>
      <c r="K1638">
        <v>5</v>
      </c>
      <c r="L1638">
        <v>0</v>
      </c>
      <c r="M1638" t="s">
        <v>4811</v>
      </c>
      <c r="N1638" t="s">
        <v>4900</v>
      </c>
      <c r="O1638" t="s">
        <v>4912</v>
      </c>
    </row>
    <row r="1639" spans="1:15" x14ac:dyDescent="0.35">
      <c r="A1639" t="s">
        <v>1628</v>
      </c>
      <c r="B1639">
        <v>45</v>
      </c>
      <c r="C1639" t="s">
        <v>4802</v>
      </c>
      <c r="D1639" t="s">
        <v>13</v>
      </c>
      <c r="E1639">
        <v>40</v>
      </c>
      <c r="F1639">
        <v>38</v>
      </c>
      <c r="G1639" t="s">
        <v>4798</v>
      </c>
      <c r="H1639" t="s">
        <v>4804</v>
      </c>
      <c r="I1639">
        <v>13.99</v>
      </c>
      <c r="J1639">
        <v>4</v>
      </c>
      <c r="K1639">
        <v>1.33</v>
      </c>
      <c r="L1639">
        <v>0</v>
      </c>
      <c r="M1639" t="s">
        <v>4812</v>
      </c>
      <c r="N1639" t="s">
        <v>4900</v>
      </c>
      <c r="O1639" t="s">
        <v>4910</v>
      </c>
    </row>
    <row r="1640" spans="1:15" x14ac:dyDescent="0.35">
      <c r="A1640" t="s">
        <v>1629</v>
      </c>
      <c r="B1640">
        <v>18</v>
      </c>
      <c r="C1640" t="s">
        <v>4803</v>
      </c>
      <c r="D1640" t="s">
        <v>13</v>
      </c>
      <c r="E1640">
        <v>41</v>
      </c>
      <c r="F1640">
        <v>55</v>
      </c>
      <c r="G1640" t="s">
        <v>4799</v>
      </c>
      <c r="H1640" t="s">
        <v>4807</v>
      </c>
      <c r="I1640">
        <v>13.99</v>
      </c>
      <c r="J1640">
        <v>2</v>
      </c>
      <c r="K1640">
        <v>2.0299999999999998</v>
      </c>
      <c r="L1640">
        <v>0</v>
      </c>
      <c r="M1640" t="s">
        <v>4808</v>
      </c>
      <c r="N1640" t="s">
        <v>4900</v>
      </c>
      <c r="O1640" t="s">
        <v>4912</v>
      </c>
    </row>
    <row r="1641" spans="1:15" x14ac:dyDescent="0.35">
      <c r="A1641" t="s">
        <v>1630</v>
      </c>
      <c r="B1641">
        <v>19</v>
      </c>
      <c r="C1641" t="s">
        <v>4802</v>
      </c>
      <c r="D1641" t="s">
        <v>13</v>
      </c>
      <c r="E1641">
        <v>69</v>
      </c>
      <c r="F1641">
        <v>20</v>
      </c>
      <c r="G1641" t="s">
        <v>4797</v>
      </c>
      <c r="H1641" t="s">
        <v>4806</v>
      </c>
      <c r="I1641">
        <v>13.99</v>
      </c>
      <c r="J1641">
        <v>4</v>
      </c>
      <c r="K1641">
        <v>2.2999999999999998</v>
      </c>
      <c r="L1641">
        <v>0</v>
      </c>
      <c r="M1641" t="s">
        <v>4811</v>
      </c>
      <c r="N1641" t="s">
        <v>4900</v>
      </c>
      <c r="O1641" t="s">
        <v>4912</v>
      </c>
    </row>
    <row r="1642" spans="1:15" x14ac:dyDescent="0.35">
      <c r="A1642" t="s">
        <v>1631</v>
      </c>
      <c r="B1642">
        <v>61</v>
      </c>
      <c r="C1642" t="s">
        <v>4802</v>
      </c>
      <c r="D1642" t="s">
        <v>15</v>
      </c>
      <c r="E1642">
        <v>56</v>
      </c>
      <c r="F1642">
        <v>55</v>
      </c>
      <c r="G1642" t="s">
        <v>4799</v>
      </c>
      <c r="H1642" t="s">
        <v>4804</v>
      </c>
      <c r="I1642">
        <v>17.989999999999998</v>
      </c>
      <c r="J1642">
        <v>4</v>
      </c>
      <c r="K1642">
        <v>1.87</v>
      </c>
      <c r="L1642">
        <v>0</v>
      </c>
      <c r="M1642" t="s">
        <v>4811</v>
      </c>
      <c r="N1642" t="s">
        <v>4900</v>
      </c>
      <c r="O1642" t="s">
        <v>4911</v>
      </c>
    </row>
    <row r="1643" spans="1:15" x14ac:dyDescent="0.35">
      <c r="A1643" t="s">
        <v>1632</v>
      </c>
      <c r="B1643">
        <v>55</v>
      </c>
      <c r="C1643" t="s">
        <v>4802</v>
      </c>
      <c r="D1643" t="s">
        <v>13</v>
      </c>
      <c r="E1643">
        <v>34</v>
      </c>
      <c r="F1643">
        <v>26</v>
      </c>
      <c r="G1643" t="s">
        <v>4798</v>
      </c>
      <c r="H1643" t="s">
        <v>4804</v>
      </c>
      <c r="I1643">
        <v>13.99</v>
      </c>
      <c r="J1643">
        <v>3</v>
      </c>
      <c r="K1643">
        <v>1.1299999999999999</v>
      </c>
      <c r="L1643">
        <v>0</v>
      </c>
      <c r="M1643" t="s">
        <v>4808</v>
      </c>
      <c r="N1643" t="s">
        <v>4900</v>
      </c>
      <c r="O1643" t="s">
        <v>4911</v>
      </c>
    </row>
    <row r="1644" spans="1:15" x14ac:dyDescent="0.35">
      <c r="A1644" t="s">
        <v>1633</v>
      </c>
      <c r="B1644">
        <v>39</v>
      </c>
      <c r="C1644" t="s">
        <v>4803</v>
      </c>
      <c r="D1644" t="s">
        <v>13</v>
      </c>
      <c r="E1644">
        <v>68</v>
      </c>
      <c r="F1644">
        <v>39</v>
      </c>
      <c r="G1644" t="s">
        <v>4798</v>
      </c>
      <c r="H1644" t="s">
        <v>4804</v>
      </c>
      <c r="I1644">
        <v>13.99</v>
      </c>
      <c r="J1644">
        <v>3</v>
      </c>
      <c r="K1644">
        <v>2.27</v>
      </c>
      <c r="L1644">
        <v>1</v>
      </c>
      <c r="M1644" t="s">
        <v>4810</v>
      </c>
      <c r="N1644" t="s">
        <v>4899</v>
      </c>
      <c r="O1644" t="s">
        <v>4910</v>
      </c>
    </row>
    <row r="1645" spans="1:15" x14ac:dyDescent="0.35">
      <c r="A1645" t="s">
        <v>1634</v>
      </c>
      <c r="B1645">
        <v>63</v>
      </c>
      <c r="C1645" t="s">
        <v>4802</v>
      </c>
      <c r="D1645" t="s">
        <v>13</v>
      </c>
      <c r="E1645">
        <v>66</v>
      </c>
      <c r="F1645">
        <v>5</v>
      </c>
      <c r="G1645" t="s">
        <v>4798</v>
      </c>
      <c r="H1645" t="s">
        <v>4806</v>
      </c>
      <c r="I1645">
        <v>13.99</v>
      </c>
      <c r="J1645">
        <v>2</v>
      </c>
      <c r="K1645">
        <v>2.2000000000000002</v>
      </c>
      <c r="L1645">
        <v>0</v>
      </c>
      <c r="M1645" t="s">
        <v>4808</v>
      </c>
      <c r="N1645" t="s">
        <v>4900</v>
      </c>
      <c r="O1645" t="s">
        <v>4911</v>
      </c>
    </row>
    <row r="1646" spans="1:15" x14ac:dyDescent="0.35">
      <c r="A1646" t="s">
        <v>1635</v>
      </c>
      <c r="B1646">
        <v>58</v>
      </c>
      <c r="C1646" t="s">
        <v>4803</v>
      </c>
      <c r="D1646" t="s">
        <v>13</v>
      </c>
      <c r="E1646">
        <v>38</v>
      </c>
      <c r="F1646">
        <v>15</v>
      </c>
      <c r="G1646" t="s">
        <v>4799</v>
      </c>
      <c r="H1646" t="s">
        <v>4804</v>
      </c>
      <c r="I1646">
        <v>13.99</v>
      </c>
      <c r="J1646">
        <v>1</v>
      </c>
      <c r="K1646">
        <v>1.27</v>
      </c>
      <c r="L1646">
        <v>0</v>
      </c>
      <c r="M1646" t="s">
        <v>4811</v>
      </c>
      <c r="N1646" t="s">
        <v>4900</v>
      </c>
      <c r="O1646" t="s">
        <v>4911</v>
      </c>
    </row>
    <row r="1647" spans="1:15" x14ac:dyDescent="0.35">
      <c r="A1647" t="s">
        <v>1636</v>
      </c>
      <c r="B1647">
        <v>43</v>
      </c>
      <c r="C1647" t="s">
        <v>4802</v>
      </c>
      <c r="D1647" t="s">
        <v>15</v>
      </c>
      <c r="E1647">
        <v>59</v>
      </c>
      <c r="F1647">
        <v>34</v>
      </c>
      <c r="G1647" t="s">
        <v>4799</v>
      </c>
      <c r="H1647" t="s">
        <v>4805</v>
      </c>
      <c r="I1647">
        <v>17.989999999999998</v>
      </c>
      <c r="J1647">
        <v>3</v>
      </c>
      <c r="K1647">
        <v>1.97</v>
      </c>
      <c r="L1647">
        <v>0</v>
      </c>
      <c r="M1647" t="s">
        <v>4808</v>
      </c>
      <c r="N1647" t="s">
        <v>4900</v>
      </c>
      <c r="O1647" t="s">
        <v>4910</v>
      </c>
    </row>
    <row r="1648" spans="1:15" x14ac:dyDescent="0.35">
      <c r="A1648" t="s">
        <v>1637</v>
      </c>
      <c r="B1648">
        <v>57</v>
      </c>
      <c r="C1648" t="s">
        <v>4802</v>
      </c>
      <c r="D1648" t="s">
        <v>15</v>
      </c>
      <c r="E1648">
        <v>79</v>
      </c>
      <c r="F1648">
        <v>21</v>
      </c>
      <c r="G1648" t="s">
        <v>4799</v>
      </c>
      <c r="H1648" t="s">
        <v>4804</v>
      </c>
      <c r="I1648">
        <v>17.989999999999998</v>
      </c>
      <c r="J1648">
        <v>2</v>
      </c>
      <c r="K1648">
        <v>2.0299999999999998</v>
      </c>
      <c r="L1648">
        <v>1</v>
      </c>
      <c r="M1648" t="s">
        <v>4809</v>
      </c>
      <c r="N1648" t="s">
        <v>4899</v>
      </c>
      <c r="O1648" t="s">
        <v>4911</v>
      </c>
    </row>
    <row r="1649" spans="1:15" x14ac:dyDescent="0.35">
      <c r="A1649" t="s">
        <v>1638</v>
      </c>
      <c r="B1649">
        <v>19</v>
      </c>
      <c r="C1649" t="s">
        <v>4803</v>
      </c>
      <c r="D1649" t="s">
        <v>13</v>
      </c>
      <c r="E1649">
        <v>41</v>
      </c>
      <c r="F1649">
        <v>41</v>
      </c>
      <c r="G1649" t="s">
        <v>4797</v>
      </c>
      <c r="H1649" t="s">
        <v>4806</v>
      </c>
      <c r="I1649">
        <v>13.99</v>
      </c>
      <c r="J1649">
        <v>3</v>
      </c>
      <c r="K1649">
        <v>1.37</v>
      </c>
      <c r="L1649">
        <v>0</v>
      </c>
      <c r="M1649" t="s">
        <v>4812</v>
      </c>
      <c r="N1649" t="s">
        <v>4900</v>
      </c>
      <c r="O1649" t="s">
        <v>4912</v>
      </c>
    </row>
    <row r="1650" spans="1:15" x14ac:dyDescent="0.35">
      <c r="A1650" t="s">
        <v>1639</v>
      </c>
      <c r="B1650">
        <v>24</v>
      </c>
      <c r="C1650" t="s">
        <v>4803</v>
      </c>
      <c r="D1650" t="s">
        <v>13</v>
      </c>
      <c r="E1650">
        <v>77</v>
      </c>
      <c r="F1650">
        <v>4</v>
      </c>
      <c r="G1650" t="s">
        <v>4797</v>
      </c>
      <c r="H1650" t="s">
        <v>4804</v>
      </c>
      <c r="I1650">
        <v>13.99</v>
      </c>
      <c r="J1650">
        <v>4</v>
      </c>
      <c r="K1650">
        <v>2.57</v>
      </c>
      <c r="L1650">
        <v>0</v>
      </c>
      <c r="M1650" t="s">
        <v>4811</v>
      </c>
      <c r="N1650" t="s">
        <v>4900</v>
      </c>
      <c r="O1650" t="s">
        <v>4912</v>
      </c>
    </row>
    <row r="1651" spans="1:15" x14ac:dyDescent="0.35">
      <c r="A1651" t="s">
        <v>1640</v>
      </c>
      <c r="B1651">
        <v>38</v>
      </c>
      <c r="C1651" t="s">
        <v>4802</v>
      </c>
      <c r="D1651" t="s">
        <v>14</v>
      </c>
      <c r="E1651">
        <v>45</v>
      </c>
      <c r="F1651">
        <v>25</v>
      </c>
      <c r="G1651" t="s">
        <v>4799</v>
      </c>
      <c r="H1651" t="s">
        <v>4804</v>
      </c>
      <c r="I1651">
        <v>8.99</v>
      </c>
      <c r="J1651">
        <v>1</v>
      </c>
      <c r="K1651">
        <v>1.5</v>
      </c>
      <c r="L1651">
        <v>0</v>
      </c>
      <c r="M1651" t="s">
        <v>4812</v>
      </c>
      <c r="N1651" t="s">
        <v>4900</v>
      </c>
      <c r="O1651" t="s">
        <v>4910</v>
      </c>
    </row>
    <row r="1652" spans="1:15" x14ac:dyDescent="0.35">
      <c r="A1652" t="s">
        <v>1641</v>
      </c>
      <c r="B1652">
        <v>44</v>
      </c>
      <c r="C1652" t="s">
        <v>4803</v>
      </c>
      <c r="D1652" t="s">
        <v>13</v>
      </c>
      <c r="E1652">
        <v>76</v>
      </c>
      <c r="F1652">
        <v>56</v>
      </c>
      <c r="G1652" t="s">
        <v>4797</v>
      </c>
      <c r="H1652" t="s">
        <v>4805</v>
      </c>
      <c r="I1652">
        <v>13.99</v>
      </c>
      <c r="J1652">
        <v>4</v>
      </c>
      <c r="K1652">
        <v>2.5299999999999998</v>
      </c>
      <c r="L1652">
        <v>0</v>
      </c>
      <c r="M1652" t="s">
        <v>4812</v>
      </c>
      <c r="N1652" t="s">
        <v>4900</v>
      </c>
      <c r="O1652" t="s">
        <v>4910</v>
      </c>
    </row>
    <row r="1653" spans="1:15" x14ac:dyDescent="0.35">
      <c r="A1653" t="s">
        <v>1642</v>
      </c>
      <c r="B1653">
        <v>41</v>
      </c>
      <c r="C1653" t="s">
        <v>4803</v>
      </c>
      <c r="D1653" t="s">
        <v>13</v>
      </c>
      <c r="E1653">
        <v>72</v>
      </c>
      <c r="F1653">
        <v>30</v>
      </c>
      <c r="G1653" t="s">
        <v>4799</v>
      </c>
      <c r="H1653" t="s">
        <v>4805</v>
      </c>
      <c r="I1653">
        <v>13.99</v>
      </c>
      <c r="J1653">
        <v>2</v>
      </c>
      <c r="K1653">
        <v>2.0299999999999998</v>
      </c>
      <c r="L1653">
        <v>0</v>
      </c>
      <c r="M1653" t="s">
        <v>4811</v>
      </c>
      <c r="N1653" t="s">
        <v>4900</v>
      </c>
      <c r="O1653" t="s">
        <v>4910</v>
      </c>
    </row>
    <row r="1654" spans="1:15" x14ac:dyDescent="0.35">
      <c r="A1654" t="s">
        <v>1643</v>
      </c>
      <c r="B1654">
        <v>19</v>
      </c>
      <c r="C1654" t="s">
        <v>4802</v>
      </c>
      <c r="D1654" t="s">
        <v>13</v>
      </c>
      <c r="E1654">
        <v>63</v>
      </c>
      <c r="F1654">
        <v>60</v>
      </c>
      <c r="G1654" t="s">
        <v>4799</v>
      </c>
      <c r="H1654" t="s">
        <v>4805</v>
      </c>
      <c r="I1654">
        <v>13.99</v>
      </c>
      <c r="J1654">
        <v>4</v>
      </c>
      <c r="K1654">
        <v>2.1</v>
      </c>
      <c r="L1654">
        <v>1</v>
      </c>
      <c r="M1654" t="s">
        <v>4810</v>
      </c>
      <c r="N1654" t="s">
        <v>4899</v>
      </c>
      <c r="O1654" t="s">
        <v>4912</v>
      </c>
    </row>
    <row r="1655" spans="1:15" x14ac:dyDescent="0.35">
      <c r="A1655" t="s">
        <v>1644</v>
      </c>
      <c r="B1655">
        <v>57</v>
      </c>
      <c r="C1655" t="s">
        <v>4803</v>
      </c>
      <c r="D1655" t="s">
        <v>13</v>
      </c>
      <c r="E1655">
        <v>37</v>
      </c>
      <c r="F1655">
        <v>10</v>
      </c>
      <c r="G1655" t="s">
        <v>4799</v>
      </c>
      <c r="H1655" t="s">
        <v>4805</v>
      </c>
      <c r="I1655">
        <v>13.99</v>
      </c>
      <c r="J1655">
        <v>4</v>
      </c>
      <c r="K1655">
        <v>1.23</v>
      </c>
      <c r="L1655">
        <v>0</v>
      </c>
      <c r="M1655" t="s">
        <v>4812</v>
      </c>
      <c r="N1655" t="s">
        <v>4900</v>
      </c>
      <c r="O1655" t="s">
        <v>4911</v>
      </c>
    </row>
    <row r="1656" spans="1:15" x14ac:dyDescent="0.35">
      <c r="A1656" t="s">
        <v>1645</v>
      </c>
      <c r="B1656">
        <v>34</v>
      </c>
      <c r="C1656" t="s">
        <v>4803</v>
      </c>
      <c r="D1656" t="s">
        <v>15</v>
      </c>
      <c r="E1656">
        <v>63</v>
      </c>
      <c r="F1656">
        <v>32</v>
      </c>
      <c r="G1656" t="s">
        <v>4797</v>
      </c>
      <c r="H1656" t="s">
        <v>4806</v>
      </c>
      <c r="I1656">
        <v>17.989999999999998</v>
      </c>
      <c r="J1656">
        <v>2</v>
      </c>
      <c r="K1656">
        <v>2.1</v>
      </c>
      <c r="L1656">
        <v>0</v>
      </c>
      <c r="M1656" t="s">
        <v>4811</v>
      </c>
      <c r="N1656" t="s">
        <v>4900</v>
      </c>
      <c r="O1656" t="s">
        <v>4912</v>
      </c>
    </row>
    <row r="1657" spans="1:15" x14ac:dyDescent="0.35">
      <c r="A1657" t="s">
        <v>1646</v>
      </c>
      <c r="B1657">
        <v>45</v>
      </c>
      <c r="C1657" t="s">
        <v>4803</v>
      </c>
      <c r="D1657" t="s">
        <v>13</v>
      </c>
      <c r="E1657">
        <v>79</v>
      </c>
      <c r="F1657">
        <v>12</v>
      </c>
      <c r="G1657" t="s">
        <v>4798</v>
      </c>
      <c r="H1657" t="s">
        <v>4804</v>
      </c>
      <c r="I1657">
        <v>13.99</v>
      </c>
      <c r="J1657">
        <v>2</v>
      </c>
      <c r="K1657">
        <v>2.63</v>
      </c>
      <c r="L1657">
        <v>0</v>
      </c>
      <c r="M1657" t="s">
        <v>4812</v>
      </c>
      <c r="N1657" t="s">
        <v>4900</v>
      </c>
      <c r="O1657" t="s">
        <v>4910</v>
      </c>
    </row>
    <row r="1658" spans="1:15" x14ac:dyDescent="0.35">
      <c r="A1658" t="s">
        <v>1647</v>
      </c>
      <c r="B1658">
        <v>38</v>
      </c>
      <c r="C1658" t="s">
        <v>4802</v>
      </c>
      <c r="D1658" t="s">
        <v>13</v>
      </c>
      <c r="E1658">
        <v>53</v>
      </c>
      <c r="F1658">
        <v>19</v>
      </c>
      <c r="G1658" t="s">
        <v>4799</v>
      </c>
      <c r="H1658" t="s">
        <v>4804</v>
      </c>
      <c r="I1658">
        <v>13.99</v>
      </c>
      <c r="J1658">
        <v>3</v>
      </c>
      <c r="K1658">
        <v>1.77</v>
      </c>
      <c r="L1658">
        <v>0</v>
      </c>
      <c r="M1658" t="s">
        <v>4810</v>
      </c>
      <c r="N1658" t="s">
        <v>4900</v>
      </c>
      <c r="O1658" t="s">
        <v>4910</v>
      </c>
    </row>
    <row r="1659" spans="1:15" x14ac:dyDescent="0.35">
      <c r="A1659" t="s">
        <v>1648</v>
      </c>
      <c r="B1659">
        <v>52</v>
      </c>
      <c r="C1659" t="s">
        <v>4802</v>
      </c>
      <c r="D1659" t="s">
        <v>15</v>
      </c>
      <c r="E1659">
        <v>101</v>
      </c>
      <c r="F1659">
        <v>41</v>
      </c>
      <c r="G1659" t="s">
        <v>4799</v>
      </c>
      <c r="H1659" t="s">
        <v>4804</v>
      </c>
      <c r="I1659">
        <v>17.989999999999998</v>
      </c>
      <c r="J1659">
        <v>5</v>
      </c>
      <c r="K1659">
        <v>3.37</v>
      </c>
      <c r="L1659">
        <v>1</v>
      </c>
      <c r="M1659" t="s">
        <v>4808</v>
      </c>
      <c r="N1659" t="s">
        <v>4899</v>
      </c>
      <c r="O1659" t="s">
        <v>4910</v>
      </c>
    </row>
    <row r="1660" spans="1:15" x14ac:dyDescent="0.35">
      <c r="A1660" t="s">
        <v>1649</v>
      </c>
      <c r="B1660">
        <v>29</v>
      </c>
      <c r="C1660" t="s">
        <v>4803</v>
      </c>
      <c r="D1660" t="s">
        <v>13</v>
      </c>
      <c r="E1660">
        <v>65</v>
      </c>
      <c r="F1660">
        <v>6</v>
      </c>
      <c r="G1660" t="s">
        <v>4798</v>
      </c>
      <c r="H1660" t="s">
        <v>4805</v>
      </c>
      <c r="I1660">
        <v>13.99</v>
      </c>
      <c r="J1660">
        <v>3</v>
      </c>
      <c r="K1660">
        <v>2.17</v>
      </c>
      <c r="L1660">
        <v>0</v>
      </c>
      <c r="M1660" t="s">
        <v>4809</v>
      </c>
      <c r="N1660" t="s">
        <v>4900</v>
      </c>
      <c r="O1660" t="s">
        <v>4912</v>
      </c>
    </row>
    <row r="1661" spans="1:15" x14ac:dyDescent="0.35">
      <c r="A1661" t="s">
        <v>1650</v>
      </c>
      <c r="B1661">
        <v>30</v>
      </c>
      <c r="C1661" t="s">
        <v>4802</v>
      </c>
      <c r="D1661" t="s">
        <v>13</v>
      </c>
      <c r="E1661">
        <v>73</v>
      </c>
      <c r="F1661">
        <v>52</v>
      </c>
      <c r="G1661" t="s">
        <v>4799</v>
      </c>
      <c r="H1661" t="s">
        <v>4805</v>
      </c>
      <c r="I1661">
        <v>13.99</v>
      </c>
      <c r="J1661">
        <v>2</v>
      </c>
      <c r="K1661">
        <v>5</v>
      </c>
      <c r="L1661">
        <v>0</v>
      </c>
      <c r="M1661" t="s">
        <v>4808</v>
      </c>
      <c r="N1661" t="s">
        <v>4900</v>
      </c>
      <c r="O1661" t="s">
        <v>4912</v>
      </c>
    </row>
    <row r="1662" spans="1:15" x14ac:dyDescent="0.35">
      <c r="A1662" t="s">
        <v>1651</v>
      </c>
      <c r="B1662">
        <v>64</v>
      </c>
      <c r="C1662" t="s">
        <v>4802</v>
      </c>
      <c r="D1662" t="s">
        <v>15</v>
      </c>
      <c r="E1662">
        <v>119</v>
      </c>
      <c r="F1662">
        <v>13</v>
      </c>
      <c r="G1662" t="s">
        <v>4799</v>
      </c>
      <c r="H1662" t="s">
        <v>4805</v>
      </c>
      <c r="I1662">
        <v>17.989999999999998</v>
      </c>
      <c r="J1662">
        <v>5</v>
      </c>
      <c r="K1662">
        <v>3.97</v>
      </c>
      <c r="L1662">
        <v>0</v>
      </c>
      <c r="M1662" t="s">
        <v>4811</v>
      </c>
      <c r="N1662" t="s">
        <v>4900</v>
      </c>
      <c r="O1662" t="s">
        <v>4911</v>
      </c>
    </row>
    <row r="1663" spans="1:15" x14ac:dyDescent="0.35">
      <c r="A1663" t="s">
        <v>1652</v>
      </c>
      <c r="B1663">
        <v>60</v>
      </c>
      <c r="C1663" t="s">
        <v>4802</v>
      </c>
      <c r="D1663" t="s">
        <v>15</v>
      </c>
      <c r="E1663">
        <v>69</v>
      </c>
      <c r="F1663">
        <v>21</v>
      </c>
      <c r="G1663" t="s">
        <v>4798</v>
      </c>
      <c r="H1663" t="s">
        <v>4805</v>
      </c>
      <c r="I1663">
        <v>17.989999999999998</v>
      </c>
      <c r="J1663">
        <v>2</v>
      </c>
      <c r="K1663">
        <v>2.2999999999999998</v>
      </c>
      <c r="L1663">
        <v>0</v>
      </c>
      <c r="M1663" t="s">
        <v>4809</v>
      </c>
      <c r="N1663" t="s">
        <v>4900</v>
      </c>
      <c r="O1663" t="s">
        <v>4911</v>
      </c>
    </row>
    <row r="1664" spans="1:15" x14ac:dyDescent="0.35">
      <c r="A1664" t="s">
        <v>1653</v>
      </c>
      <c r="B1664">
        <v>22</v>
      </c>
      <c r="C1664" t="s">
        <v>4802</v>
      </c>
      <c r="D1664" t="s">
        <v>15</v>
      </c>
      <c r="E1664">
        <v>66</v>
      </c>
      <c r="F1664">
        <v>9</v>
      </c>
      <c r="G1664" t="s">
        <v>4798</v>
      </c>
      <c r="H1664" t="s">
        <v>4804</v>
      </c>
      <c r="I1664">
        <v>17.989999999999998</v>
      </c>
      <c r="J1664">
        <v>3</v>
      </c>
      <c r="K1664">
        <v>2.2000000000000002</v>
      </c>
      <c r="L1664">
        <v>0</v>
      </c>
      <c r="M1664" t="s">
        <v>4808</v>
      </c>
      <c r="N1664" t="s">
        <v>4900</v>
      </c>
      <c r="O1664" t="s">
        <v>4912</v>
      </c>
    </row>
    <row r="1665" spans="1:15" x14ac:dyDescent="0.35">
      <c r="A1665" t="s">
        <v>1654</v>
      </c>
      <c r="B1665">
        <v>41</v>
      </c>
      <c r="C1665" t="s">
        <v>4803</v>
      </c>
      <c r="D1665" t="s">
        <v>13</v>
      </c>
      <c r="E1665">
        <v>30</v>
      </c>
      <c r="F1665">
        <v>25</v>
      </c>
      <c r="G1665" t="s">
        <v>4797</v>
      </c>
      <c r="H1665" t="s">
        <v>4806</v>
      </c>
      <c r="I1665">
        <v>13.99</v>
      </c>
      <c r="J1665">
        <v>2</v>
      </c>
      <c r="K1665">
        <v>1</v>
      </c>
      <c r="L1665">
        <v>1</v>
      </c>
      <c r="M1665" t="s">
        <v>4808</v>
      </c>
      <c r="N1665" t="s">
        <v>4899</v>
      </c>
      <c r="O1665" t="s">
        <v>4910</v>
      </c>
    </row>
    <row r="1666" spans="1:15" x14ac:dyDescent="0.35">
      <c r="A1666" t="s">
        <v>4825</v>
      </c>
      <c r="B1666">
        <v>48</v>
      </c>
      <c r="C1666" t="s">
        <v>4802</v>
      </c>
      <c r="D1666" t="s">
        <v>15</v>
      </c>
      <c r="E1666">
        <v>106</v>
      </c>
      <c r="F1666">
        <v>34</v>
      </c>
      <c r="G1666" t="s">
        <v>4799</v>
      </c>
      <c r="H1666" t="s">
        <v>4805</v>
      </c>
      <c r="I1666">
        <v>17.989999999999998</v>
      </c>
      <c r="J1666">
        <v>4</v>
      </c>
      <c r="K1666">
        <v>3.53</v>
      </c>
      <c r="L1666">
        <v>0</v>
      </c>
      <c r="M1666" t="s">
        <v>4810</v>
      </c>
      <c r="N1666" t="s">
        <v>4900</v>
      </c>
      <c r="O1666" t="s">
        <v>4910</v>
      </c>
    </row>
    <row r="1667" spans="1:15" x14ac:dyDescent="0.35">
      <c r="A1667" t="s">
        <v>1655</v>
      </c>
      <c r="B1667">
        <v>46</v>
      </c>
      <c r="C1667" t="s">
        <v>4802</v>
      </c>
      <c r="D1667" t="s">
        <v>13</v>
      </c>
      <c r="E1667">
        <v>60</v>
      </c>
      <c r="F1667">
        <v>6</v>
      </c>
      <c r="G1667" t="s">
        <v>4797</v>
      </c>
      <c r="H1667" t="s">
        <v>4805</v>
      </c>
      <c r="I1667">
        <v>13.99</v>
      </c>
      <c r="J1667">
        <v>2</v>
      </c>
      <c r="K1667">
        <v>2</v>
      </c>
      <c r="L1667">
        <v>0</v>
      </c>
      <c r="M1667" t="s">
        <v>4811</v>
      </c>
      <c r="N1667" t="s">
        <v>4900</v>
      </c>
      <c r="O1667" t="s">
        <v>4910</v>
      </c>
    </row>
    <row r="1668" spans="1:15" x14ac:dyDescent="0.35">
      <c r="A1668" t="s">
        <v>1656</v>
      </c>
      <c r="B1668">
        <v>40</v>
      </c>
      <c r="C1668" t="s">
        <v>4802</v>
      </c>
      <c r="D1668" t="s">
        <v>13</v>
      </c>
      <c r="E1668">
        <v>60</v>
      </c>
      <c r="F1668">
        <v>60</v>
      </c>
      <c r="G1668" t="s">
        <v>4797</v>
      </c>
      <c r="H1668" t="s">
        <v>4804</v>
      </c>
      <c r="I1668">
        <v>13.99</v>
      </c>
      <c r="J1668">
        <v>4</v>
      </c>
      <c r="K1668">
        <v>2</v>
      </c>
      <c r="L1668">
        <v>0</v>
      </c>
      <c r="M1668" t="s">
        <v>4810</v>
      </c>
      <c r="N1668" t="s">
        <v>4900</v>
      </c>
      <c r="O1668" t="s">
        <v>4910</v>
      </c>
    </row>
    <row r="1669" spans="1:15" x14ac:dyDescent="0.35">
      <c r="A1669" t="s">
        <v>1657</v>
      </c>
      <c r="B1669">
        <v>54</v>
      </c>
      <c r="C1669" t="s">
        <v>4802</v>
      </c>
      <c r="D1669" t="s">
        <v>13</v>
      </c>
      <c r="E1669">
        <v>77</v>
      </c>
      <c r="F1669">
        <v>25</v>
      </c>
      <c r="G1669" t="s">
        <v>4798</v>
      </c>
      <c r="H1669" t="s">
        <v>4805</v>
      </c>
      <c r="I1669">
        <v>13.99</v>
      </c>
      <c r="J1669">
        <v>2</v>
      </c>
      <c r="K1669">
        <v>2.57</v>
      </c>
      <c r="L1669">
        <v>1</v>
      </c>
      <c r="M1669" t="s">
        <v>4810</v>
      </c>
      <c r="N1669" t="s">
        <v>4899</v>
      </c>
      <c r="O1669" t="s">
        <v>4910</v>
      </c>
    </row>
    <row r="1670" spans="1:15" x14ac:dyDescent="0.35">
      <c r="A1670" t="s">
        <v>1658</v>
      </c>
      <c r="B1670">
        <v>20</v>
      </c>
      <c r="C1670" t="s">
        <v>4803</v>
      </c>
      <c r="D1670" t="s">
        <v>13</v>
      </c>
      <c r="E1670">
        <v>48</v>
      </c>
      <c r="F1670">
        <v>8</v>
      </c>
      <c r="G1670" t="s">
        <v>4799</v>
      </c>
      <c r="H1670" t="s">
        <v>4805</v>
      </c>
      <c r="I1670">
        <v>13.99</v>
      </c>
      <c r="J1670">
        <v>4</v>
      </c>
      <c r="K1670">
        <v>1.6</v>
      </c>
      <c r="L1670">
        <v>0</v>
      </c>
      <c r="M1670" t="s">
        <v>4808</v>
      </c>
      <c r="N1670" t="s">
        <v>4900</v>
      </c>
      <c r="O1670" t="s">
        <v>4912</v>
      </c>
    </row>
    <row r="1671" spans="1:15" x14ac:dyDescent="0.35">
      <c r="A1671" t="s">
        <v>1659</v>
      </c>
      <c r="B1671">
        <v>41</v>
      </c>
      <c r="C1671" t="s">
        <v>4803</v>
      </c>
      <c r="D1671" t="s">
        <v>13</v>
      </c>
      <c r="E1671">
        <v>34</v>
      </c>
      <c r="F1671">
        <v>45</v>
      </c>
      <c r="G1671" t="s">
        <v>4798</v>
      </c>
      <c r="H1671" t="s">
        <v>4805</v>
      </c>
      <c r="I1671">
        <v>13.99</v>
      </c>
      <c r="J1671">
        <v>1</v>
      </c>
      <c r="K1671">
        <v>1.1299999999999999</v>
      </c>
      <c r="L1671">
        <v>1</v>
      </c>
      <c r="M1671" t="s">
        <v>4810</v>
      </c>
      <c r="N1671" t="s">
        <v>4899</v>
      </c>
      <c r="O1671" t="s">
        <v>4910</v>
      </c>
    </row>
    <row r="1672" spans="1:15" x14ac:dyDescent="0.35">
      <c r="A1672" t="s">
        <v>1660</v>
      </c>
      <c r="B1672">
        <v>53</v>
      </c>
      <c r="C1672" t="s">
        <v>4803</v>
      </c>
      <c r="D1672" t="s">
        <v>15</v>
      </c>
      <c r="E1672">
        <v>53</v>
      </c>
      <c r="F1672">
        <v>12</v>
      </c>
      <c r="G1672" t="s">
        <v>4799</v>
      </c>
      <c r="H1672" t="s">
        <v>4804</v>
      </c>
      <c r="I1672">
        <v>17.989999999999998</v>
      </c>
      <c r="J1672">
        <v>3</v>
      </c>
      <c r="K1672">
        <v>1.77</v>
      </c>
      <c r="L1672">
        <v>0</v>
      </c>
      <c r="M1672" t="s">
        <v>4809</v>
      </c>
      <c r="N1672" t="s">
        <v>4900</v>
      </c>
      <c r="O1672" t="s">
        <v>4910</v>
      </c>
    </row>
    <row r="1673" spans="1:15" x14ac:dyDescent="0.35">
      <c r="A1673" t="s">
        <v>1661</v>
      </c>
      <c r="B1673">
        <v>51</v>
      </c>
      <c r="C1673" t="s">
        <v>4802</v>
      </c>
      <c r="D1673" t="s">
        <v>13</v>
      </c>
      <c r="E1673">
        <v>54</v>
      </c>
      <c r="F1673">
        <v>36</v>
      </c>
      <c r="G1673" t="s">
        <v>4799</v>
      </c>
      <c r="H1673" t="s">
        <v>4805</v>
      </c>
      <c r="I1673">
        <v>13.99</v>
      </c>
      <c r="J1673">
        <v>4</v>
      </c>
      <c r="K1673">
        <v>1.8</v>
      </c>
      <c r="L1673">
        <v>0</v>
      </c>
      <c r="M1673" t="s">
        <v>4810</v>
      </c>
      <c r="N1673" t="s">
        <v>4900</v>
      </c>
      <c r="O1673" t="s">
        <v>4910</v>
      </c>
    </row>
    <row r="1674" spans="1:15" x14ac:dyDescent="0.35">
      <c r="A1674" t="s">
        <v>1662</v>
      </c>
      <c r="B1674">
        <v>56</v>
      </c>
      <c r="C1674" t="s">
        <v>4802</v>
      </c>
      <c r="D1674" t="s">
        <v>13</v>
      </c>
      <c r="E1674">
        <v>32</v>
      </c>
      <c r="F1674">
        <v>41</v>
      </c>
      <c r="G1674" t="s">
        <v>4799</v>
      </c>
      <c r="H1674" t="s">
        <v>4805</v>
      </c>
      <c r="I1674">
        <v>13.99</v>
      </c>
      <c r="J1674">
        <v>1</v>
      </c>
      <c r="K1674">
        <v>1.07</v>
      </c>
      <c r="L1674">
        <v>0</v>
      </c>
      <c r="M1674" t="s">
        <v>4808</v>
      </c>
      <c r="N1674" t="s">
        <v>4900</v>
      </c>
      <c r="O1674" t="s">
        <v>4911</v>
      </c>
    </row>
    <row r="1675" spans="1:15" x14ac:dyDescent="0.35">
      <c r="A1675" t="s">
        <v>1663</v>
      </c>
      <c r="B1675">
        <v>37</v>
      </c>
      <c r="C1675" t="s">
        <v>4803</v>
      </c>
      <c r="D1675" t="s">
        <v>15</v>
      </c>
      <c r="E1675">
        <v>82</v>
      </c>
      <c r="F1675">
        <v>10</v>
      </c>
      <c r="G1675" t="s">
        <v>4798</v>
      </c>
      <c r="H1675" t="s">
        <v>4805</v>
      </c>
      <c r="I1675">
        <v>17.989999999999998</v>
      </c>
      <c r="J1675">
        <v>4</v>
      </c>
      <c r="K1675">
        <v>2.73</v>
      </c>
      <c r="L1675">
        <v>0</v>
      </c>
      <c r="M1675" t="s">
        <v>4809</v>
      </c>
      <c r="N1675" t="s">
        <v>4900</v>
      </c>
      <c r="O1675" t="s">
        <v>4910</v>
      </c>
    </row>
    <row r="1676" spans="1:15" x14ac:dyDescent="0.35">
      <c r="A1676" t="s">
        <v>1664</v>
      </c>
      <c r="B1676">
        <v>29</v>
      </c>
      <c r="C1676" t="s">
        <v>4802</v>
      </c>
      <c r="D1676" t="s">
        <v>13</v>
      </c>
      <c r="E1676">
        <v>51</v>
      </c>
      <c r="F1676">
        <v>24</v>
      </c>
      <c r="G1676" t="s">
        <v>4798</v>
      </c>
      <c r="H1676" t="s">
        <v>4804</v>
      </c>
      <c r="I1676">
        <v>13.99</v>
      </c>
      <c r="J1676">
        <v>1</v>
      </c>
      <c r="K1676">
        <v>1.7</v>
      </c>
      <c r="L1676">
        <v>1</v>
      </c>
      <c r="M1676" t="s">
        <v>4810</v>
      </c>
      <c r="N1676" t="s">
        <v>4899</v>
      </c>
      <c r="O1676" t="s">
        <v>4912</v>
      </c>
    </row>
    <row r="1677" spans="1:15" x14ac:dyDescent="0.35">
      <c r="A1677" t="s">
        <v>1665</v>
      </c>
      <c r="B1677">
        <v>23</v>
      </c>
      <c r="C1677" t="s">
        <v>4802</v>
      </c>
      <c r="D1677" t="s">
        <v>14</v>
      </c>
      <c r="E1677">
        <v>41</v>
      </c>
      <c r="F1677">
        <v>33</v>
      </c>
      <c r="G1677" t="s">
        <v>4798</v>
      </c>
      <c r="H1677" t="s">
        <v>4805</v>
      </c>
      <c r="I1677">
        <v>8.99</v>
      </c>
      <c r="J1677">
        <v>2</v>
      </c>
      <c r="K1677">
        <v>1.37</v>
      </c>
      <c r="L1677">
        <v>0</v>
      </c>
      <c r="M1677" t="s">
        <v>4809</v>
      </c>
      <c r="N1677" t="s">
        <v>4900</v>
      </c>
      <c r="O1677" t="s">
        <v>4912</v>
      </c>
    </row>
    <row r="1678" spans="1:15" x14ac:dyDescent="0.35">
      <c r="A1678" t="s">
        <v>1666</v>
      </c>
      <c r="B1678">
        <v>20</v>
      </c>
      <c r="C1678" t="s">
        <v>4803</v>
      </c>
      <c r="D1678" t="s">
        <v>15</v>
      </c>
      <c r="E1678">
        <v>116</v>
      </c>
      <c r="F1678">
        <v>39</v>
      </c>
      <c r="G1678" t="s">
        <v>4797</v>
      </c>
      <c r="H1678" t="s">
        <v>4805</v>
      </c>
      <c r="I1678">
        <v>17.989999999999998</v>
      </c>
      <c r="J1678">
        <v>4</v>
      </c>
      <c r="K1678">
        <v>3.87</v>
      </c>
      <c r="L1678">
        <v>0</v>
      </c>
      <c r="M1678" t="s">
        <v>4812</v>
      </c>
      <c r="N1678" t="s">
        <v>4900</v>
      </c>
      <c r="O1678" t="s">
        <v>4912</v>
      </c>
    </row>
    <row r="1679" spans="1:15" x14ac:dyDescent="0.35">
      <c r="A1679" t="s">
        <v>1667</v>
      </c>
      <c r="B1679">
        <v>25</v>
      </c>
      <c r="C1679" t="s">
        <v>4803</v>
      </c>
      <c r="D1679" t="s">
        <v>13</v>
      </c>
      <c r="E1679">
        <v>59</v>
      </c>
      <c r="F1679">
        <v>36</v>
      </c>
      <c r="G1679" t="s">
        <v>4798</v>
      </c>
      <c r="H1679" t="s">
        <v>4804</v>
      </c>
      <c r="I1679">
        <v>13.99</v>
      </c>
      <c r="J1679">
        <v>4</v>
      </c>
      <c r="K1679">
        <v>1.97</v>
      </c>
      <c r="L1679">
        <v>1</v>
      </c>
      <c r="M1679" t="s">
        <v>4808</v>
      </c>
      <c r="N1679" t="s">
        <v>4899</v>
      </c>
      <c r="O1679" t="s">
        <v>4912</v>
      </c>
    </row>
    <row r="1680" spans="1:15" x14ac:dyDescent="0.35">
      <c r="A1680" t="s">
        <v>1668</v>
      </c>
      <c r="B1680">
        <v>38</v>
      </c>
      <c r="C1680" t="s">
        <v>4802</v>
      </c>
      <c r="D1680" t="s">
        <v>14</v>
      </c>
      <c r="E1680">
        <v>42</v>
      </c>
      <c r="F1680">
        <v>33</v>
      </c>
      <c r="G1680" t="s">
        <v>4799</v>
      </c>
      <c r="H1680" t="s">
        <v>4806</v>
      </c>
      <c r="I1680">
        <v>8.99</v>
      </c>
      <c r="J1680">
        <v>1</v>
      </c>
      <c r="K1680">
        <v>1.4</v>
      </c>
      <c r="L1680">
        <v>0</v>
      </c>
      <c r="M1680" t="s">
        <v>4809</v>
      </c>
      <c r="N1680" t="s">
        <v>4900</v>
      </c>
      <c r="O1680" t="s">
        <v>4910</v>
      </c>
    </row>
    <row r="1681" spans="1:15" x14ac:dyDescent="0.35">
      <c r="A1681" t="s">
        <v>1669</v>
      </c>
      <c r="B1681">
        <v>64</v>
      </c>
      <c r="C1681" t="s">
        <v>4802</v>
      </c>
      <c r="D1681" t="s">
        <v>13</v>
      </c>
      <c r="E1681">
        <v>34</v>
      </c>
      <c r="F1681">
        <v>1</v>
      </c>
      <c r="G1681" t="s">
        <v>4799</v>
      </c>
      <c r="H1681" t="s">
        <v>4805</v>
      </c>
      <c r="I1681">
        <v>13.99</v>
      </c>
      <c r="J1681">
        <v>4</v>
      </c>
      <c r="K1681">
        <v>1.1299999999999999</v>
      </c>
      <c r="L1681">
        <v>0</v>
      </c>
      <c r="M1681" t="s">
        <v>4810</v>
      </c>
      <c r="N1681" t="s">
        <v>4900</v>
      </c>
      <c r="O1681" t="s">
        <v>4911</v>
      </c>
    </row>
    <row r="1682" spans="1:15" x14ac:dyDescent="0.35">
      <c r="A1682" t="s">
        <v>1670</v>
      </c>
      <c r="B1682">
        <v>29</v>
      </c>
      <c r="C1682" t="s">
        <v>4802</v>
      </c>
      <c r="D1682" t="s">
        <v>13</v>
      </c>
      <c r="E1682">
        <v>71</v>
      </c>
      <c r="F1682">
        <v>29</v>
      </c>
      <c r="G1682" t="s">
        <v>4797</v>
      </c>
      <c r="H1682" t="s">
        <v>4806</v>
      </c>
      <c r="I1682">
        <v>13.99</v>
      </c>
      <c r="J1682">
        <v>4</v>
      </c>
      <c r="K1682">
        <v>2.37</v>
      </c>
      <c r="L1682">
        <v>0</v>
      </c>
      <c r="M1682" t="s">
        <v>4808</v>
      </c>
      <c r="N1682" t="s">
        <v>4900</v>
      </c>
      <c r="O1682" t="s">
        <v>4912</v>
      </c>
    </row>
    <row r="1683" spans="1:15" x14ac:dyDescent="0.35">
      <c r="A1683" t="s">
        <v>1671</v>
      </c>
      <c r="B1683">
        <v>64</v>
      </c>
      <c r="C1683" t="s">
        <v>4803</v>
      </c>
      <c r="D1683" t="s">
        <v>13</v>
      </c>
      <c r="E1683">
        <v>60</v>
      </c>
      <c r="F1683">
        <v>23</v>
      </c>
      <c r="G1683" t="s">
        <v>4797</v>
      </c>
      <c r="H1683" t="s">
        <v>4805</v>
      </c>
      <c r="I1683">
        <v>13.99</v>
      </c>
      <c r="J1683">
        <v>3</v>
      </c>
      <c r="K1683">
        <v>2</v>
      </c>
      <c r="L1683">
        <v>1</v>
      </c>
      <c r="M1683" t="s">
        <v>4810</v>
      </c>
      <c r="N1683" t="s">
        <v>4899</v>
      </c>
      <c r="O1683" t="s">
        <v>4911</v>
      </c>
    </row>
    <row r="1684" spans="1:15" x14ac:dyDescent="0.35">
      <c r="A1684" t="s">
        <v>1672</v>
      </c>
      <c r="B1684">
        <v>35</v>
      </c>
      <c r="C1684" t="s">
        <v>4803</v>
      </c>
      <c r="D1684" t="s">
        <v>13</v>
      </c>
      <c r="E1684">
        <v>30</v>
      </c>
      <c r="F1684">
        <v>38</v>
      </c>
      <c r="G1684" t="s">
        <v>4800</v>
      </c>
      <c r="H1684" t="s">
        <v>4806</v>
      </c>
      <c r="I1684">
        <v>13.99</v>
      </c>
      <c r="J1684">
        <v>1</v>
      </c>
      <c r="K1684">
        <v>1</v>
      </c>
      <c r="L1684">
        <v>0</v>
      </c>
      <c r="M1684" t="s">
        <v>4809</v>
      </c>
      <c r="N1684" t="s">
        <v>4900</v>
      </c>
      <c r="O1684" t="s">
        <v>4910</v>
      </c>
    </row>
    <row r="1685" spans="1:15" x14ac:dyDescent="0.35">
      <c r="A1685" t="s">
        <v>1673</v>
      </c>
      <c r="B1685">
        <v>45</v>
      </c>
      <c r="C1685" t="s">
        <v>4802</v>
      </c>
      <c r="D1685" t="s">
        <v>14</v>
      </c>
      <c r="E1685">
        <v>36</v>
      </c>
      <c r="F1685">
        <v>34</v>
      </c>
      <c r="G1685" t="s">
        <v>4798</v>
      </c>
      <c r="H1685" t="s">
        <v>4805</v>
      </c>
      <c r="I1685">
        <v>8.99</v>
      </c>
      <c r="J1685">
        <v>1</v>
      </c>
      <c r="K1685">
        <v>1.2</v>
      </c>
      <c r="L1685">
        <v>0</v>
      </c>
      <c r="M1685" t="s">
        <v>4808</v>
      </c>
      <c r="N1685" t="s">
        <v>4900</v>
      </c>
      <c r="O1685" t="s">
        <v>4910</v>
      </c>
    </row>
    <row r="1686" spans="1:15" x14ac:dyDescent="0.35">
      <c r="A1686" t="s">
        <v>1674</v>
      </c>
      <c r="B1686">
        <v>25</v>
      </c>
      <c r="C1686" t="s">
        <v>4802</v>
      </c>
      <c r="D1686" t="s">
        <v>15</v>
      </c>
      <c r="E1686">
        <v>61</v>
      </c>
      <c r="F1686">
        <v>10</v>
      </c>
      <c r="G1686" t="s">
        <v>4797</v>
      </c>
      <c r="H1686" t="s">
        <v>4805</v>
      </c>
      <c r="I1686">
        <v>17.989999999999998</v>
      </c>
      <c r="J1686">
        <v>5</v>
      </c>
      <c r="K1686">
        <v>5</v>
      </c>
      <c r="L1686">
        <v>0</v>
      </c>
      <c r="M1686" t="s">
        <v>4809</v>
      </c>
      <c r="N1686" t="s">
        <v>4900</v>
      </c>
      <c r="O1686" t="s">
        <v>4912</v>
      </c>
    </row>
    <row r="1687" spans="1:15" x14ac:dyDescent="0.35">
      <c r="A1687" t="s">
        <v>1675</v>
      </c>
      <c r="B1687">
        <v>58</v>
      </c>
      <c r="C1687" t="s">
        <v>4803</v>
      </c>
      <c r="D1687" t="s">
        <v>13</v>
      </c>
      <c r="E1687">
        <v>51</v>
      </c>
      <c r="F1687">
        <v>28</v>
      </c>
      <c r="G1687" t="s">
        <v>4799</v>
      </c>
      <c r="H1687" t="s">
        <v>4805</v>
      </c>
      <c r="I1687">
        <v>13.99</v>
      </c>
      <c r="J1687">
        <v>4</v>
      </c>
      <c r="K1687">
        <v>1.7</v>
      </c>
      <c r="L1687">
        <v>0</v>
      </c>
      <c r="M1687" t="s">
        <v>4812</v>
      </c>
      <c r="N1687" t="s">
        <v>4900</v>
      </c>
      <c r="O1687" t="s">
        <v>4911</v>
      </c>
    </row>
    <row r="1688" spans="1:15" x14ac:dyDescent="0.35">
      <c r="A1688" t="s">
        <v>1676</v>
      </c>
      <c r="B1688">
        <v>34</v>
      </c>
      <c r="C1688" t="s">
        <v>4803</v>
      </c>
      <c r="D1688" t="s">
        <v>13</v>
      </c>
      <c r="E1688">
        <v>63</v>
      </c>
      <c r="F1688">
        <v>5</v>
      </c>
      <c r="G1688" t="s">
        <v>4798</v>
      </c>
      <c r="H1688" t="s">
        <v>4805</v>
      </c>
      <c r="I1688">
        <v>13.99</v>
      </c>
      <c r="J1688">
        <v>1</v>
      </c>
      <c r="K1688">
        <v>2.1</v>
      </c>
      <c r="L1688">
        <v>1</v>
      </c>
      <c r="M1688" t="s">
        <v>4809</v>
      </c>
      <c r="N1688" t="s">
        <v>4899</v>
      </c>
      <c r="O1688" t="s">
        <v>4912</v>
      </c>
    </row>
    <row r="1689" spans="1:15" x14ac:dyDescent="0.35">
      <c r="A1689" t="s">
        <v>1677</v>
      </c>
      <c r="B1689">
        <v>38</v>
      </c>
      <c r="C1689" t="s">
        <v>4802</v>
      </c>
      <c r="D1689" t="s">
        <v>15</v>
      </c>
      <c r="E1689">
        <v>109</v>
      </c>
      <c r="F1689">
        <v>38</v>
      </c>
      <c r="G1689" t="s">
        <v>4799</v>
      </c>
      <c r="H1689" t="s">
        <v>4805</v>
      </c>
      <c r="I1689">
        <v>17.989999999999998</v>
      </c>
      <c r="J1689">
        <v>5</v>
      </c>
      <c r="K1689">
        <v>3.63</v>
      </c>
      <c r="L1689">
        <v>0</v>
      </c>
      <c r="M1689" t="s">
        <v>4808</v>
      </c>
      <c r="N1689" t="s">
        <v>4900</v>
      </c>
      <c r="O1689" t="s">
        <v>4910</v>
      </c>
    </row>
    <row r="1690" spans="1:15" x14ac:dyDescent="0.35">
      <c r="A1690" t="s">
        <v>1678</v>
      </c>
      <c r="B1690">
        <v>57</v>
      </c>
      <c r="C1690" t="s">
        <v>4802</v>
      </c>
      <c r="D1690" t="s">
        <v>15</v>
      </c>
      <c r="E1690">
        <v>105</v>
      </c>
      <c r="F1690">
        <v>30</v>
      </c>
      <c r="G1690" t="s">
        <v>4799</v>
      </c>
      <c r="H1690" t="s">
        <v>4805</v>
      </c>
      <c r="I1690">
        <v>17.989999999999998</v>
      </c>
      <c r="J1690">
        <v>2</v>
      </c>
      <c r="K1690">
        <v>3.5</v>
      </c>
      <c r="L1690">
        <v>0</v>
      </c>
      <c r="M1690" t="s">
        <v>4809</v>
      </c>
      <c r="N1690" t="s">
        <v>4900</v>
      </c>
      <c r="O1690" t="s">
        <v>4911</v>
      </c>
    </row>
    <row r="1691" spans="1:15" x14ac:dyDescent="0.35">
      <c r="A1691" t="s">
        <v>1679</v>
      </c>
      <c r="B1691">
        <v>50</v>
      </c>
      <c r="C1691" t="s">
        <v>4802</v>
      </c>
      <c r="D1691" t="s">
        <v>13</v>
      </c>
      <c r="E1691">
        <v>62</v>
      </c>
      <c r="F1691">
        <v>56</v>
      </c>
      <c r="G1691" t="s">
        <v>4797</v>
      </c>
      <c r="H1691" t="s">
        <v>4804</v>
      </c>
      <c r="I1691">
        <v>13.99</v>
      </c>
      <c r="J1691">
        <v>1</v>
      </c>
      <c r="K1691">
        <v>2.0699999999999998</v>
      </c>
      <c r="L1691">
        <v>0</v>
      </c>
      <c r="M1691" t="s">
        <v>4808</v>
      </c>
      <c r="N1691" t="s">
        <v>4900</v>
      </c>
      <c r="O1691" t="s">
        <v>4910</v>
      </c>
    </row>
    <row r="1692" spans="1:15" x14ac:dyDescent="0.35">
      <c r="A1692" t="s">
        <v>1680</v>
      </c>
      <c r="B1692">
        <v>37</v>
      </c>
      <c r="C1692" t="s">
        <v>4802</v>
      </c>
      <c r="D1692" t="s">
        <v>13</v>
      </c>
      <c r="E1692">
        <v>40</v>
      </c>
      <c r="F1692">
        <v>3</v>
      </c>
      <c r="G1692" t="s">
        <v>4799</v>
      </c>
      <c r="H1692" t="s">
        <v>4805</v>
      </c>
      <c r="I1692">
        <v>13.99</v>
      </c>
      <c r="J1692">
        <v>2</v>
      </c>
      <c r="K1692">
        <v>5</v>
      </c>
      <c r="L1692">
        <v>0</v>
      </c>
      <c r="M1692" t="s">
        <v>4810</v>
      </c>
      <c r="N1692" t="s">
        <v>4900</v>
      </c>
      <c r="O1692" t="s">
        <v>4910</v>
      </c>
    </row>
    <row r="1693" spans="1:15" x14ac:dyDescent="0.35">
      <c r="A1693" t="s">
        <v>1681</v>
      </c>
      <c r="B1693">
        <v>27</v>
      </c>
      <c r="C1693" t="s">
        <v>4803</v>
      </c>
      <c r="D1693" t="s">
        <v>15</v>
      </c>
      <c r="E1693">
        <v>104</v>
      </c>
      <c r="F1693">
        <v>9</v>
      </c>
      <c r="G1693" t="s">
        <v>4798</v>
      </c>
      <c r="H1693" t="s">
        <v>4804</v>
      </c>
      <c r="I1693">
        <v>17.989999999999998</v>
      </c>
      <c r="J1693">
        <v>5</v>
      </c>
      <c r="K1693">
        <v>3.47</v>
      </c>
      <c r="L1693">
        <v>0</v>
      </c>
      <c r="M1693" t="s">
        <v>4811</v>
      </c>
      <c r="N1693" t="s">
        <v>4900</v>
      </c>
      <c r="O1693" t="s">
        <v>4912</v>
      </c>
    </row>
    <row r="1694" spans="1:15" x14ac:dyDescent="0.35">
      <c r="A1694" t="s">
        <v>1682</v>
      </c>
      <c r="B1694">
        <v>41</v>
      </c>
      <c r="C1694" t="s">
        <v>4802</v>
      </c>
      <c r="D1694" t="s">
        <v>13</v>
      </c>
      <c r="E1694">
        <v>76</v>
      </c>
      <c r="F1694">
        <v>48</v>
      </c>
      <c r="G1694" t="s">
        <v>4797</v>
      </c>
      <c r="H1694" t="s">
        <v>4806</v>
      </c>
      <c r="I1694">
        <v>13.99</v>
      </c>
      <c r="J1694">
        <v>1</v>
      </c>
      <c r="K1694">
        <v>2.5299999999999998</v>
      </c>
      <c r="L1694">
        <v>1</v>
      </c>
      <c r="M1694" t="s">
        <v>4812</v>
      </c>
      <c r="N1694" t="s">
        <v>4899</v>
      </c>
      <c r="O1694" t="s">
        <v>4910</v>
      </c>
    </row>
    <row r="1695" spans="1:15" x14ac:dyDescent="0.35">
      <c r="A1695" t="s">
        <v>1683</v>
      </c>
      <c r="B1695">
        <v>47</v>
      </c>
      <c r="C1695" t="s">
        <v>4802</v>
      </c>
      <c r="D1695" t="s">
        <v>13</v>
      </c>
      <c r="E1695">
        <v>75</v>
      </c>
      <c r="F1695">
        <v>20</v>
      </c>
      <c r="G1695" t="s">
        <v>4799</v>
      </c>
      <c r="H1695" t="s">
        <v>4805</v>
      </c>
      <c r="I1695">
        <v>13.99</v>
      </c>
      <c r="J1695">
        <v>2</v>
      </c>
      <c r="K1695">
        <v>2.5</v>
      </c>
      <c r="L1695">
        <v>0</v>
      </c>
      <c r="M1695" t="s">
        <v>4808</v>
      </c>
      <c r="N1695" t="s">
        <v>4900</v>
      </c>
      <c r="O1695" t="s">
        <v>4910</v>
      </c>
    </row>
    <row r="1696" spans="1:15" x14ac:dyDescent="0.35">
      <c r="A1696" t="s">
        <v>1684</v>
      </c>
      <c r="B1696">
        <v>54</v>
      </c>
      <c r="C1696" t="s">
        <v>4802</v>
      </c>
      <c r="D1696" t="s">
        <v>13</v>
      </c>
      <c r="E1696">
        <v>61</v>
      </c>
      <c r="F1696">
        <v>21</v>
      </c>
      <c r="G1696" t="s">
        <v>4798</v>
      </c>
      <c r="H1696" t="s">
        <v>4807</v>
      </c>
      <c r="I1696">
        <v>13.99</v>
      </c>
      <c r="J1696">
        <v>2</v>
      </c>
      <c r="K1696">
        <v>2.0299999999999998</v>
      </c>
      <c r="L1696">
        <v>0</v>
      </c>
      <c r="M1696" t="s">
        <v>4808</v>
      </c>
      <c r="N1696" t="s">
        <v>4900</v>
      </c>
      <c r="O1696" t="s">
        <v>4910</v>
      </c>
    </row>
    <row r="1697" spans="1:15" x14ac:dyDescent="0.35">
      <c r="A1697" t="s">
        <v>1685</v>
      </c>
      <c r="B1697">
        <v>29</v>
      </c>
      <c r="C1697" t="s">
        <v>4803</v>
      </c>
      <c r="D1697" t="s">
        <v>13</v>
      </c>
      <c r="E1697">
        <v>61</v>
      </c>
      <c r="F1697">
        <v>2</v>
      </c>
      <c r="G1697" t="s">
        <v>4798</v>
      </c>
      <c r="H1697" t="s">
        <v>4805</v>
      </c>
      <c r="I1697">
        <v>13.99</v>
      </c>
      <c r="J1697">
        <v>3</v>
      </c>
      <c r="K1697">
        <v>2.0299999999999998</v>
      </c>
      <c r="L1697">
        <v>0</v>
      </c>
      <c r="M1697" t="s">
        <v>4810</v>
      </c>
      <c r="N1697" t="s">
        <v>4900</v>
      </c>
      <c r="O1697" t="s">
        <v>4912</v>
      </c>
    </row>
    <row r="1698" spans="1:15" x14ac:dyDescent="0.35">
      <c r="A1698" t="s">
        <v>1686</v>
      </c>
      <c r="B1698">
        <v>41</v>
      </c>
      <c r="C1698" t="s">
        <v>4802</v>
      </c>
      <c r="D1698" t="s">
        <v>13</v>
      </c>
      <c r="E1698">
        <v>65</v>
      </c>
      <c r="F1698">
        <v>56</v>
      </c>
      <c r="G1698" t="s">
        <v>4799</v>
      </c>
      <c r="H1698" t="s">
        <v>4806</v>
      </c>
      <c r="I1698">
        <v>13.99</v>
      </c>
      <c r="J1698">
        <v>3</v>
      </c>
      <c r="K1698">
        <v>2.17</v>
      </c>
      <c r="L1698">
        <v>1</v>
      </c>
      <c r="M1698" t="s">
        <v>4810</v>
      </c>
      <c r="N1698" t="s">
        <v>4899</v>
      </c>
      <c r="O1698" t="s">
        <v>4910</v>
      </c>
    </row>
    <row r="1699" spans="1:15" x14ac:dyDescent="0.35">
      <c r="A1699" t="s">
        <v>1687</v>
      </c>
      <c r="B1699">
        <v>22</v>
      </c>
      <c r="C1699" t="s">
        <v>4803</v>
      </c>
      <c r="D1699" t="s">
        <v>13</v>
      </c>
      <c r="E1699">
        <v>64</v>
      </c>
      <c r="F1699">
        <v>3</v>
      </c>
      <c r="G1699" t="s">
        <v>4798</v>
      </c>
      <c r="H1699" t="s">
        <v>4805</v>
      </c>
      <c r="I1699">
        <v>13.99</v>
      </c>
      <c r="J1699">
        <v>2</v>
      </c>
      <c r="K1699">
        <v>2.13</v>
      </c>
      <c r="L1699">
        <v>0</v>
      </c>
      <c r="M1699" t="s">
        <v>4809</v>
      </c>
      <c r="N1699" t="s">
        <v>4900</v>
      </c>
      <c r="O1699" t="s">
        <v>4912</v>
      </c>
    </row>
    <row r="1700" spans="1:15" x14ac:dyDescent="0.35">
      <c r="A1700" t="s">
        <v>1688</v>
      </c>
      <c r="B1700">
        <v>21</v>
      </c>
      <c r="C1700" t="s">
        <v>4803</v>
      </c>
      <c r="D1700" t="s">
        <v>15</v>
      </c>
      <c r="E1700">
        <v>77</v>
      </c>
      <c r="F1700">
        <v>16</v>
      </c>
      <c r="G1700" t="s">
        <v>4798</v>
      </c>
      <c r="H1700" t="s">
        <v>4805</v>
      </c>
      <c r="I1700">
        <v>17.989999999999998</v>
      </c>
      <c r="J1700">
        <v>3</v>
      </c>
      <c r="K1700">
        <v>2.57</v>
      </c>
      <c r="L1700">
        <v>0</v>
      </c>
      <c r="M1700" t="s">
        <v>4812</v>
      </c>
      <c r="N1700" t="s">
        <v>4900</v>
      </c>
      <c r="O1700" t="s">
        <v>4912</v>
      </c>
    </row>
    <row r="1701" spans="1:15" x14ac:dyDescent="0.35">
      <c r="A1701" t="s">
        <v>1689</v>
      </c>
      <c r="B1701">
        <v>34</v>
      </c>
      <c r="C1701" t="s">
        <v>4802</v>
      </c>
      <c r="D1701" t="s">
        <v>13</v>
      </c>
      <c r="E1701">
        <v>55</v>
      </c>
      <c r="F1701">
        <v>40</v>
      </c>
      <c r="G1701" t="s">
        <v>4797</v>
      </c>
      <c r="H1701" t="s">
        <v>4805</v>
      </c>
      <c r="I1701">
        <v>13.99</v>
      </c>
      <c r="J1701">
        <v>1</v>
      </c>
      <c r="K1701">
        <v>2.0299999999999998</v>
      </c>
      <c r="L1701">
        <v>0</v>
      </c>
      <c r="M1701" t="s">
        <v>4812</v>
      </c>
      <c r="N1701" t="s">
        <v>4900</v>
      </c>
      <c r="O1701" t="s">
        <v>4912</v>
      </c>
    </row>
    <row r="1702" spans="1:15" x14ac:dyDescent="0.35">
      <c r="A1702" t="s">
        <v>1690</v>
      </c>
      <c r="B1702">
        <v>30</v>
      </c>
      <c r="C1702" t="s">
        <v>4803</v>
      </c>
      <c r="D1702" t="s">
        <v>15</v>
      </c>
      <c r="E1702">
        <v>52</v>
      </c>
      <c r="F1702">
        <v>10</v>
      </c>
      <c r="G1702" t="s">
        <v>4797</v>
      </c>
      <c r="H1702" t="s">
        <v>4805</v>
      </c>
      <c r="I1702">
        <v>17.989999999999998</v>
      </c>
      <c r="J1702">
        <v>2</v>
      </c>
      <c r="K1702">
        <v>2.0299999999999998</v>
      </c>
      <c r="L1702">
        <v>0</v>
      </c>
      <c r="M1702" t="s">
        <v>4812</v>
      </c>
      <c r="N1702" t="s">
        <v>4900</v>
      </c>
      <c r="O1702" t="s">
        <v>4912</v>
      </c>
    </row>
    <row r="1703" spans="1:15" x14ac:dyDescent="0.35">
      <c r="A1703" t="s">
        <v>1691</v>
      </c>
      <c r="B1703">
        <v>58</v>
      </c>
      <c r="C1703" t="s">
        <v>4802</v>
      </c>
      <c r="D1703" t="s">
        <v>13</v>
      </c>
      <c r="E1703">
        <v>50</v>
      </c>
      <c r="F1703">
        <v>50</v>
      </c>
      <c r="G1703" t="s">
        <v>4797</v>
      </c>
      <c r="H1703" t="s">
        <v>4804</v>
      </c>
      <c r="I1703">
        <v>13.99</v>
      </c>
      <c r="J1703">
        <v>2</v>
      </c>
      <c r="K1703">
        <v>1.67</v>
      </c>
      <c r="L1703">
        <v>1</v>
      </c>
      <c r="M1703" t="s">
        <v>4810</v>
      </c>
      <c r="N1703" t="s">
        <v>4899</v>
      </c>
      <c r="O1703" t="s">
        <v>4911</v>
      </c>
    </row>
    <row r="1704" spans="1:15" x14ac:dyDescent="0.35">
      <c r="A1704" t="s">
        <v>1692</v>
      </c>
      <c r="B1704">
        <v>58</v>
      </c>
      <c r="C1704" t="s">
        <v>4803</v>
      </c>
      <c r="D1704" t="s">
        <v>15</v>
      </c>
      <c r="E1704">
        <v>76</v>
      </c>
      <c r="F1704">
        <v>38</v>
      </c>
      <c r="G1704" t="s">
        <v>4798</v>
      </c>
      <c r="H1704" t="s">
        <v>4804</v>
      </c>
      <c r="I1704">
        <v>17.989999999999998</v>
      </c>
      <c r="J1704">
        <v>5</v>
      </c>
      <c r="K1704">
        <v>2.5299999999999998</v>
      </c>
      <c r="L1704">
        <v>0</v>
      </c>
      <c r="M1704" t="s">
        <v>4811</v>
      </c>
      <c r="N1704" t="s">
        <v>4900</v>
      </c>
      <c r="O1704" t="s">
        <v>4911</v>
      </c>
    </row>
    <row r="1705" spans="1:15" x14ac:dyDescent="0.35">
      <c r="A1705" t="s">
        <v>1693</v>
      </c>
      <c r="B1705">
        <v>40</v>
      </c>
      <c r="C1705" t="s">
        <v>4802</v>
      </c>
      <c r="D1705" t="s">
        <v>15</v>
      </c>
      <c r="E1705">
        <v>52</v>
      </c>
      <c r="F1705">
        <v>40</v>
      </c>
      <c r="G1705" t="s">
        <v>4798</v>
      </c>
      <c r="H1705" t="s">
        <v>4805</v>
      </c>
      <c r="I1705">
        <v>17.989999999999998</v>
      </c>
      <c r="J1705">
        <v>4</v>
      </c>
      <c r="K1705">
        <v>1.73</v>
      </c>
      <c r="L1705">
        <v>0</v>
      </c>
      <c r="M1705" t="s">
        <v>4808</v>
      </c>
      <c r="N1705" t="s">
        <v>4900</v>
      </c>
      <c r="O1705" t="s">
        <v>4910</v>
      </c>
    </row>
    <row r="1706" spans="1:15" x14ac:dyDescent="0.35">
      <c r="A1706" t="s">
        <v>1694</v>
      </c>
      <c r="B1706">
        <v>33</v>
      </c>
      <c r="C1706" t="s">
        <v>4803</v>
      </c>
      <c r="D1706" t="s">
        <v>13</v>
      </c>
      <c r="E1706">
        <v>42</v>
      </c>
      <c r="F1706">
        <v>55</v>
      </c>
      <c r="G1706" t="s">
        <v>4799</v>
      </c>
      <c r="H1706" t="s">
        <v>4806</v>
      </c>
      <c r="I1706">
        <v>13.99</v>
      </c>
      <c r="J1706">
        <v>4</v>
      </c>
      <c r="K1706">
        <v>1.4</v>
      </c>
      <c r="L1706">
        <v>1</v>
      </c>
      <c r="M1706" t="s">
        <v>4810</v>
      </c>
      <c r="N1706" t="s">
        <v>4899</v>
      </c>
      <c r="O1706" t="s">
        <v>4912</v>
      </c>
    </row>
    <row r="1707" spans="1:15" x14ac:dyDescent="0.35">
      <c r="A1707" t="s">
        <v>1695</v>
      </c>
      <c r="B1707">
        <v>52</v>
      </c>
      <c r="C1707" t="s">
        <v>4803</v>
      </c>
      <c r="D1707" t="s">
        <v>15</v>
      </c>
      <c r="E1707">
        <v>78</v>
      </c>
      <c r="F1707">
        <v>52</v>
      </c>
      <c r="G1707" t="s">
        <v>4798</v>
      </c>
      <c r="H1707" t="s">
        <v>4804</v>
      </c>
      <c r="I1707">
        <v>17.989999999999998</v>
      </c>
      <c r="J1707">
        <v>3</v>
      </c>
      <c r="K1707">
        <v>2.6</v>
      </c>
      <c r="L1707">
        <v>0</v>
      </c>
      <c r="M1707" t="s">
        <v>4812</v>
      </c>
      <c r="N1707" t="s">
        <v>4900</v>
      </c>
      <c r="O1707" t="s">
        <v>4910</v>
      </c>
    </row>
    <row r="1708" spans="1:15" x14ac:dyDescent="0.35">
      <c r="A1708" t="s">
        <v>1696</v>
      </c>
      <c r="B1708">
        <v>52</v>
      </c>
      <c r="C1708" t="s">
        <v>4802</v>
      </c>
      <c r="D1708" t="s">
        <v>13</v>
      </c>
      <c r="E1708">
        <v>72</v>
      </c>
      <c r="F1708">
        <v>42</v>
      </c>
      <c r="G1708" t="s">
        <v>4797</v>
      </c>
      <c r="H1708" t="s">
        <v>4806</v>
      </c>
      <c r="I1708">
        <v>13.99</v>
      </c>
      <c r="J1708">
        <v>3</v>
      </c>
      <c r="K1708">
        <v>2.4</v>
      </c>
      <c r="L1708">
        <v>0</v>
      </c>
      <c r="M1708" t="s">
        <v>4809</v>
      </c>
      <c r="N1708" t="s">
        <v>4900</v>
      </c>
      <c r="O1708" t="s">
        <v>4910</v>
      </c>
    </row>
    <row r="1709" spans="1:15" x14ac:dyDescent="0.35">
      <c r="A1709" t="s">
        <v>1697</v>
      </c>
      <c r="B1709">
        <v>59</v>
      </c>
      <c r="C1709" t="s">
        <v>4803</v>
      </c>
      <c r="D1709" t="s">
        <v>13</v>
      </c>
      <c r="E1709">
        <v>48</v>
      </c>
      <c r="F1709">
        <v>33</v>
      </c>
      <c r="G1709" t="s">
        <v>4797</v>
      </c>
      <c r="H1709" t="s">
        <v>4806</v>
      </c>
      <c r="I1709">
        <v>13.99</v>
      </c>
      <c r="J1709">
        <v>1</v>
      </c>
      <c r="K1709">
        <v>1.6</v>
      </c>
      <c r="L1709">
        <v>1</v>
      </c>
      <c r="M1709" t="s">
        <v>4810</v>
      </c>
      <c r="N1709" t="s">
        <v>4899</v>
      </c>
      <c r="O1709" t="s">
        <v>4911</v>
      </c>
    </row>
    <row r="1710" spans="1:15" x14ac:dyDescent="0.35">
      <c r="A1710" t="s">
        <v>1698</v>
      </c>
      <c r="B1710">
        <v>33</v>
      </c>
      <c r="C1710" t="s">
        <v>4802</v>
      </c>
      <c r="D1710" t="s">
        <v>13</v>
      </c>
      <c r="E1710">
        <v>65</v>
      </c>
      <c r="F1710">
        <v>999</v>
      </c>
      <c r="G1710" t="s">
        <v>4799</v>
      </c>
      <c r="H1710" t="s">
        <v>4805</v>
      </c>
      <c r="I1710">
        <v>13.99</v>
      </c>
      <c r="J1710">
        <v>1</v>
      </c>
      <c r="K1710">
        <v>2.17</v>
      </c>
      <c r="L1710">
        <v>1</v>
      </c>
      <c r="M1710" t="s">
        <v>4811</v>
      </c>
      <c r="N1710" t="s">
        <v>4899</v>
      </c>
      <c r="O1710" t="s">
        <v>4912</v>
      </c>
    </row>
    <row r="1711" spans="1:15" x14ac:dyDescent="0.35">
      <c r="A1711" t="s">
        <v>1699</v>
      </c>
      <c r="B1711">
        <v>40</v>
      </c>
      <c r="C1711" t="s">
        <v>4802</v>
      </c>
      <c r="D1711" t="s">
        <v>13</v>
      </c>
      <c r="E1711">
        <v>35</v>
      </c>
      <c r="F1711">
        <v>17</v>
      </c>
      <c r="G1711" t="s">
        <v>4798</v>
      </c>
      <c r="H1711" t="s">
        <v>4805</v>
      </c>
      <c r="I1711">
        <v>13.99</v>
      </c>
      <c r="J1711">
        <v>1</v>
      </c>
      <c r="K1711">
        <v>1.17</v>
      </c>
      <c r="L1711">
        <v>0</v>
      </c>
      <c r="M1711" t="s">
        <v>4810</v>
      </c>
      <c r="N1711" t="s">
        <v>4900</v>
      </c>
      <c r="O1711" t="s">
        <v>4910</v>
      </c>
    </row>
    <row r="1712" spans="1:15" x14ac:dyDescent="0.35">
      <c r="A1712" t="s">
        <v>1700</v>
      </c>
      <c r="B1712">
        <v>20</v>
      </c>
      <c r="C1712" t="s">
        <v>4803</v>
      </c>
      <c r="D1712" t="s">
        <v>13</v>
      </c>
      <c r="E1712">
        <v>57</v>
      </c>
      <c r="F1712">
        <v>35</v>
      </c>
      <c r="G1712" t="s">
        <v>4797</v>
      </c>
      <c r="H1712" t="s">
        <v>4805</v>
      </c>
      <c r="I1712">
        <v>13.99</v>
      </c>
      <c r="J1712">
        <v>3</v>
      </c>
      <c r="K1712">
        <v>2.0299999999999998</v>
      </c>
      <c r="L1712">
        <v>0</v>
      </c>
      <c r="M1712" t="s">
        <v>4812</v>
      </c>
      <c r="N1712" t="s">
        <v>4900</v>
      </c>
      <c r="O1712" t="s">
        <v>4912</v>
      </c>
    </row>
    <row r="1713" spans="1:15" x14ac:dyDescent="0.35">
      <c r="A1713" t="s">
        <v>1701</v>
      </c>
      <c r="B1713">
        <v>29</v>
      </c>
      <c r="C1713" t="s">
        <v>4803</v>
      </c>
      <c r="D1713" t="s">
        <v>15</v>
      </c>
      <c r="E1713">
        <v>86</v>
      </c>
      <c r="F1713">
        <v>4</v>
      </c>
      <c r="G1713" t="s">
        <v>4798</v>
      </c>
      <c r="H1713" t="s">
        <v>4804</v>
      </c>
      <c r="I1713">
        <v>17.989999999999998</v>
      </c>
      <c r="J1713">
        <v>3</v>
      </c>
      <c r="K1713">
        <v>2.87</v>
      </c>
      <c r="L1713">
        <v>0</v>
      </c>
      <c r="M1713" t="s">
        <v>4812</v>
      </c>
      <c r="N1713" t="s">
        <v>4900</v>
      </c>
      <c r="O1713" t="s">
        <v>4912</v>
      </c>
    </row>
    <row r="1714" spans="1:15" x14ac:dyDescent="0.35">
      <c r="A1714" t="s">
        <v>1702</v>
      </c>
      <c r="B1714">
        <v>28</v>
      </c>
      <c r="C1714" t="s">
        <v>4803</v>
      </c>
      <c r="D1714" t="s">
        <v>15</v>
      </c>
      <c r="E1714">
        <v>56</v>
      </c>
      <c r="F1714">
        <v>0</v>
      </c>
      <c r="G1714" t="s">
        <v>4800</v>
      </c>
      <c r="H1714" t="s">
        <v>4805</v>
      </c>
      <c r="I1714">
        <v>17.989999999999998</v>
      </c>
      <c r="J1714">
        <v>5</v>
      </c>
      <c r="K1714">
        <v>1.87</v>
      </c>
      <c r="L1714">
        <v>0</v>
      </c>
      <c r="M1714" t="s">
        <v>4812</v>
      </c>
      <c r="N1714" t="s">
        <v>4900</v>
      </c>
      <c r="O1714" t="s">
        <v>4912</v>
      </c>
    </row>
    <row r="1715" spans="1:15" x14ac:dyDescent="0.35">
      <c r="A1715" t="s">
        <v>1703</v>
      </c>
      <c r="B1715">
        <v>50</v>
      </c>
      <c r="C1715" t="s">
        <v>4802</v>
      </c>
      <c r="D1715" t="s">
        <v>13</v>
      </c>
      <c r="E1715">
        <v>76</v>
      </c>
      <c r="F1715">
        <v>41</v>
      </c>
      <c r="G1715" t="s">
        <v>4798</v>
      </c>
      <c r="H1715" t="s">
        <v>4804</v>
      </c>
      <c r="I1715">
        <v>13.99</v>
      </c>
      <c r="J1715">
        <v>3</v>
      </c>
      <c r="K1715">
        <v>2.5299999999999998</v>
      </c>
      <c r="L1715">
        <v>0</v>
      </c>
      <c r="M1715" t="s">
        <v>4811</v>
      </c>
      <c r="N1715" t="s">
        <v>4900</v>
      </c>
      <c r="O1715" t="s">
        <v>4910</v>
      </c>
    </row>
    <row r="1716" spans="1:15" x14ac:dyDescent="0.35">
      <c r="A1716" t="s">
        <v>4864</v>
      </c>
      <c r="B1716">
        <v>20</v>
      </c>
      <c r="C1716" t="s">
        <v>4803</v>
      </c>
      <c r="D1716" t="s">
        <v>15</v>
      </c>
      <c r="E1716">
        <v>120</v>
      </c>
      <c r="F1716">
        <v>40</v>
      </c>
      <c r="G1716" t="s">
        <v>4798</v>
      </c>
      <c r="H1716" t="s">
        <v>4804</v>
      </c>
      <c r="I1716">
        <v>17.989999999999998</v>
      </c>
      <c r="J1716">
        <v>3</v>
      </c>
      <c r="K1716">
        <v>5</v>
      </c>
      <c r="L1716">
        <v>0</v>
      </c>
      <c r="M1716" t="s">
        <v>4809</v>
      </c>
      <c r="N1716" t="s">
        <v>4900</v>
      </c>
      <c r="O1716" t="s">
        <v>4912</v>
      </c>
    </row>
    <row r="1717" spans="1:15" x14ac:dyDescent="0.35">
      <c r="A1717" t="s">
        <v>1704</v>
      </c>
      <c r="B1717">
        <v>28</v>
      </c>
      <c r="C1717" t="s">
        <v>4802</v>
      </c>
      <c r="D1717" t="s">
        <v>13</v>
      </c>
      <c r="E1717">
        <v>37</v>
      </c>
      <c r="F1717">
        <v>41</v>
      </c>
      <c r="G1717" t="s">
        <v>4798</v>
      </c>
      <c r="H1717" t="s">
        <v>4805</v>
      </c>
      <c r="I1717">
        <v>13.99</v>
      </c>
      <c r="J1717">
        <v>4</v>
      </c>
      <c r="K1717">
        <v>1.23</v>
      </c>
      <c r="L1717">
        <v>1</v>
      </c>
      <c r="M1717" t="s">
        <v>4811</v>
      </c>
      <c r="N1717" t="s">
        <v>4899</v>
      </c>
      <c r="O1717" t="s">
        <v>4912</v>
      </c>
    </row>
    <row r="1718" spans="1:15" x14ac:dyDescent="0.35">
      <c r="A1718" t="s">
        <v>1705</v>
      </c>
      <c r="B1718">
        <v>31</v>
      </c>
      <c r="C1718" t="s">
        <v>4803</v>
      </c>
      <c r="D1718" t="s">
        <v>13</v>
      </c>
      <c r="E1718">
        <v>38</v>
      </c>
      <c r="F1718">
        <v>999</v>
      </c>
      <c r="G1718" t="s">
        <v>4797</v>
      </c>
      <c r="H1718" t="s">
        <v>4805</v>
      </c>
      <c r="I1718">
        <v>13.99</v>
      </c>
      <c r="J1718">
        <v>1</v>
      </c>
      <c r="K1718">
        <v>2.0299999999999998</v>
      </c>
      <c r="L1718">
        <v>0</v>
      </c>
      <c r="M1718" t="s">
        <v>4810</v>
      </c>
      <c r="N1718" t="s">
        <v>4900</v>
      </c>
      <c r="O1718" t="s">
        <v>4912</v>
      </c>
    </row>
    <row r="1719" spans="1:15" x14ac:dyDescent="0.35">
      <c r="A1719" t="s">
        <v>1706</v>
      </c>
      <c r="B1719">
        <v>37</v>
      </c>
      <c r="C1719" t="s">
        <v>4803</v>
      </c>
      <c r="D1719" t="s">
        <v>15</v>
      </c>
      <c r="E1719">
        <v>80</v>
      </c>
      <c r="F1719">
        <v>44</v>
      </c>
      <c r="G1719" t="s">
        <v>4797</v>
      </c>
      <c r="H1719" t="s">
        <v>4804</v>
      </c>
      <c r="I1719">
        <v>17.989999999999998</v>
      </c>
      <c r="J1719">
        <v>3</v>
      </c>
      <c r="K1719">
        <v>2.67</v>
      </c>
      <c r="L1719">
        <v>1</v>
      </c>
      <c r="M1719" t="s">
        <v>4811</v>
      </c>
      <c r="N1719" t="s">
        <v>4899</v>
      </c>
      <c r="O1719" t="s">
        <v>4910</v>
      </c>
    </row>
    <row r="1720" spans="1:15" x14ac:dyDescent="0.35">
      <c r="A1720" t="s">
        <v>1707</v>
      </c>
      <c r="B1720">
        <v>61</v>
      </c>
      <c r="C1720" t="s">
        <v>4803</v>
      </c>
      <c r="D1720" t="s">
        <v>13</v>
      </c>
      <c r="E1720">
        <v>47</v>
      </c>
      <c r="F1720">
        <v>17</v>
      </c>
      <c r="G1720" t="s">
        <v>4798</v>
      </c>
      <c r="H1720" t="s">
        <v>4805</v>
      </c>
      <c r="I1720">
        <v>13.99</v>
      </c>
      <c r="J1720">
        <v>4</v>
      </c>
      <c r="K1720">
        <v>1.57</v>
      </c>
      <c r="L1720">
        <v>0</v>
      </c>
      <c r="M1720" t="s">
        <v>4810</v>
      </c>
      <c r="N1720" t="s">
        <v>4900</v>
      </c>
      <c r="O1720" t="s">
        <v>4911</v>
      </c>
    </row>
    <row r="1721" spans="1:15" x14ac:dyDescent="0.35">
      <c r="A1721" t="s">
        <v>1708</v>
      </c>
      <c r="B1721">
        <v>31</v>
      </c>
      <c r="C1721" t="s">
        <v>4802</v>
      </c>
      <c r="D1721" t="s">
        <v>13</v>
      </c>
      <c r="E1721">
        <v>70</v>
      </c>
      <c r="F1721">
        <v>9</v>
      </c>
      <c r="G1721" t="s">
        <v>4799</v>
      </c>
      <c r="H1721" t="s">
        <v>4806</v>
      </c>
      <c r="I1721">
        <v>13.99</v>
      </c>
      <c r="J1721">
        <v>4</v>
      </c>
      <c r="K1721">
        <v>2.33</v>
      </c>
      <c r="L1721">
        <v>0</v>
      </c>
      <c r="M1721" t="s">
        <v>4810</v>
      </c>
      <c r="N1721" t="s">
        <v>4900</v>
      </c>
      <c r="O1721" t="s">
        <v>4912</v>
      </c>
    </row>
    <row r="1722" spans="1:15" x14ac:dyDescent="0.35">
      <c r="A1722" t="s">
        <v>1709</v>
      </c>
      <c r="B1722">
        <v>41</v>
      </c>
      <c r="C1722" t="s">
        <v>4803</v>
      </c>
      <c r="D1722" t="s">
        <v>13</v>
      </c>
      <c r="E1722">
        <v>77</v>
      </c>
      <c r="F1722">
        <v>10</v>
      </c>
      <c r="G1722" t="s">
        <v>4798</v>
      </c>
      <c r="H1722" t="s">
        <v>4804</v>
      </c>
      <c r="I1722">
        <v>13.99</v>
      </c>
      <c r="J1722">
        <v>1</v>
      </c>
      <c r="K1722">
        <v>2.57</v>
      </c>
      <c r="L1722">
        <v>0</v>
      </c>
      <c r="M1722" t="s">
        <v>4810</v>
      </c>
      <c r="N1722" t="s">
        <v>4900</v>
      </c>
      <c r="O1722" t="s">
        <v>4910</v>
      </c>
    </row>
    <row r="1723" spans="1:15" x14ac:dyDescent="0.35">
      <c r="A1723" t="s">
        <v>1710</v>
      </c>
      <c r="B1723">
        <v>31</v>
      </c>
      <c r="C1723" t="s">
        <v>4803</v>
      </c>
      <c r="D1723" t="s">
        <v>13</v>
      </c>
      <c r="E1723">
        <v>79</v>
      </c>
      <c r="F1723">
        <v>1</v>
      </c>
      <c r="G1723" t="s">
        <v>4797</v>
      </c>
      <c r="H1723" t="s">
        <v>4805</v>
      </c>
      <c r="I1723">
        <v>13.99</v>
      </c>
      <c r="J1723">
        <v>1</v>
      </c>
      <c r="K1723">
        <v>2.63</v>
      </c>
      <c r="L1723">
        <v>0</v>
      </c>
      <c r="M1723" t="s">
        <v>4812</v>
      </c>
      <c r="N1723" t="s">
        <v>4900</v>
      </c>
      <c r="O1723" t="s">
        <v>4912</v>
      </c>
    </row>
    <row r="1724" spans="1:15" x14ac:dyDescent="0.35">
      <c r="A1724" t="s">
        <v>1711</v>
      </c>
      <c r="B1724">
        <v>48</v>
      </c>
      <c r="C1724" t="s">
        <v>4803</v>
      </c>
      <c r="D1724" t="s">
        <v>13</v>
      </c>
      <c r="E1724">
        <v>51</v>
      </c>
      <c r="F1724">
        <v>41</v>
      </c>
      <c r="G1724" t="s">
        <v>4799</v>
      </c>
      <c r="H1724" t="s">
        <v>4805</v>
      </c>
      <c r="I1724">
        <v>13.99</v>
      </c>
      <c r="J1724">
        <v>2</v>
      </c>
      <c r="K1724">
        <v>1.7</v>
      </c>
      <c r="L1724">
        <v>1</v>
      </c>
      <c r="M1724" t="s">
        <v>4811</v>
      </c>
      <c r="N1724" t="s">
        <v>4899</v>
      </c>
      <c r="O1724" t="s">
        <v>4910</v>
      </c>
    </row>
    <row r="1725" spans="1:15" x14ac:dyDescent="0.35">
      <c r="A1725" t="s">
        <v>1712</v>
      </c>
      <c r="B1725">
        <v>58</v>
      </c>
      <c r="C1725" t="s">
        <v>4802</v>
      </c>
      <c r="D1725" t="s">
        <v>13</v>
      </c>
      <c r="E1725">
        <v>70</v>
      </c>
      <c r="F1725">
        <v>57</v>
      </c>
      <c r="G1725" t="s">
        <v>4797</v>
      </c>
      <c r="H1725" t="s">
        <v>4805</v>
      </c>
      <c r="I1725">
        <v>13.99</v>
      </c>
      <c r="J1725">
        <v>1</v>
      </c>
      <c r="K1725">
        <v>2.33</v>
      </c>
      <c r="L1725">
        <v>1</v>
      </c>
      <c r="M1725" t="s">
        <v>4811</v>
      </c>
      <c r="N1725" t="s">
        <v>4899</v>
      </c>
      <c r="O1725" t="s">
        <v>4911</v>
      </c>
    </row>
    <row r="1726" spans="1:15" x14ac:dyDescent="0.35">
      <c r="A1726" t="s">
        <v>1713</v>
      </c>
      <c r="B1726">
        <v>23</v>
      </c>
      <c r="C1726" t="s">
        <v>4802</v>
      </c>
      <c r="D1726" t="s">
        <v>13</v>
      </c>
      <c r="E1726">
        <v>47</v>
      </c>
      <c r="F1726">
        <v>54</v>
      </c>
      <c r="G1726" t="s">
        <v>4798</v>
      </c>
      <c r="H1726" t="s">
        <v>4805</v>
      </c>
      <c r="I1726">
        <v>13.99</v>
      </c>
      <c r="J1726">
        <v>1</v>
      </c>
      <c r="K1726">
        <v>1.57</v>
      </c>
      <c r="L1726">
        <v>0</v>
      </c>
      <c r="M1726" t="s">
        <v>4811</v>
      </c>
      <c r="N1726" t="s">
        <v>4900</v>
      </c>
      <c r="O1726" t="s">
        <v>4912</v>
      </c>
    </row>
    <row r="1727" spans="1:15" x14ac:dyDescent="0.35">
      <c r="A1727" t="s">
        <v>1714</v>
      </c>
      <c r="B1727">
        <v>46</v>
      </c>
      <c r="C1727" t="s">
        <v>4802</v>
      </c>
      <c r="D1727" t="s">
        <v>15</v>
      </c>
      <c r="E1727">
        <v>85</v>
      </c>
      <c r="F1727">
        <v>999</v>
      </c>
      <c r="G1727" t="s">
        <v>4798</v>
      </c>
      <c r="H1727" t="s">
        <v>4805</v>
      </c>
      <c r="I1727">
        <v>17.989999999999998</v>
      </c>
      <c r="J1727">
        <v>2</v>
      </c>
      <c r="K1727">
        <v>2.83</v>
      </c>
      <c r="L1727">
        <v>0</v>
      </c>
      <c r="M1727" t="s">
        <v>4808</v>
      </c>
      <c r="N1727" t="s">
        <v>4900</v>
      </c>
      <c r="O1727" t="s">
        <v>4910</v>
      </c>
    </row>
    <row r="1728" spans="1:15" x14ac:dyDescent="0.35">
      <c r="A1728" t="s">
        <v>1715</v>
      </c>
      <c r="B1728">
        <v>51</v>
      </c>
      <c r="C1728" t="s">
        <v>4803</v>
      </c>
      <c r="D1728" t="s">
        <v>13</v>
      </c>
      <c r="E1728">
        <v>74</v>
      </c>
      <c r="F1728">
        <v>11</v>
      </c>
      <c r="G1728" t="s">
        <v>4799</v>
      </c>
      <c r="H1728" t="s">
        <v>4806</v>
      </c>
      <c r="I1728">
        <v>13.99</v>
      </c>
      <c r="J1728">
        <v>1</v>
      </c>
      <c r="K1728">
        <v>2.4700000000000002</v>
      </c>
      <c r="L1728">
        <v>0</v>
      </c>
      <c r="M1728" t="s">
        <v>4812</v>
      </c>
      <c r="N1728" t="s">
        <v>4900</v>
      </c>
      <c r="O1728" t="s">
        <v>4910</v>
      </c>
    </row>
    <row r="1729" spans="1:15" x14ac:dyDescent="0.35">
      <c r="A1729" t="s">
        <v>1716</v>
      </c>
      <c r="B1729">
        <v>48</v>
      </c>
      <c r="C1729" t="s">
        <v>4803</v>
      </c>
      <c r="D1729" t="s">
        <v>13</v>
      </c>
      <c r="E1729">
        <v>35</v>
      </c>
      <c r="F1729">
        <v>7</v>
      </c>
      <c r="G1729" t="s">
        <v>4799</v>
      </c>
      <c r="H1729" t="s">
        <v>4804</v>
      </c>
      <c r="I1729">
        <v>13.99</v>
      </c>
      <c r="J1729">
        <v>2</v>
      </c>
      <c r="K1729">
        <v>1.17</v>
      </c>
      <c r="L1729">
        <v>0</v>
      </c>
      <c r="M1729" t="s">
        <v>4812</v>
      </c>
      <c r="N1729" t="s">
        <v>4900</v>
      </c>
      <c r="O1729" t="s">
        <v>4910</v>
      </c>
    </row>
    <row r="1730" spans="1:15" x14ac:dyDescent="0.35">
      <c r="A1730" t="s">
        <v>1717</v>
      </c>
      <c r="B1730">
        <v>61</v>
      </c>
      <c r="C1730" t="s">
        <v>4803</v>
      </c>
      <c r="D1730" t="s">
        <v>13</v>
      </c>
      <c r="E1730">
        <v>44</v>
      </c>
      <c r="F1730">
        <v>38</v>
      </c>
      <c r="G1730" t="s">
        <v>4798</v>
      </c>
      <c r="H1730" t="s">
        <v>4805</v>
      </c>
      <c r="I1730">
        <v>13.99</v>
      </c>
      <c r="J1730">
        <v>3</v>
      </c>
      <c r="K1730">
        <v>1.47</v>
      </c>
      <c r="L1730">
        <v>0</v>
      </c>
      <c r="M1730" t="s">
        <v>4812</v>
      </c>
      <c r="N1730" t="s">
        <v>4900</v>
      </c>
      <c r="O1730" t="s">
        <v>4911</v>
      </c>
    </row>
    <row r="1731" spans="1:15" x14ac:dyDescent="0.35">
      <c r="A1731" t="s">
        <v>1718</v>
      </c>
      <c r="B1731">
        <v>41</v>
      </c>
      <c r="C1731" t="s">
        <v>4802</v>
      </c>
      <c r="D1731" t="s">
        <v>13</v>
      </c>
      <c r="E1731">
        <v>73</v>
      </c>
      <c r="F1731">
        <v>52</v>
      </c>
      <c r="G1731" t="s">
        <v>4797</v>
      </c>
      <c r="H1731" t="s">
        <v>4804</v>
      </c>
      <c r="I1731">
        <v>13.99</v>
      </c>
      <c r="J1731">
        <v>1</v>
      </c>
      <c r="K1731">
        <v>2.4300000000000002</v>
      </c>
      <c r="L1731">
        <v>1</v>
      </c>
      <c r="M1731" t="s">
        <v>4810</v>
      </c>
      <c r="N1731" t="s">
        <v>4899</v>
      </c>
      <c r="O1731" t="s">
        <v>4910</v>
      </c>
    </row>
    <row r="1732" spans="1:15" x14ac:dyDescent="0.35">
      <c r="A1732" t="s">
        <v>1719</v>
      </c>
      <c r="B1732">
        <v>43</v>
      </c>
      <c r="C1732" t="s">
        <v>4802</v>
      </c>
      <c r="D1732" t="s">
        <v>13</v>
      </c>
      <c r="E1732">
        <v>31</v>
      </c>
      <c r="F1732">
        <v>6</v>
      </c>
      <c r="G1732" t="s">
        <v>4798</v>
      </c>
      <c r="H1732" t="s">
        <v>4806</v>
      </c>
      <c r="I1732">
        <v>13.99</v>
      </c>
      <c r="J1732">
        <v>2</v>
      </c>
      <c r="K1732">
        <v>1.03</v>
      </c>
      <c r="L1732">
        <v>0</v>
      </c>
      <c r="M1732" t="s">
        <v>4811</v>
      </c>
      <c r="N1732" t="s">
        <v>4900</v>
      </c>
      <c r="O1732" t="s">
        <v>4910</v>
      </c>
    </row>
    <row r="1733" spans="1:15" x14ac:dyDescent="0.35">
      <c r="A1733" t="s">
        <v>1720</v>
      </c>
      <c r="B1733">
        <v>24</v>
      </c>
      <c r="C1733" t="s">
        <v>4802</v>
      </c>
      <c r="D1733" t="s">
        <v>15</v>
      </c>
      <c r="E1733">
        <v>110</v>
      </c>
      <c r="F1733">
        <v>23</v>
      </c>
      <c r="G1733" t="s">
        <v>4797</v>
      </c>
      <c r="H1733" t="s">
        <v>4806</v>
      </c>
      <c r="I1733">
        <v>17.989999999999998</v>
      </c>
      <c r="J1733">
        <v>2</v>
      </c>
      <c r="K1733">
        <v>3.67</v>
      </c>
      <c r="L1733">
        <v>0</v>
      </c>
      <c r="M1733" t="s">
        <v>4810</v>
      </c>
      <c r="N1733" t="s">
        <v>4900</v>
      </c>
      <c r="O1733" t="s">
        <v>4912</v>
      </c>
    </row>
    <row r="1734" spans="1:15" x14ac:dyDescent="0.35">
      <c r="A1734" t="s">
        <v>1721</v>
      </c>
      <c r="B1734">
        <v>26</v>
      </c>
      <c r="C1734" t="s">
        <v>4802</v>
      </c>
      <c r="D1734" t="s">
        <v>13</v>
      </c>
      <c r="E1734">
        <v>33</v>
      </c>
      <c r="F1734">
        <v>38</v>
      </c>
      <c r="G1734" t="s">
        <v>4798</v>
      </c>
      <c r="H1734" t="s">
        <v>4804</v>
      </c>
      <c r="I1734">
        <v>13.99</v>
      </c>
      <c r="J1734">
        <v>3</v>
      </c>
      <c r="K1734">
        <v>1.1000000000000001</v>
      </c>
      <c r="L1734">
        <v>1</v>
      </c>
      <c r="M1734" t="s">
        <v>4812</v>
      </c>
      <c r="N1734" t="s">
        <v>4899</v>
      </c>
      <c r="O1734" t="s">
        <v>4912</v>
      </c>
    </row>
    <row r="1735" spans="1:15" x14ac:dyDescent="0.35">
      <c r="A1735" t="s">
        <v>1722</v>
      </c>
      <c r="B1735">
        <v>31</v>
      </c>
      <c r="C1735" t="s">
        <v>4802</v>
      </c>
      <c r="D1735" t="s">
        <v>13</v>
      </c>
      <c r="E1735">
        <v>70</v>
      </c>
      <c r="F1735">
        <v>22</v>
      </c>
      <c r="G1735" t="s">
        <v>4799</v>
      </c>
      <c r="H1735" t="s">
        <v>4804</v>
      </c>
      <c r="I1735">
        <v>13.99</v>
      </c>
      <c r="J1735">
        <v>1</v>
      </c>
      <c r="K1735">
        <v>5</v>
      </c>
      <c r="L1735">
        <v>0</v>
      </c>
      <c r="M1735" t="s">
        <v>4812</v>
      </c>
      <c r="N1735" t="s">
        <v>4900</v>
      </c>
      <c r="O1735" t="s">
        <v>4912</v>
      </c>
    </row>
    <row r="1736" spans="1:15" x14ac:dyDescent="0.35">
      <c r="A1736" t="s">
        <v>1723</v>
      </c>
      <c r="B1736">
        <v>58</v>
      </c>
      <c r="C1736" t="s">
        <v>4802</v>
      </c>
      <c r="D1736" t="s">
        <v>13</v>
      </c>
      <c r="E1736">
        <v>39</v>
      </c>
      <c r="F1736">
        <v>5</v>
      </c>
      <c r="G1736" t="s">
        <v>4799</v>
      </c>
      <c r="H1736" t="s">
        <v>4804</v>
      </c>
      <c r="I1736">
        <v>13.99</v>
      </c>
      <c r="J1736">
        <v>4</v>
      </c>
      <c r="K1736">
        <v>1.3</v>
      </c>
      <c r="L1736">
        <v>0</v>
      </c>
      <c r="M1736" t="s">
        <v>4811</v>
      </c>
      <c r="N1736" t="s">
        <v>4900</v>
      </c>
      <c r="O1736" t="s">
        <v>4911</v>
      </c>
    </row>
    <row r="1737" spans="1:15" x14ac:dyDescent="0.35">
      <c r="A1737" t="s">
        <v>1724</v>
      </c>
      <c r="B1737">
        <v>51</v>
      </c>
      <c r="C1737" t="s">
        <v>4803</v>
      </c>
      <c r="D1737" t="s">
        <v>13</v>
      </c>
      <c r="E1737">
        <v>75</v>
      </c>
      <c r="F1737">
        <v>5</v>
      </c>
      <c r="G1737" t="s">
        <v>4799</v>
      </c>
      <c r="H1737" t="s">
        <v>4805</v>
      </c>
      <c r="I1737">
        <v>13.99</v>
      </c>
      <c r="J1737">
        <v>4</v>
      </c>
      <c r="K1737">
        <v>2.5</v>
      </c>
      <c r="L1737">
        <v>0</v>
      </c>
      <c r="M1737" t="s">
        <v>4811</v>
      </c>
      <c r="N1737" t="s">
        <v>4900</v>
      </c>
      <c r="O1737" t="s">
        <v>4910</v>
      </c>
    </row>
    <row r="1738" spans="1:15" x14ac:dyDescent="0.35">
      <c r="A1738" t="s">
        <v>1725</v>
      </c>
      <c r="B1738">
        <v>32</v>
      </c>
      <c r="C1738" t="s">
        <v>4802</v>
      </c>
      <c r="D1738" t="s">
        <v>13</v>
      </c>
      <c r="E1738">
        <v>51</v>
      </c>
      <c r="F1738">
        <v>29</v>
      </c>
      <c r="G1738" t="s">
        <v>4799</v>
      </c>
      <c r="H1738" t="s">
        <v>4805</v>
      </c>
      <c r="I1738">
        <v>13.99</v>
      </c>
      <c r="J1738">
        <v>4</v>
      </c>
      <c r="K1738">
        <v>1.7</v>
      </c>
      <c r="L1738">
        <v>0</v>
      </c>
      <c r="M1738" t="s">
        <v>4808</v>
      </c>
      <c r="N1738" t="s">
        <v>4900</v>
      </c>
      <c r="O1738" t="s">
        <v>4912</v>
      </c>
    </row>
    <row r="1739" spans="1:15" x14ac:dyDescent="0.35">
      <c r="A1739" t="s">
        <v>1726</v>
      </c>
      <c r="B1739">
        <v>36</v>
      </c>
      <c r="C1739" t="s">
        <v>4802</v>
      </c>
      <c r="D1739" t="s">
        <v>13</v>
      </c>
      <c r="E1739">
        <v>47</v>
      </c>
      <c r="F1739">
        <v>12</v>
      </c>
      <c r="G1739" t="s">
        <v>4798</v>
      </c>
      <c r="H1739" t="s">
        <v>4805</v>
      </c>
      <c r="I1739">
        <v>13.99</v>
      </c>
      <c r="J1739">
        <v>2</v>
      </c>
      <c r="K1739">
        <v>1.57</v>
      </c>
      <c r="L1739">
        <v>0</v>
      </c>
      <c r="M1739" t="s">
        <v>4808</v>
      </c>
      <c r="N1739" t="s">
        <v>4900</v>
      </c>
      <c r="O1739" t="s">
        <v>4910</v>
      </c>
    </row>
    <row r="1740" spans="1:15" x14ac:dyDescent="0.35">
      <c r="A1740" t="s">
        <v>1727</v>
      </c>
      <c r="B1740">
        <v>56</v>
      </c>
      <c r="C1740" t="s">
        <v>4802</v>
      </c>
      <c r="D1740" t="s">
        <v>15</v>
      </c>
      <c r="E1740">
        <v>111</v>
      </c>
      <c r="F1740">
        <v>24</v>
      </c>
      <c r="G1740" t="s">
        <v>4798</v>
      </c>
      <c r="H1740" t="s">
        <v>4805</v>
      </c>
      <c r="I1740">
        <v>17.989999999999998</v>
      </c>
      <c r="J1740">
        <v>4</v>
      </c>
      <c r="K1740">
        <v>3.7</v>
      </c>
      <c r="L1740">
        <v>1</v>
      </c>
      <c r="M1740" t="s">
        <v>4810</v>
      </c>
      <c r="N1740" t="s">
        <v>4899</v>
      </c>
      <c r="O1740" t="s">
        <v>4911</v>
      </c>
    </row>
    <row r="1741" spans="1:15" x14ac:dyDescent="0.35">
      <c r="A1741" t="s">
        <v>1728</v>
      </c>
      <c r="B1741">
        <v>43</v>
      </c>
      <c r="C1741" t="s">
        <v>4803</v>
      </c>
      <c r="D1741" t="s">
        <v>13</v>
      </c>
      <c r="E1741">
        <v>68</v>
      </c>
      <c r="F1741">
        <v>53</v>
      </c>
      <c r="G1741" t="s">
        <v>4798</v>
      </c>
      <c r="H1741" t="s">
        <v>4805</v>
      </c>
      <c r="I1741">
        <v>13.99</v>
      </c>
      <c r="J1741">
        <v>4</v>
      </c>
      <c r="K1741">
        <v>2.27</v>
      </c>
      <c r="L1741">
        <v>1</v>
      </c>
      <c r="M1741" t="s">
        <v>4811</v>
      </c>
      <c r="N1741" t="s">
        <v>4899</v>
      </c>
      <c r="O1741" t="s">
        <v>4910</v>
      </c>
    </row>
    <row r="1742" spans="1:15" x14ac:dyDescent="0.35">
      <c r="A1742" t="s">
        <v>4826</v>
      </c>
      <c r="B1742">
        <v>20</v>
      </c>
      <c r="C1742" t="s">
        <v>4803</v>
      </c>
      <c r="D1742" t="s">
        <v>13</v>
      </c>
      <c r="E1742">
        <v>40</v>
      </c>
      <c r="F1742">
        <v>53</v>
      </c>
      <c r="G1742" t="s">
        <v>4799</v>
      </c>
      <c r="H1742" t="s">
        <v>4805</v>
      </c>
      <c r="I1742">
        <v>13.99</v>
      </c>
      <c r="J1742">
        <v>1</v>
      </c>
      <c r="K1742">
        <v>1.33</v>
      </c>
      <c r="L1742">
        <v>1</v>
      </c>
      <c r="M1742" t="s">
        <v>4808</v>
      </c>
      <c r="N1742" t="s">
        <v>4899</v>
      </c>
      <c r="O1742" t="s">
        <v>4912</v>
      </c>
    </row>
    <row r="1743" spans="1:15" x14ac:dyDescent="0.35">
      <c r="A1743" t="s">
        <v>1729</v>
      </c>
      <c r="B1743">
        <v>18</v>
      </c>
      <c r="C1743" t="s">
        <v>4803</v>
      </c>
      <c r="D1743" t="s">
        <v>13</v>
      </c>
      <c r="E1743">
        <v>32</v>
      </c>
      <c r="F1743">
        <v>20</v>
      </c>
      <c r="G1743" t="s">
        <v>4797</v>
      </c>
      <c r="H1743" t="s">
        <v>4806</v>
      </c>
      <c r="I1743">
        <v>13.99</v>
      </c>
      <c r="J1743">
        <v>1</v>
      </c>
      <c r="K1743">
        <v>1.07</v>
      </c>
      <c r="L1743">
        <v>0</v>
      </c>
      <c r="M1743" t="s">
        <v>4811</v>
      </c>
      <c r="N1743" t="s">
        <v>4900</v>
      </c>
      <c r="O1743" t="s">
        <v>4912</v>
      </c>
    </row>
    <row r="1744" spans="1:15" x14ac:dyDescent="0.35">
      <c r="A1744" t="s">
        <v>1730</v>
      </c>
      <c r="B1744">
        <v>50</v>
      </c>
      <c r="C1744" t="s">
        <v>4803</v>
      </c>
      <c r="D1744" t="s">
        <v>13</v>
      </c>
      <c r="E1744">
        <v>72</v>
      </c>
      <c r="F1744">
        <v>36</v>
      </c>
      <c r="G1744" t="s">
        <v>4799</v>
      </c>
      <c r="H1744" t="s">
        <v>4804</v>
      </c>
      <c r="I1744">
        <v>13.99</v>
      </c>
      <c r="J1744">
        <v>2</v>
      </c>
      <c r="K1744">
        <v>2.4</v>
      </c>
      <c r="L1744">
        <v>1</v>
      </c>
      <c r="M1744" t="s">
        <v>4811</v>
      </c>
      <c r="N1744" t="s">
        <v>4899</v>
      </c>
      <c r="O1744" t="s">
        <v>4910</v>
      </c>
    </row>
    <row r="1745" spans="1:15" x14ac:dyDescent="0.35">
      <c r="A1745" t="s">
        <v>1731</v>
      </c>
      <c r="B1745">
        <v>42</v>
      </c>
      <c r="C1745" t="s">
        <v>4802</v>
      </c>
      <c r="D1745" t="s">
        <v>15</v>
      </c>
      <c r="E1745">
        <v>60</v>
      </c>
      <c r="F1745">
        <v>0</v>
      </c>
      <c r="G1745" t="s">
        <v>4798</v>
      </c>
      <c r="H1745" t="s">
        <v>4805</v>
      </c>
      <c r="I1745">
        <v>17.989999999999998</v>
      </c>
      <c r="J1745">
        <v>2</v>
      </c>
      <c r="K1745">
        <v>2</v>
      </c>
      <c r="L1745">
        <v>0</v>
      </c>
      <c r="M1745" t="s">
        <v>4809</v>
      </c>
      <c r="N1745" t="s">
        <v>4900</v>
      </c>
      <c r="O1745" t="s">
        <v>4910</v>
      </c>
    </row>
    <row r="1746" spans="1:15" x14ac:dyDescent="0.35">
      <c r="A1746" t="s">
        <v>1732</v>
      </c>
      <c r="B1746">
        <v>22</v>
      </c>
      <c r="C1746" t="s">
        <v>4803</v>
      </c>
      <c r="D1746" t="s">
        <v>13</v>
      </c>
      <c r="E1746">
        <v>69</v>
      </c>
      <c r="F1746">
        <v>7</v>
      </c>
      <c r="G1746" t="s">
        <v>4798</v>
      </c>
      <c r="H1746" t="s">
        <v>4805</v>
      </c>
      <c r="I1746">
        <v>13.99</v>
      </c>
      <c r="J1746">
        <v>2</v>
      </c>
      <c r="K1746">
        <v>2.2999999999999998</v>
      </c>
      <c r="L1746">
        <v>0</v>
      </c>
      <c r="M1746" t="s">
        <v>4811</v>
      </c>
      <c r="N1746" t="s">
        <v>4900</v>
      </c>
      <c r="O1746" t="s">
        <v>4912</v>
      </c>
    </row>
    <row r="1747" spans="1:15" x14ac:dyDescent="0.35">
      <c r="A1747" t="s">
        <v>1733</v>
      </c>
      <c r="B1747">
        <v>65</v>
      </c>
      <c r="C1747" t="s">
        <v>4803</v>
      </c>
      <c r="D1747" t="s">
        <v>13</v>
      </c>
      <c r="E1747">
        <v>36</v>
      </c>
      <c r="F1747">
        <v>7</v>
      </c>
      <c r="G1747" t="s">
        <v>4798</v>
      </c>
      <c r="H1747" t="s">
        <v>4807</v>
      </c>
      <c r="I1747">
        <v>13.99</v>
      </c>
      <c r="J1747">
        <v>4</v>
      </c>
      <c r="K1747">
        <v>1.2</v>
      </c>
      <c r="L1747">
        <v>0</v>
      </c>
      <c r="M1747" t="s">
        <v>4810</v>
      </c>
      <c r="N1747" t="s">
        <v>4900</v>
      </c>
      <c r="O1747" t="s">
        <v>4911</v>
      </c>
    </row>
    <row r="1748" spans="1:15" x14ac:dyDescent="0.35">
      <c r="A1748" t="s">
        <v>1734</v>
      </c>
      <c r="B1748">
        <v>45</v>
      </c>
      <c r="C1748" t="s">
        <v>4802</v>
      </c>
      <c r="D1748" t="s">
        <v>15</v>
      </c>
      <c r="E1748">
        <v>114</v>
      </c>
      <c r="F1748">
        <v>44</v>
      </c>
      <c r="G1748" t="s">
        <v>4799</v>
      </c>
      <c r="H1748" t="s">
        <v>4805</v>
      </c>
      <c r="I1748">
        <v>17.989999999999998</v>
      </c>
      <c r="J1748">
        <v>3</v>
      </c>
      <c r="K1748">
        <v>3.8</v>
      </c>
      <c r="L1748">
        <v>0</v>
      </c>
      <c r="M1748" t="s">
        <v>4812</v>
      </c>
      <c r="N1748" t="s">
        <v>4900</v>
      </c>
      <c r="O1748" t="s">
        <v>4910</v>
      </c>
    </row>
    <row r="1749" spans="1:15" x14ac:dyDescent="0.35">
      <c r="A1749" t="s">
        <v>1735</v>
      </c>
      <c r="B1749">
        <v>21</v>
      </c>
      <c r="C1749" t="s">
        <v>4802</v>
      </c>
      <c r="D1749" t="s">
        <v>13</v>
      </c>
      <c r="E1749">
        <v>64</v>
      </c>
      <c r="F1749">
        <v>29</v>
      </c>
      <c r="G1749" t="s">
        <v>4799</v>
      </c>
      <c r="H1749" t="s">
        <v>4805</v>
      </c>
      <c r="I1749">
        <v>13.99</v>
      </c>
      <c r="J1749">
        <v>1</v>
      </c>
      <c r="K1749">
        <v>2.0299999999999998</v>
      </c>
      <c r="L1749">
        <v>0</v>
      </c>
      <c r="M1749" t="s">
        <v>4812</v>
      </c>
      <c r="N1749" t="s">
        <v>4900</v>
      </c>
      <c r="O1749" t="s">
        <v>4912</v>
      </c>
    </row>
    <row r="1750" spans="1:15" x14ac:dyDescent="0.35">
      <c r="A1750" t="s">
        <v>1736</v>
      </c>
      <c r="B1750">
        <v>44</v>
      </c>
      <c r="C1750" t="s">
        <v>4803</v>
      </c>
      <c r="D1750" t="s">
        <v>15</v>
      </c>
      <c r="E1750">
        <v>105</v>
      </c>
      <c r="F1750">
        <v>9</v>
      </c>
      <c r="G1750" t="s">
        <v>4799</v>
      </c>
      <c r="H1750" t="s">
        <v>4805</v>
      </c>
      <c r="I1750">
        <v>17.989999999999998</v>
      </c>
      <c r="J1750">
        <v>4</v>
      </c>
      <c r="K1750">
        <v>3.5</v>
      </c>
      <c r="L1750">
        <v>0</v>
      </c>
      <c r="M1750" t="s">
        <v>4809</v>
      </c>
      <c r="N1750" t="s">
        <v>4900</v>
      </c>
      <c r="O1750" t="s">
        <v>4910</v>
      </c>
    </row>
    <row r="1751" spans="1:15" x14ac:dyDescent="0.35">
      <c r="A1751" t="s">
        <v>1737</v>
      </c>
      <c r="B1751">
        <v>23</v>
      </c>
      <c r="C1751" t="s">
        <v>4802</v>
      </c>
      <c r="D1751" t="s">
        <v>13</v>
      </c>
      <c r="E1751">
        <v>61</v>
      </c>
      <c r="F1751">
        <v>36</v>
      </c>
      <c r="G1751" t="s">
        <v>4799</v>
      </c>
      <c r="H1751" t="s">
        <v>4805</v>
      </c>
      <c r="I1751">
        <v>13.99</v>
      </c>
      <c r="J1751">
        <v>1</v>
      </c>
      <c r="K1751">
        <v>2.0299999999999998</v>
      </c>
      <c r="L1751">
        <v>0</v>
      </c>
      <c r="M1751" t="s">
        <v>4809</v>
      </c>
      <c r="N1751" t="s">
        <v>4900</v>
      </c>
      <c r="O1751" t="s">
        <v>4912</v>
      </c>
    </row>
    <row r="1752" spans="1:15" x14ac:dyDescent="0.35">
      <c r="A1752" t="s">
        <v>1738</v>
      </c>
      <c r="B1752">
        <v>60</v>
      </c>
      <c r="C1752" t="s">
        <v>4802</v>
      </c>
      <c r="D1752" t="s">
        <v>15</v>
      </c>
      <c r="E1752">
        <v>78</v>
      </c>
      <c r="F1752">
        <v>34</v>
      </c>
      <c r="G1752" t="s">
        <v>4798</v>
      </c>
      <c r="H1752" t="s">
        <v>4804</v>
      </c>
      <c r="I1752">
        <v>17.989999999999998</v>
      </c>
      <c r="J1752">
        <v>2</v>
      </c>
      <c r="K1752">
        <v>2.6</v>
      </c>
      <c r="L1752">
        <v>0</v>
      </c>
      <c r="M1752" t="s">
        <v>4808</v>
      </c>
      <c r="N1752" t="s">
        <v>4900</v>
      </c>
      <c r="O1752" t="s">
        <v>4911</v>
      </c>
    </row>
    <row r="1753" spans="1:15" x14ac:dyDescent="0.35">
      <c r="A1753" t="s">
        <v>1739</v>
      </c>
      <c r="B1753">
        <v>56</v>
      </c>
      <c r="C1753" t="s">
        <v>4802</v>
      </c>
      <c r="D1753" t="s">
        <v>15</v>
      </c>
      <c r="E1753">
        <v>76</v>
      </c>
      <c r="F1753">
        <v>8</v>
      </c>
      <c r="G1753" t="s">
        <v>4798</v>
      </c>
      <c r="H1753" t="s">
        <v>4804</v>
      </c>
      <c r="I1753">
        <v>17.989999999999998</v>
      </c>
      <c r="J1753">
        <v>4</v>
      </c>
      <c r="K1753">
        <v>2.0299999999999998</v>
      </c>
      <c r="L1753">
        <v>0</v>
      </c>
      <c r="M1753" t="s">
        <v>4809</v>
      </c>
      <c r="N1753" t="s">
        <v>4900</v>
      </c>
      <c r="O1753" t="s">
        <v>4911</v>
      </c>
    </row>
    <row r="1754" spans="1:15" x14ac:dyDescent="0.35">
      <c r="A1754" t="s">
        <v>1740</v>
      </c>
      <c r="B1754">
        <v>18</v>
      </c>
      <c r="C1754" t="s">
        <v>4803</v>
      </c>
      <c r="D1754" t="s">
        <v>14</v>
      </c>
      <c r="E1754">
        <v>28</v>
      </c>
      <c r="F1754">
        <v>57</v>
      </c>
      <c r="G1754" t="s">
        <v>4798</v>
      </c>
      <c r="H1754" t="s">
        <v>4804</v>
      </c>
      <c r="I1754">
        <v>8.99</v>
      </c>
      <c r="J1754">
        <v>1</v>
      </c>
      <c r="K1754">
        <v>0.93</v>
      </c>
      <c r="L1754">
        <v>0</v>
      </c>
      <c r="M1754" t="s">
        <v>4812</v>
      </c>
      <c r="N1754" t="s">
        <v>4900</v>
      </c>
      <c r="O1754" t="s">
        <v>4912</v>
      </c>
    </row>
    <row r="1755" spans="1:15" x14ac:dyDescent="0.35">
      <c r="A1755" t="s">
        <v>1741</v>
      </c>
      <c r="B1755">
        <v>27</v>
      </c>
      <c r="C1755" t="s">
        <v>4802</v>
      </c>
      <c r="D1755" t="s">
        <v>13</v>
      </c>
      <c r="E1755">
        <v>35</v>
      </c>
      <c r="F1755">
        <v>0</v>
      </c>
      <c r="G1755" t="s">
        <v>4798</v>
      </c>
      <c r="H1755" t="s">
        <v>4805</v>
      </c>
      <c r="I1755">
        <v>13.99</v>
      </c>
      <c r="J1755">
        <v>4</v>
      </c>
      <c r="K1755">
        <v>1.17</v>
      </c>
      <c r="L1755">
        <v>0</v>
      </c>
      <c r="M1755" t="s">
        <v>4809</v>
      </c>
      <c r="N1755" t="s">
        <v>4900</v>
      </c>
      <c r="O1755" t="s">
        <v>4912</v>
      </c>
    </row>
    <row r="1756" spans="1:15" x14ac:dyDescent="0.35">
      <c r="A1756" t="s">
        <v>1742</v>
      </c>
      <c r="B1756">
        <v>59</v>
      </c>
      <c r="C1756" t="s">
        <v>4802</v>
      </c>
      <c r="D1756" t="s">
        <v>15</v>
      </c>
      <c r="E1756">
        <v>71</v>
      </c>
      <c r="F1756">
        <v>56</v>
      </c>
      <c r="G1756" t="s">
        <v>4799</v>
      </c>
      <c r="H1756" t="s">
        <v>4805</v>
      </c>
      <c r="I1756">
        <v>17.989999999999998</v>
      </c>
      <c r="J1756">
        <v>4</v>
      </c>
      <c r="K1756">
        <v>5</v>
      </c>
      <c r="L1756">
        <v>0</v>
      </c>
      <c r="M1756" t="s">
        <v>4809</v>
      </c>
      <c r="N1756" t="s">
        <v>4900</v>
      </c>
      <c r="O1756" t="s">
        <v>4911</v>
      </c>
    </row>
    <row r="1757" spans="1:15" x14ac:dyDescent="0.35">
      <c r="A1757" t="s">
        <v>1743</v>
      </c>
      <c r="B1757">
        <v>65</v>
      </c>
      <c r="C1757" t="s">
        <v>4803</v>
      </c>
      <c r="D1757" t="s">
        <v>13</v>
      </c>
      <c r="E1757">
        <v>41</v>
      </c>
      <c r="F1757">
        <v>33</v>
      </c>
      <c r="G1757" t="s">
        <v>4798</v>
      </c>
      <c r="H1757" t="s">
        <v>4805</v>
      </c>
      <c r="I1757">
        <v>13.99</v>
      </c>
      <c r="J1757">
        <v>2</v>
      </c>
      <c r="K1757">
        <v>1.37</v>
      </c>
      <c r="L1757">
        <v>0</v>
      </c>
      <c r="M1757" t="s">
        <v>4812</v>
      </c>
      <c r="N1757" t="s">
        <v>4900</v>
      </c>
      <c r="O1757" t="s">
        <v>4911</v>
      </c>
    </row>
    <row r="1758" spans="1:15" x14ac:dyDescent="0.35">
      <c r="A1758" t="s">
        <v>1744</v>
      </c>
      <c r="B1758">
        <v>36</v>
      </c>
      <c r="C1758" t="s">
        <v>4803</v>
      </c>
      <c r="D1758" t="s">
        <v>13</v>
      </c>
      <c r="E1758">
        <v>49</v>
      </c>
      <c r="F1758">
        <v>30</v>
      </c>
      <c r="G1758" t="s">
        <v>4799</v>
      </c>
      <c r="H1758" t="s">
        <v>4805</v>
      </c>
      <c r="I1758">
        <v>13.99</v>
      </c>
      <c r="J1758">
        <v>2</v>
      </c>
      <c r="K1758">
        <v>1.63</v>
      </c>
      <c r="L1758">
        <v>0</v>
      </c>
      <c r="M1758" t="s">
        <v>4810</v>
      </c>
      <c r="N1758" t="s">
        <v>4900</v>
      </c>
      <c r="O1758" t="s">
        <v>4910</v>
      </c>
    </row>
    <row r="1759" spans="1:15" x14ac:dyDescent="0.35">
      <c r="A1759" t="s">
        <v>1745</v>
      </c>
      <c r="B1759">
        <v>59</v>
      </c>
      <c r="C1759" t="s">
        <v>4803</v>
      </c>
      <c r="D1759" t="s">
        <v>13</v>
      </c>
      <c r="E1759">
        <v>46</v>
      </c>
      <c r="F1759">
        <v>42</v>
      </c>
      <c r="G1759" t="s">
        <v>4799</v>
      </c>
      <c r="H1759" t="s">
        <v>4805</v>
      </c>
      <c r="I1759">
        <v>13.99</v>
      </c>
      <c r="J1759">
        <v>1</v>
      </c>
      <c r="K1759">
        <v>2.0299999999999998</v>
      </c>
      <c r="L1759">
        <v>0</v>
      </c>
      <c r="M1759" t="s">
        <v>4811</v>
      </c>
      <c r="N1759" t="s">
        <v>4900</v>
      </c>
      <c r="O1759" t="s">
        <v>4911</v>
      </c>
    </row>
    <row r="1760" spans="1:15" x14ac:dyDescent="0.35">
      <c r="A1760" t="s">
        <v>1746</v>
      </c>
      <c r="B1760">
        <v>33</v>
      </c>
      <c r="C1760" t="s">
        <v>4802</v>
      </c>
      <c r="D1760" t="s">
        <v>13</v>
      </c>
      <c r="E1760">
        <v>59</v>
      </c>
      <c r="F1760">
        <v>19</v>
      </c>
      <c r="G1760" t="s">
        <v>4797</v>
      </c>
      <c r="H1760" t="s">
        <v>4804</v>
      </c>
      <c r="I1760">
        <v>13.99</v>
      </c>
      <c r="J1760">
        <v>3</v>
      </c>
      <c r="K1760">
        <v>1.97</v>
      </c>
      <c r="L1760">
        <v>0</v>
      </c>
      <c r="M1760" t="s">
        <v>4810</v>
      </c>
      <c r="N1760" t="s">
        <v>4900</v>
      </c>
      <c r="O1760" t="s">
        <v>4912</v>
      </c>
    </row>
    <row r="1761" spans="1:15" x14ac:dyDescent="0.35">
      <c r="A1761" t="s">
        <v>1747</v>
      </c>
      <c r="B1761">
        <v>29</v>
      </c>
      <c r="C1761" t="s">
        <v>4802</v>
      </c>
      <c r="D1761" t="s">
        <v>13</v>
      </c>
      <c r="E1761">
        <v>49</v>
      </c>
      <c r="F1761">
        <v>39</v>
      </c>
      <c r="G1761" t="s">
        <v>4799</v>
      </c>
      <c r="H1761" t="s">
        <v>4805</v>
      </c>
      <c r="I1761">
        <v>13.99</v>
      </c>
      <c r="J1761">
        <v>2</v>
      </c>
      <c r="K1761">
        <v>1.63</v>
      </c>
      <c r="L1761">
        <v>0</v>
      </c>
      <c r="M1761" t="s">
        <v>4808</v>
      </c>
      <c r="N1761" t="s">
        <v>4900</v>
      </c>
      <c r="O1761" t="s">
        <v>4912</v>
      </c>
    </row>
    <row r="1762" spans="1:15" x14ac:dyDescent="0.35">
      <c r="A1762" t="s">
        <v>1748</v>
      </c>
      <c r="B1762">
        <v>59</v>
      </c>
      <c r="C1762" t="s">
        <v>4803</v>
      </c>
      <c r="D1762" t="s">
        <v>13</v>
      </c>
      <c r="E1762">
        <v>66</v>
      </c>
      <c r="F1762">
        <v>48</v>
      </c>
      <c r="G1762" t="s">
        <v>4798</v>
      </c>
      <c r="H1762" t="s">
        <v>4806</v>
      </c>
      <c r="I1762">
        <v>13.99</v>
      </c>
      <c r="J1762">
        <v>2</v>
      </c>
      <c r="K1762">
        <v>2.2000000000000002</v>
      </c>
      <c r="L1762">
        <v>1</v>
      </c>
      <c r="M1762" t="s">
        <v>4811</v>
      </c>
      <c r="N1762" t="s">
        <v>4899</v>
      </c>
      <c r="O1762" t="s">
        <v>4911</v>
      </c>
    </row>
    <row r="1763" spans="1:15" x14ac:dyDescent="0.35">
      <c r="A1763" t="s">
        <v>1749</v>
      </c>
      <c r="B1763">
        <v>28</v>
      </c>
      <c r="C1763" t="s">
        <v>4802</v>
      </c>
      <c r="D1763" t="s">
        <v>15</v>
      </c>
      <c r="E1763">
        <v>84</v>
      </c>
      <c r="F1763">
        <v>47</v>
      </c>
      <c r="G1763" t="s">
        <v>4799</v>
      </c>
      <c r="H1763" t="s">
        <v>4804</v>
      </c>
      <c r="I1763">
        <v>17.989999999999998</v>
      </c>
      <c r="J1763">
        <v>3</v>
      </c>
      <c r="K1763">
        <v>2.8</v>
      </c>
      <c r="L1763">
        <v>0</v>
      </c>
      <c r="M1763" t="s">
        <v>4810</v>
      </c>
      <c r="N1763" t="s">
        <v>4900</v>
      </c>
      <c r="O1763" t="s">
        <v>4912</v>
      </c>
    </row>
    <row r="1764" spans="1:15" x14ac:dyDescent="0.35">
      <c r="A1764" t="s">
        <v>1750</v>
      </c>
      <c r="B1764">
        <v>54</v>
      </c>
      <c r="C1764" t="s">
        <v>4802</v>
      </c>
      <c r="D1764" t="s">
        <v>13</v>
      </c>
      <c r="E1764">
        <v>63</v>
      </c>
      <c r="F1764">
        <v>15</v>
      </c>
      <c r="G1764" t="s">
        <v>4800</v>
      </c>
      <c r="H1764" t="s">
        <v>4804</v>
      </c>
      <c r="I1764">
        <v>13.99</v>
      </c>
      <c r="J1764">
        <v>2</v>
      </c>
      <c r="K1764">
        <v>2.1</v>
      </c>
      <c r="L1764">
        <v>0</v>
      </c>
      <c r="M1764" t="s">
        <v>4812</v>
      </c>
      <c r="N1764" t="s">
        <v>4900</v>
      </c>
      <c r="O1764" t="s">
        <v>4910</v>
      </c>
    </row>
    <row r="1765" spans="1:15" x14ac:dyDescent="0.35">
      <c r="A1765" t="s">
        <v>1751</v>
      </c>
      <c r="B1765">
        <v>53</v>
      </c>
      <c r="C1765" t="s">
        <v>4803</v>
      </c>
      <c r="D1765" t="s">
        <v>15</v>
      </c>
      <c r="E1765">
        <v>101</v>
      </c>
      <c r="F1765">
        <v>22</v>
      </c>
      <c r="G1765" t="s">
        <v>4798</v>
      </c>
      <c r="H1765" t="s">
        <v>4805</v>
      </c>
      <c r="I1765">
        <v>17.989999999999998</v>
      </c>
      <c r="J1765">
        <v>2</v>
      </c>
      <c r="K1765">
        <v>3.37</v>
      </c>
      <c r="L1765">
        <v>0</v>
      </c>
      <c r="M1765" t="s">
        <v>4809</v>
      </c>
      <c r="N1765" t="s">
        <v>4900</v>
      </c>
      <c r="O1765" t="s">
        <v>4910</v>
      </c>
    </row>
    <row r="1766" spans="1:15" x14ac:dyDescent="0.35">
      <c r="A1766" t="s">
        <v>1752</v>
      </c>
      <c r="B1766">
        <v>42</v>
      </c>
      <c r="C1766" t="s">
        <v>4803</v>
      </c>
      <c r="D1766" t="s">
        <v>14</v>
      </c>
      <c r="E1766">
        <v>57</v>
      </c>
      <c r="F1766">
        <v>48</v>
      </c>
      <c r="G1766" t="s">
        <v>4799</v>
      </c>
      <c r="H1766" t="s">
        <v>4804</v>
      </c>
      <c r="I1766">
        <v>8.99</v>
      </c>
      <c r="J1766">
        <v>4</v>
      </c>
      <c r="K1766">
        <v>1.9</v>
      </c>
      <c r="L1766">
        <v>1</v>
      </c>
      <c r="M1766" t="s">
        <v>4811</v>
      </c>
      <c r="N1766" t="s">
        <v>4899</v>
      </c>
      <c r="O1766" t="s">
        <v>4910</v>
      </c>
    </row>
    <row r="1767" spans="1:15" x14ac:dyDescent="0.35">
      <c r="A1767" t="s">
        <v>1753</v>
      </c>
      <c r="B1767">
        <v>20</v>
      </c>
      <c r="C1767" t="s">
        <v>4802</v>
      </c>
      <c r="D1767" t="s">
        <v>13</v>
      </c>
      <c r="E1767">
        <v>52</v>
      </c>
      <c r="F1767">
        <v>17</v>
      </c>
      <c r="G1767" t="s">
        <v>4798</v>
      </c>
      <c r="H1767" t="s">
        <v>4806</v>
      </c>
      <c r="I1767">
        <v>13.99</v>
      </c>
      <c r="J1767">
        <v>1</v>
      </c>
      <c r="K1767">
        <v>1.73</v>
      </c>
      <c r="L1767">
        <v>0</v>
      </c>
      <c r="M1767" t="s">
        <v>4812</v>
      </c>
      <c r="N1767" t="s">
        <v>4900</v>
      </c>
      <c r="O1767" t="s">
        <v>4912</v>
      </c>
    </row>
    <row r="1768" spans="1:15" x14ac:dyDescent="0.35">
      <c r="A1768" t="s">
        <v>1754</v>
      </c>
      <c r="B1768">
        <v>26</v>
      </c>
      <c r="C1768" t="s">
        <v>4803</v>
      </c>
      <c r="D1768" t="s">
        <v>15</v>
      </c>
      <c r="E1768">
        <v>110</v>
      </c>
      <c r="F1768">
        <v>24</v>
      </c>
      <c r="G1768" t="s">
        <v>4798</v>
      </c>
      <c r="H1768" t="s">
        <v>4805</v>
      </c>
      <c r="I1768">
        <v>17.989999999999998</v>
      </c>
      <c r="J1768">
        <v>4</v>
      </c>
      <c r="K1768">
        <v>3.67</v>
      </c>
      <c r="L1768">
        <v>0</v>
      </c>
      <c r="M1768" t="s">
        <v>4812</v>
      </c>
      <c r="N1768" t="s">
        <v>4900</v>
      </c>
      <c r="O1768" t="s">
        <v>4912</v>
      </c>
    </row>
    <row r="1769" spans="1:15" x14ac:dyDescent="0.35">
      <c r="A1769" t="s">
        <v>1755</v>
      </c>
      <c r="B1769">
        <v>21</v>
      </c>
      <c r="C1769" t="s">
        <v>4803</v>
      </c>
      <c r="D1769" t="s">
        <v>13</v>
      </c>
      <c r="E1769">
        <v>59</v>
      </c>
      <c r="F1769">
        <v>54</v>
      </c>
      <c r="G1769" t="s">
        <v>4797</v>
      </c>
      <c r="H1769" t="s">
        <v>4804</v>
      </c>
      <c r="I1769">
        <v>13.99</v>
      </c>
      <c r="J1769">
        <v>2</v>
      </c>
      <c r="K1769">
        <v>1.97</v>
      </c>
      <c r="L1769">
        <v>0</v>
      </c>
      <c r="M1769" t="s">
        <v>4810</v>
      </c>
      <c r="N1769" t="s">
        <v>4900</v>
      </c>
      <c r="O1769" t="s">
        <v>4912</v>
      </c>
    </row>
    <row r="1770" spans="1:15" x14ac:dyDescent="0.35">
      <c r="A1770" t="s">
        <v>1756</v>
      </c>
      <c r="B1770">
        <v>60</v>
      </c>
      <c r="C1770" t="s">
        <v>4803</v>
      </c>
      <c r="D1770" t="s">
        <v>14</v>
      </c>
      <c r="E1770">
        <v>10</v>
      </c>
      <c r="F1770">
        <v>56</v>
      </c>
      <c r="G1770" t="s">
        <v>4797</v>
      </c>
      <c r="H1770" t="s">
        <v>4806</v>
      </c>
      <c r="I1770">
        <v>8.99</v>
      </c>
      <c r="J1770">
        <v>2</v>
      </c>
      <c r="K1770">
        <v>0.33</v>
      </c>
      <c r="L1770">
        <v>0</v>
      </c>
      <c r="M1770" t="s">
        <v>4811</v>
      </c>
      <c r="N1770" t="s">
        <v>4900</v>
      </c>
      <c r="O1770" t="s">
        <v>4911</v>
      </c>
    </row>
    <row r="1771" spans="1:15" x14ac:dyDescent="0.35">
      <c r="A1771" t="s">
        <v>1757</v>
      </c>
      <c r="B1771">
        <v>46</v>
      </c>
      <c r="C1771" t="s">
        <v>4802</v>
      </c>
      <c r="D1771" t="s">
        <v>13</v>
      </c>
      <c r="E1771">
        <v>48</v>
      </c>
      <c r="F1771">
        <v>52</v>
      </c>
      <c r="G1771" t="s">
        <v>4799</v>
      </c>
      <c r="H1771" t="s">
        <v>4805</v>
      </c>
      <c r="I1771">
        <v>13.99</v>
      </c>
      <c r="J1771">
        <v>1</v>
      </c>
      <c r="K1771">
        <v>5</v>
      </c>
      <c r="L1771">
        <v>0</v>
      </c>
      <c r="M1771" t="s">
        <v>4810</v>
      </c>
      <c r="N1771" t="s">
        <v>4900</v>
      </c>
      <c r="O1771" t="s">
        <v>4910</v>
      </c>
    </row>
    <row r="1772" spans="1:15" x14ac:dyDescent="0.35">
      <c r="A1772" t="s">
        <v>1758</v>
      </c>
      <c r="B1772">
        <v>24</v>
      </c>
      <c r="C1772" t="s">
        <v>4803</v>
      </c>
      <c r="D1772" t="s">
        <v>13</v>
      </c>
      <c r="E1772">
        <v>77</v>
      </c>
      <c r="F1772">
        <v>18</v>
      </c>
      <c r="G1772" t="s">
        <v>4799</v>
      </c>
      <c r="H1772" t="s">
        <v>4805</v>
      </c>
      <c r="I1772">
        <v>13.99</v>
      </c>
      <c r="J1772">
        <v>3</v>
      </c>
      <c r="K1772">
        <v>2.57</v>
      </c>
      <c r="L1772">
        <v>0</v>
      </c>
      <c r="M1772" t="s">
        <v>4808</v>
      </c>
      <c r="N1772" t="s">
        <v>4900</v>
      </c>
      <c r="O1772" t="s">
        <v>4912</v>
      </c>
    </row>
    <row r="1773" spans="1:15" x14ac:dyDescent="0.35">
      <c r="A1773" t="s">
        <v>1759</v>
      </c>
      <c r="B1773">
        <v>38</v>
      </c>
      <c r="C1773" t="s">
        <v>4802</v>
      </c>
      <c r="D1773" t="s">
        <v>14</v>
      </c>
      <c r="E1773">
        <v>47</v>
      </c>
      <c r="F1773">
        <v>7</v>
      </c>
      <c r="G1773" t="s">
        <v>4798</v>
      </c>
      <c r="H1773" t="s">
        <v>4806</v>
      </c>
      <c r="I1773">
        <v>8.99</v>
      </c>
      <c r="J1773">
        <v>2</v>
      </c>
      <c r="K1773">
        <v>1.57</v>
      </c>
      <c r="L1773">
        <v>0</v>
      </c>
      <c r="M1773" t="s">
        <v>4810</v>
      </c>
      <c r="N1773" t="s">
        <v>4900</v>
      </c>
      <c r="O1773" t="s">
        <v>4910</v>
      </c>
    </row>
    <row r="1774" spans="1:15" x14ac:dyDescent="0.35">
      <c r="A1774" t="s">
        <v>1760</v>
      </c>
      <c r="B1774">
        <v>30</v>
      </c>
      <c r="C1774" t="s">
        <v>4803</v>
      </c>
      <c r="D1774" t="s">
        <v>13</v>
      </c>
      <c r="E1774">
        <v>35</v>
      </c>
      <c r="F1774">
        <v>53</v>
      </c>
      <c r="G1774" t="s">
        <v>4797</v>
      </c>
      <c r="H1774" t="s">
        <v>4805</v>
      </c>
      <c r="I1774">
        <v>13.99</v>
      </c>
      <c r="J1774">
        <v>2</v>
      </c>
      <c r="K1774">
        <v>2.0299999999999998</v>
      </c>
      <c r="L1774">
        <v>0</v>
      </c>
      <c r="M1774" t="s">
        <v>4808</v>
      </c>
      <c r="N1774" t="s">
        <v>4900</v>
      </c>
      <c r="O1774" t="s">
        <v>4912</v>
      </c>
    </row>
    <row r="1775" spans="1:15" x14ac:dyDescent="0.35">
      <c r="A1775" t="s">
        <v>1761</v>
      </c>
      <c r="B1775">
        <v>39</v>
      </c>
      <c r="C1775" t="s">
        <v>4802</v>
      </c>
      <c r="D1775" t="s">
        <v>15</v>
      </c>
      <c r="E1775">
        <v>51</v>
      </c>
      <c r="F1775">
        <v>38</v>
      </c>
      <c r="G1775" t="s">
        <v>4797</v>
      </c>
      <c r="H1775" t="s">
        <v>4805</v>
      </c>
      <c r="I1775">
        <v>17.989999999999998</v>
      </c>
      <c r="J1775">
        <v>4</v>
      </c>
      <c r="K1775">
        <v>2.0299999999999998</v>
      </c>
      <c r="L1775">
        <v>0</v>
      </c>
      <c r="M1775" t="s">
        <v>4808</v>
      </c>
      <c r="N1775" t="s">
        <v>4900</v>
      </c>
      <c r="O1775" t="s">
        <v>4910</v>
      </c>
    </row>
    <row r="1776" spans="1:15" x14ac:dyDescent="0.35">
      <c r="A1776" t="s">
        <v>1762</v>
      </c>
      <c r="B1776">
        <v>64</v>
      </c>
      <c r="C1776" t="s">
        <v>4803</v>
      </c>
      <c r="D1776" t="s">
        <v>15</v>
      </c>
      <c r="E1776">
        <v>67</v>
      </c>
      <c r="F1776">
        <v>34</v>
      </c>
      <c r="G1776" t="s">
        <v>4798</v>
      </c>
      <c r="H1776" t="s">
        <v>4805</v>
      </c>
      <c r="I1776">
        <v>17.989999999999998</v>
      </c>
      <c r="J1776">
        <v>4</v>
      </c>
      <c r="K1776">
        <v>2.23</v>
      </c>
      <c r="L1776">
        <v>0</v>
      </c>
      <c r="M1776" t="s">
        <v>4809</v>
      </c>
      <c r="N1776" t="s">
        <v>4900</v>
      </c>
      <c r="O1776" t="s">
        <v>4911</v>
      </c>
    </row>
    <row r="1777" spans="1:15" x14ac:dyDescent="0.35">
      <c r="A1777" t="s">
        <v>1763</v>
      </c>
      <c r="B1777">
        <v>52</v>
      </c>
      <c r="C1777" t="s">
        <v>4802</v>
      </c>
      <c r="D1777" t="s">
        <v>15</v>
      </c>
      <c r="E1777">
        <v>63</v>
      </c>
      <c r="F1777">
        <v>31</v>
      </c>
      <c r="G1777" t="s">
        <v>4799</v>
      </c>
      <c r="H1777" t="s">
        <v>4804</v>
      </c>
      <c r="I1777">
        <v>17.989999999999998</v>
      </c>
      <c r="J1777">
        <v>3</v>
      </c>
      <c r="K1777">
        <v>2.1</v>
      </c>
      <c r="L1777">
        <v>0</v>
      </c>
      <c r="M1777" t="s">
        <v>4812</v>
      </c>
      <c r="N1777" t="s">
        <v>4900</v>
      </c>
      <c r="O1777" t="s">
        <v>4910</v>
      </c>
    </row>
    <row r="1778" spans="1:15" x14ac:dyDescent="0.35">
      <c r="A1778" t="s">
        <v>1764</v>
      </c>
      <c r="B1778">
        <v>36</v>
      </c>
      <c r="C1778" t="s">
        <v>4803</v>
      </c>
      <c r="D1778" t="s">
        <v>13</v>
      </c>
      <c r="E1778">
        <v>57</v>
      </c>
      <c r="F1778">
        <v>2</v>
      </c>
      <c r="G1778" t="s">
        <v>4799</v>
      </c>
      <c r="H1778" t="s">
        <v>4806</v>
      </c>
      <c r="I1778">
        <v>13.99</v>
      </c>
      <c r="J1778">
        <v>1</v>
      </c>
      <c r="K1778">
        <v>2.0299999999999998</v>
      </c>
      <c r="L1778">
        <v>0</v>
      </c>
      <c r="M1778" t="s">
        <v>4808</v>
      </c>
      <c r="N1778" t="s">
        <v>4900</v>
      </c>
      <c r="O1778" t="s">
        <v>4910</v>
      </c>
    </row>
    <row r="1779" spans="1:15" x14ac:dyDescent="0.35">
      <c r="A1779" t="s">
        <v>1765</v>
      </c>
      <c r="B1779">
        <v>52</v>
      </c>
      <c r="C1779" t="s">
        <v>4802</v>
      </c>
      <c r="D1779" t="s">
        <v>15</v>
      </c>
      <c r="E1779">
        <v>80</v>
      </c>
      <c r="F1779">
        <v>38</v>
      </c>
      <c r="G1779" t="s">
        <v>4798</v>
      </c>
      <c r="H1779" t="s">
        <v>4804</v>
      </c>
      <c r="I1779">
        <v>17.989999999999998</v>
      </c>
      <c r="J1779">
        <v>2</v>
      </c>
      <c r="K1779">
        <v>2.67</v>
      </c>
      <c r="L1779">
        <v>1</v>
      </c>
      <c r="M1779" t="s">
        <v>4808</v>
      </c>
      <c r="N1779" t="s">
        <v>4899</v>
      </c>
      <c r="O1779" t="s">
        <v>4910</v>
      </c>
    </row>
    <row r="1780" spans="1:15" x14ac:dyDescent="0.35">
      <c r="A1780" t="s">
        <v>1766</v>
      </c>
      <c r="B1780">
        <v>44</v>
      </c>
      <c r="C1780" t="s">
        <v>4803</v>
      </c>
      <c r="D1780" t="s">
        <v>13</v>
      </c>
      <c r="E1780">
        <v>48</v>
      </c>
      <c r="F1780">
        <v>53</v>
      </c>
      <c r="G1780" t="s">
        <v>4798</v>
      </c>
      <c r="H1780" t="s">
        <v>4804</v>
      </c>
      <c r="I1780">
        <v>13.99</v>
      </c>
      <c r="J1780">
        <v>3</v>
      </c>
      <c r="K1780">
        <v>1.6</v>
      </c>
      <c r="L1780">
        <v>0</v>
      </c>
      <c r="M1780" t="s">
        <v>4809</v>
      </c>
      <c r="N1780" t="s">
        <v>4900</v>
      </c>
      <c r="O1780" t="s">
        <v>4910</v>
      </c>
    </row>
    <row r="1781" spans="1:15" x14ac:dyDescent="0.35">
      <c r="A1781" t="s">
        <v>1767</v>
      </c>
      <c r="B1781">
        <v>41</v>
      </c>
      <c r="C1781" t="s">
        <v>4803</v>
      </c>
      <c r="D1781" t="s">
        <v>13</v>
      </c>
      <c r="E1781">
        <v>76</v>
      </c>
      <c r="F1781">
        <v>7</v>
      </c>
      <c r="G1781" t="s">
        <v>4799</v>
      </c>
      <c r="H1781" t="s">
        <v>4804</v>
      </c>
      <c r="I1781">
        <v>13.99</v>
      </c>
      <c r="J1781">
        <v>1</v>
      </c>
      <c r="K1781">
        <v>2.5299999999999998</v>
      </c>
      <c r="L1781">
        <v>1</v>
      </c>
      <c r="M1781" t="s">
        <v>4811</v>
      </c>
      <c r="N1781" t="s">
        <v>4899</v>
      </c>
      <c r="O1781" t="s">
        <v>4910</v>
      </c>
    </row>
    <row r="1782" spans="1:15" x14ac:dyDescent="0.35">
      <c r="A1782" t="s">
        <v>1768</v>
      </c>
      <c r="B1782">
        <v>64</v>
      </c>
      <c r="C1782" t="s">
        <v>4803</v>
      </c>
      <c r="D1782" t="s">
        <v>15</v>
      </c>
      <c r="E1782">
        <v>87</v>
      </c>
      <c r="F1782">
        <v>999</v>
      </c>
      <c r="G1782" t="s">
        <v>4799</v>
      </c>
      <c r="H1782" t="s">
        <v>4806</v>
      </c>
      <c r="I1782">
        <v>17.989999999999998</v>
      </c>
      <c r="J1782">
        <v>5</v>
      </c>
      <c r="K1782">
        <v>2.9</v>
      </c>
      <c r="L1782">
        <v>0</v>
      </c>
      <c r="M1782" t="s">
        <v>4811</v>
      </c>
      <c r="N1782" t="s">
        <v>4900</v>
      </c>
      <c r="O1782" t="s">
        <v>4911</v>
      </c>
    </row>
    <row r="1783" spans="1:15" x14ac:dyDescent="0.35">
      <c r="A1783" t="s">
        <v>1769</v>
      </c>
      <c r="B1783">
        <v>40</v>
      </c>
      <c r="C1783" t="s">
        <v>4803</v>
      </c>
      <c r="D1783" t="s">
        <v>15</v>
      </c>
      <c r="E1783">
        <v>94</v>
      </c>
      <c r="F1783">
        <v>15</v>
      </c>
      <c r="G1783" t="s">
        <v>4797</v>
      </c>
      <c r="H1783" t="s">
        <v>4806</v>
      </c>
      <c r="I1783">
        <v>17.989999999999998</v>
      </c>
      <c r="J1783">
        <v>4</v>
      </c>
      <c r="K1783">
        <v>3.13</v>
      </c>
      <c r="L1783">
        <v>0</v>
      </c>
      <c r="M1783" t="s">
        <v>4811</v>
      </c>
      <c r="N1783" t="s">
        <v>4900</v>
      </c>
      <c r="O1783" t="s">
        <v>4910</v>
      </c>
    </row>
    <row r="1784" spans="1:15" x14ac:dyDescent="0.35">
      <c r="A1784" t="s">
        <v>1770</v>
      </c>
      <c r="B1784">
        <v>60</v>
      </c>
      <c r="C1784" t="s">
        <v>4803</v>
      </c>
      <c r="D1784" t="s">
        <v>13</v>
      </c>
      <c r="E1784">
        <v>67</v>
      </c>
      <c r="F1784">
        <v>29</v>
      </c>
      <c r="G1784" t="s">
        <v>4798</v>
      </c>
      <c r="H1784" t="s">
        <v>4806</v>
      </c>
      <c r="I1784">
        <v>13.99</v>
      </c>
      <c r="J1784">
        <v>3</v>
      </c>
      <c r="K1784">
        <v>2.23</v>
      </c>
      <c r="L1784">
        <v>0</v>
      </c>
      <c r="M1784" t="s">
        <v>4808</v>
      </c>
      <c r="N1784" t="s">
        <v>4900</v>
      </c>
      <c r="O1784" t="s">
        <v>4911</v>
      </c>
    </row>
    <row r="1785" spans="1:15" x14ac:dyDescent="0.35">
      <c r="A1785" t="s">
        <v>1771</v>
      </c>
      <c r="B1785">
        <v>37</v>
      </c>
      <c r="C1785" t="s">
        <v>4802</v>
      </c>
      <c r="D1785" t="s">
        <v>13</v>
      </c>
      <c r="E1785">
        <v>54</v>
      </c>
      <c r="F1785">
        <v>38</v>
      </c>
      <c r="G1785" t="s">
        <v>4798</v>
      </c>
      <c r="H1785" t="s">
        <v>4805</v>
      </c>
      <c r="I1785">
        <v>13.99</v>
      </c>
      <c r="J1785">
        <v>3</v>
      </c>
      <c r="K1785">
        <v>1.8</v>
      </c>
      <c r="L1785">
        <v>0</v>
      </c>
      <c r="M1785" t="s">
        <v>4808</v>
      </c>
      <c r="N1785" t="s">
        <v>4900</v>
      </c>
      <c r="O1785" t="s">
        <v>4910</v>
      </c>
    </row>
    <row r="1786" spans="1:15" x14ac:dyDescent="0.35">
      <c r="A1786" t="s">
        <v>1772</v>
      </c>
      <c r="B1786">
        <v>50</v>
      </c>
      <c r="C1786" t="s">
        <v>4803</v>
      </c>
      <c r="D1786" t="s">
        <v>13</v>
      </c>
      <c r="E1786">
        <v>38</v>
      </c>
      <c r="F1786">
        <v>9</v>
      </c>
      <c r="G1786" t="s">
        <v>4798</v>
      </c>
      <c r="H1786" t="s">
        <v>4805</v>
      </c>
      <c r="I1786">
        <v>13.99</v>
      </c>
      <c r="J1786">
        <v>3</v>
      </c>
      <c r="K1786">
        <v>1.27</v>
      </c>
      <c r="L1786">
        <v>0</v>
      </c>
      <c r="M1786" t="s">
        <v>4809</v>
      </c>
      <c r="N1786" t="s">
        <v>4900</v>
      </c>
      <c r="O1786" t="s">
        <v>4910</v>
      </c>
    </row>
    <row r="1787" spans="1:15" x14ac:dyDescent="0.35">
      <c r="A1787" t="s">
        <v>4865</v>
      </c>
      <c r="B1787">
        <v>37</v>
      </c>
      <c r="C1787" t="s">
        <v>4802</v>
      </c>
      <c r="D1787" t="s">
        <v>15</v>
      </c>
      <c r="E1787">
        <v>73</v>
      </c>
      <c r="F1787">
        <v>21</v>
      </c>
      <c r="G1787" t="s">
        <v>4799</v>
      </c>
      <c r="H1787" t="s">
        <v>4805</v>
      </c>
      <c r="I1787">
        <v>17.989999999999998</v>
      </c>
      <c r="J1787">
        <v>5</v>
      </c>
      <c r="K1787">
        <v>2.4300000000000002</v>
      </c>
      <c r="L1787">
        <v>0</v>
      </c>
      <c r="M1787" t="s">
        <v>4810</v>
      </c>
      <c r="N1787" t="s">
        <v>4900</v>
      </c>
      <c r="O1787" t="s">
        <v>4910</v>
      </c>
    </row>
    <row r="1788" spans="1:15" x14ac:dyDescent="0.35">
      <c r="A1788" t="s">
        <v>1773</v>
      </c>
      <c r="B1788">
        <v>54</v>
      </c>
      <c r="C1788" t="s">
        <v>4802</v>
      </c>
      <c r="D1788" t="s">
        <v>13</v>
      </c>
      <c r="E1788">
        <v>32</v>
      </c>
      <c r="F1788">
        <v>34</v>
      </c>
      <c r="G1788" t="s">
        <v>4797</v>
      </c>
      <c r="H1788" t="s">
        <v>4804</v>
      </c>
      <c r="I1788">
        <v>13.99</v>
      </c>
      <c r="J1788">
        <v>3</v>
      </c>
      <c r="K1788">
        <v>1.07</v>
      </c>
      <c r="L1788">
        <v>0</v>
      </c>
      <c r="M1788" t="s">
        <v>4809</v>
      </c>
      <c r="N1788" t="s">
        <v>4900</v>
      </c>
      <c r="O1788" t="s">
        <v>4910</v>
      </c>
    </row>
    <row r="1789" spans="1:15" x14ac:dyDescent="0.35">
      <c r="A1789" t="s">
        <v>1774</v>
      </c>
      <c r="B1789">
        <v>27</v>
      </c>
      <c r="C1789" t="s">
        <v>4802</v>
      </c>
      <c r="D1789" t="s">
        <v>13</v>
      </c>
      <c r="E1789">
        <v>33</v>
      </c>
      <c r="F1789">
        <v>3</v>
      </c>
      <c r="G1789" t="s">
        <v>4798</v>
      </c>
      <c r="H1789" t="s">
        <v>4806</v>
      </c>
      <c r="I1789">
        <v>13.99</v>
      </c>
      <c r="J1789">
        <v>2</v>
      </c>
      <c r="K1789">
        <v>1.1000000000000001</v>
      </c>
      <c r="L1789">
        <v>0</v>
      </c>
      <c r="M1789" t="s">
        <v>4811</v>
      </c>
      <c r="N1789" t="s">
        <v>4900</v>
      </c>
      <c r="O1789" t="s">
        <v>4912</v>
      </c>
    </row>
    <row r="1790" spans="1:15" x14ac:dyDescent="0.35">
      <c r="A1790" t="s">
        <v>1775</v>
      </c>
      <c r="B1790">
        <v>25</v>
      </c>
      <c r="C1790" t="s">
        <v>4803</v>
      </c>
      <c r="D1790" t="s">
        <v>15</v>
      </c>
      <c r="E1790">
        <v>62</v>
      </c>
      <c r="F1790">
        <v>1</v>
      </c>
      <c r="G1790" t="s">
        <v>4799</v>
      </c>
      <c r="H1790" t="s">
        <v>4804</v>
      </c>
      <c r="I1790">
        <v>17.989999999999998</v>
      </c>
      <c r="J1790">
        <v>5</v>
      </c>
      <c r="K1790">
        <v>2.0699999999999998</v>
      </c>
      <c r="L1790">
        <v>1</v>
      </c>
      <c r="M1790" t="s">
        <v>4810</v>
      </c>
      <c r="N1790" t="s">
        <v>4899</v>
      </c>
      <c r="O1790" t="s">
        <v>4912</v>
      </c>
    </row>
    <row r="1791" spans="1:15" x14ac:dyDescent="0.35">
      <c r="A1791" t="s">
        <v>1776</v>
      </c>
      <c r="B1791">
        <v>30</v>
      </c>
      <c r="C1791" t="s">
        <v>4802</v>
      </c>
      <c r="D1791" t="s">
        <v>15</v>
      </c>
      <c r="E1791">
        <v>91</v>
      </c>
      <c r="F1791">
        <v>47</v>
      </c>
      <c r="G1791" t="s">
        <v>4797</v>
      </c>
      <c r="H1791" t="s">
        <v>4804</v>
      </c>
      <c r="I1791">
        <v>17.989999999999998</v>
      </c>
      <c r="J1791">
        <v>4</v>
      </c>
      <c r="K1791">
        <v>3.03</v>
      </c>
      <c r="L1791">
        <v>1</v>
      </c>
      <c r="M1791" t="s">
        <v>4810</v>
      </c>
      <c r="N1791" t="s">
        <v>4899</v>
      </c>
      <c r="O1791" t="s">
        <v>4912</v>
      </c>
    </row>
    <row r="1792" spans="1:15" x14ac:dyDescent="0.35">
      <c r="A1792" t="s">
        <v>1777</v>
      </c>
      <c r="B1792">
        <v>36</v>
      </c>
      <c r="C1792" t="s">
        <v>4802</v>
      </c>
      <c r="D1792" t="s">
        <v>13</v>
      </c>
      <c r="E1792">
        <v>61</v>
      </c>
      <c r="F1792">
        <v>45</v>
      </c>
      <c r="G1792" t="s">
        <v>4798</v>
      </c>
      <c r="H1792" t="s">
        <v>4805</v>
      </c>
      <c r="I1792">
        <v>13.99</v>
      </c>
      <c r="J1792">
        <v>2</v>
      </c>
      <c r="K1792">
        <v>2.0299999999999998</v>
      </c>
      <c r="L1792">
        <v>0</v>
      </c>
      <c r="M1792" t="s">
        <v>4810</v>
      </c>
      <c r="N1792" t="s">
        <v>4900</v>
      </c>
      <c r="O1792" t="s">
        <v>4910</v>
      </c>
    </row>
    <row r="1793" spans="1:15" x14ac:dyDescent="0.35">
      <c r="A1793" t="s">
        <v>1778</v>
      </c>
      <c r="B1793">
        <v>24</v>
      </c>
      <c r="C1793" t="s">
        <v>4803</v>
      </c>
      <c r="D1793" t="s">
        <v>15</v>
      </c>
      <c r="E1793">
        <v>81</v>
      </c>
      <c r="F1793" t="s">
        <v>4814</v>
      </c>
      <c r="G1793" t="s">
        <v>4798</v>
      </c>
      <c r="H1793" t="s">
        <v>4804</v>
      </c>
      <c r="I1793">
        <v>17.989999999999998</v>
      </c>
      <c r="J1793">
        <v>3</v>
      </c>
      <c r="K1793">
        <v>2.7</v>
      </c>
      <c r="L1793">
        <v>0</v>
      </c>
      <c r="M1793" t="s">
        <v>4811</v>
      </c>
      <c r="N1793" t="s">
        <v>4900</v>
      </c>
      <c r="O1793" t="s">
        <v>4912</v>
      </c>
    </row>
    <row r="1794" spans="1:15" x14ac:dyDescent="0.35">
      <c r="A1794" t="s">
        <v>1779</v>
      </c>
      <c r="B1794">
        <v>37</v>
      </c>
      <c r="C1794" t="s">
        <v>4803</v>
      </c>
      <c r="D1794" t="s">
        <v>13</v>
      </c>
      <c r="E1794">
        <v>53</v>
      </c>
      <c r="F1794">
        <v>58</v>
      </c>
      <c r="G1794" t="s">
        <v>4797</v>
      </c>
      <c r="H1794" t="s">
        <v>4805</v>
      </c>
      <c r="I1794">
        <v>13.99</v>
      </c>
      <c r="J1794">
        <v>2</v>
      </c>
      <c r="K1794">
        <v>2.0299999999999998</v>
      </c>
      <c r="L1794">
        <v>0</v>
      </c>
      <c r="M1794" t="s">
        <v>4808</v>
      </c>
      <c r="N1794" t="s">
        <v>4900</v>
      </c>
      <c r="O1794" t="s">
        <v>4910</v>
      </c>
    </row>
    <row r="1795" spans="1:15" x14ac:dyDescent="0.35">
      <c r="A1795" t="s">
        <v>1780</v>
      </c>
      <c r="B1795">
        <v>64</v>
      </c>
      <c r="C1795" t="s">
        <v>4802</v>
      </c>
      <c r="D1795" t="s">
        <v>13</v>
      </c>
      <c r="E1795">
        <v>63</v>
      </c>
      <c r="F1795">
        <v>39</v>
      </c>
      <c r="G1795" t="s">
        <v>4798</v>
      </c>
      <c r="H1795" t="s">
        <v>4805</v>
      </c>
      <c r="I1795">
        <v>13.99</v>
      </c>
      <c r="J1795">
        <v>2</v>
      </c>
      <c r="K1795">
        <v>2.1</v>
      </c>
      <c r="L1795">
        <v>1</v>
      </c>
      <c r="M1795" t="s">
        <v>4809</v>
      </c>
      <c r="N1795" t="s">
        <v>4899</v>
      </c>
      <c r="O1795" t="s">
        <v>4911</v>
      </c>
    </row>
    <row r="1796" spans="1:15" x14ac:dyDescent="0.35">
      <c r="A1796" t="s">
        <v>1781</v>
      </c>
      <c r="B1796">
        <v>41</v>
      </c>
      <c r="C1796" t="s">
        <v>4803</v>
      </c>
      <c r="D1796" t="s">
        <v>13</v>
      </c>
      <c r="E1796">
        <v>52</v>
      </c>
      <c r="F1796">
        <v>47</v>
      </c>
      <c r="G1796" t="s">
        <v>4797</v>
      </c>
      <c r="H1796" t="s">
        <v>4805</v>
      </c>
      <c r="I1796">
        <v>13.99</v>
      </c>
      <c r="J1796">
        <v>2</v>
      </c>
      <c r="K1796">
        <v>1.73</v>
      </c>
      <c r="L1796">
        <v>0</v>
      </c>
      <c r="M1796" t="s">
        <v>4812</v>
      </c>
      <c r="N1796" t="s">
        <v>4900</v>
      </c>
      <c r="O1796" t="s">
        <v>4910</v>
      </c>
    </row>
    <row r="1797" spans="1:15" x14ac:dyDescent="0.35">
      <c r="A1797" t="s">
        <v>1782</v>
      </c>
      <c r="B1797">
        <v>41</v>
      </c>
      <c r="C1797" t="s">
        <v>4802</v>
      </c>
      <c r="D1797" t="s">
        <v>15</v>
      </c>
      <c r="E1797">
        <v>103</v>
      </c>
      <c r="F1797">
        <v>44</v>
      </c>
      <c r="G1797" t="s">
        <v>4797</v>
      </c>
      <c r="H1797" t="s">
        <v>4805</v>
      </c>
      <c r="I1797">
        <v>17.989999999999998</v>
      </c>
      <c r="J1797">
        <v>2</v>
      </c>
      <c r="K1797">
        <v>3.43</v>
      </c>
      <c r="L1797">
        <v>0</v>
      </c>
      <c r="M1797" t="s">
        <v>4812</v>
      </c>
      <c r="N1797" t="s">
        <v>4900</v>
      </c>
      <c r="O1797" t="s">
        <v>4910</v>
      </c>
    </row>
    <row r="1798" spans="1:15" x14ac:dyDescent="0.35">
      <c r="A1798" t="s">
        <v>1783</v>
      </c>
      <c r="B1798">
        <v>49</v>
      </c>
      <c r="C1798" t="s">
        <v>4803</v>
      </c>
      <c r="D1798" t="s">
        <v>13</v>
      </c>
      <c r="E1798">
        <v>62</v>
      </c>
      <c r="F1798">
        <v>15</v>
      </c>
      <c r="G1798" t="s">
        <v>4798</v>
      </c>
      <c r="H1798" t="s">
        <v>4805</v>
      </c>
      <c r="I1798">
        <v>13.99</v>
      </c>
      <c r="J1798">
        <v>2</v>
      </c>
      <c r="K1798">
        <v>2.0699999999999998</v>
      </c>
      <c r="L1798">
        <v>1</v>
      </c>
      <c r="M1798" t="s">
        <v>4811</v>
      </c>
      <c r="N1798" t="s">
        <v>4899</v>
      </c>
      <c r="O1798" t="s">
        <v>4910</v>
      </c>
    </row>
    <row r="1799" spans="1:15" x14ac:dyDescent="0.35">
      <c r="A1799" t="s">
        <v>1784</v>
      </c>
      <c r="B1799">
        <v>48</v>
      </c>
      <c r="C1799" t="s">
        <v>4802</v>
      </c>
      <c r="D1799" t="s">
        <v>13</v>
      </c>
      <c r="E1799">
        <v>49</v>
      </c>
      <c r="F1799">
        <v>8</v>
      </c>
      <c r="G1799" t="s">
        <v>4798</v>
      </c>
      <c r="H1799" t="s">
        <v>4804</v>
      </c>
      <c r="I1799">
        <v>13.99</v>
      </c>
      <c r="J1799">
        <v>4</v>
      </c>
      <c r="K1799">
        <v>1.63</v>
      </c>
      <c r="L1799">
        <v>0</v>
      </c>
      <c r="M1799" t="s">
        <v>4808</v>
      </c>
      <c r="N1799" t="s">
        <v>4900</v>
      </c>
      <c r="O1799" t="s">
        <v>4910</v>
      </c>
    </row>
    <row r="1800" spans="1:15" x14ac:dyDescent="0.35">
      <c r="A1800" t="s">
        <v>1785</v>
      </c>
      <c r="B1800">
        <v>58</v>
      </c>
      <c r="C1800" t="s">
        <v>4802</v>
      </c>
      <c r="D1800" t="s">
        <v>13</v>
      </c>
      <c r="E1800">
        <v>59</v>
      </c>
      <c r="F1800">
        <v>11</v>
      </c>
      <c r="G1800" t="s">
        <v>4797</v>
      </c>
      <c r="H1800" t="s">
        <v>4805</v>
      </c>
      <c r="I1800">
        <v>13.99</v>
      </c>
      <c r="J1800">
        <v>1</v>
      </c>
      <c r="K1800">
        <v>1.97</v>
      </c>
      <c r="L1800">
        <v>0</v>
      </c>
      <c r="M1800" t="s">
        <v>4811</v>
      </c>
      <c r="N1800" t="s">
        <v>4900</v>
      </c>
      <c r="O1800" t="s">
        <v>4911</v>
      </c>
    </row>
    <row r="1801" spans="1:15" x14ac:dyDescent="0.35">
      <c r="A1801" t="s">
        <v>1786</v>
      </c>
      <c r="B1801">
        <v>65</v>
      </c>
      <c r="C1801" t="s">
        <v>4802</v>
      </c>
      <c r="D1801" t="s">
        <v>13</v>
      </c>
      <c r="E1801">
        <v>41</v>
      </c>
      <c r="F1801">
        <v>51</v>
      </c>
      <c r="G1801" t="s">
        <v>4798</v>
      </c>
      <c r="H1801" t="s">
        <v>4804</v>
      </c>
      <c r="I1801">
        <v>13.99</v>
      </c>
      <c r="J1801">
        <v>1</v>
      </c>
      <c r="K1801">
        <v>1.37</v>
      </c>
      <c r="L1801">
        <v>1</v>
      </c>
      <c r="M1801" t="s">
        <v>4812</v>
      </c>
      <c r="N1801" t="s">
        <v>4899</v>
      </c>
      <c r="O1801" t="s">
        <v>4911</v>
      </c>
    </row>
    <row r="1802" spans="1:15" x14ac:dyDescent="0.35">
      <c r="A1802" t="s">
        <v>1787</v>
      </c>
      <c r="B1802">
        <v>22</v>
      </c>
      <c r="C1802" t="s">
        <v>4802</v>
      </c>
      <c r="D1802" t="s">
        <v>13</v>
      </c>
      <c r="E1802">
        <v>30</v>
      </c>
      <c r="F1802">
        <v>36</v>
      </c>
      <c r="G1802" t="s">
        <v>4798</v>
      </c>
      <c r="H1802" t="s">
        <v>4804</v>
      </c>
      <c r="I1802">
        <v>13.99</v>
      </c>
      <c r="J1802">
        <v>2</v>
      </c>
      <c r="K1802">
        <v>1</v>
      </c>
      <c r="L1802">
        <v>0</v>
      </c>
      <c r="M1802" t="s">
        <v>4812</v>
      </c>
      <c r="N1802" t="s">
        <v>4900</v>
      </c>
      <c r="O1802" t="s">
        <v>4912</v>
      </c>
    </row>
    <row r="1803" spans="1:15" x14ac:dyDescent="0.35">
      <c r="A1803" t="s">
        <v>1788</v>
      </c>
      <c r="B1803">
        <v>31</v>
      </c>
      <c r="C1803" t="s">
        <v>4802</v>
      </c>
      <c r="D1803" t="s">
        <v>15</v>
      </c>
      <c r="E1803">
        <v>70</v>
      </c>
      <c r="F1803">
        <v>35</v>
      </c>
      <c r="G1803" t="s">
        <v>4800</v>
      </c>
      <c r="H1803" t="s">
        <v>4806</v>
      </c>
      <c r="I1803">
        <v>17.989999999999998</v>
      </c>
      <c r="J1803">
        <v>5</v>
      </c>
      <c r="K1803">
        <v>2.33</v>
      </c>
      <c r="L1803">
        <v>0</v>
      </c>
      <c r="M1803" t="s">
        <v>4809</v>
      </c>
      <c r="N1803" t="s">
        <v>4900</v>
      </c>
      <c r="O1803" t="s">
        <v>4912</v>
      </c>
    </row>
    <row r="1804" spans="1:15" x14ac:dyDescent="0.35">
      <c r="A1804" t="s">
        <v>1789</v>
      </c>
      <c r="B1804">
        <v>48</v>
      </c>
      <c r="C1804" t="s">
        <v>4802</v>
      </c>
      <c r="D1804" t="s">
        <v>13</v>
      </c>
      <c r="E1804">
        <v>60</v>
      </c>
      <c r="F1804">
        <v>1</v>
      </c>
      <c r="G1804" t="s">
        <v>4799</v>
      </c>
      <c r="H1804" t="s">
        <v>4806</v>
      </c>
      <c r="I1804">
        <v>13.99</v>
      </c>
      <c r="J1804">
        <v>4</v>
      </c>
      <c r="K1804">
        <v>2</v>
      </c>
      <c r="L1804">
        <v>0</v>
      </c>
      <c r="M1804" t="s">
        <v>4808</v>
      </c>
      <c r="N1804" t="s">
        <v>4900</v>
      </c>
      <c r="O1804" t="s">
        <v>4910</v>
      </c>
    </row>
    <row r="1805" spans="1:15" x14ac:dyDescent="0.35">
      <c r="A1805" t="s">
        <v>1790</v>
      </c>
      <c r="B1805">
        <v>22</v>
      </c>
      <c r="C1805" t="s">
        <v>4803</v>
      </c>
      <c r="D1805" t="s">
        <v>13</v>
      </c>
      <c r="E1805">
        <v>47</v>
      </c>
      <c r="F1805">
        <v>47</v>
      </c>
      <c r="G1805" t="s">
        <v>4797</v>
      </c>
      <c r="H1805" t="s">
        <v>4805</v>
      </c>
      <c r="I1805">
        <v>13.99</v>
      </c>
      <c r="J1805">
        <v>3</v>
      </c>
      <c r="K1805">
        <v>1.57</v>
      </c>
      <c r="L1805">
        <v>1</v>
      </c>
      <c r="M1805" t="s">
        <v>4811</v>
      </c>
      <c r="N1805" t="s">
        <v>4899</v>
      </c>
      <c r="O1805" t="s">
        <v>4912</v>
      </c>
    </row>
    <row r="1806" spans="1:15" x14ac:dyDescent="0.35">
      <c r="A1806" t="s">
        <v>1791</v>
      </c>
      <c r="B1806">
        <v>42</v>
      </c>
      <c r="C1806" t="s">
        <v>4802</v>
      </c>
      <c r="D1806" t="s">
        <v>13</v>
      </c>
      <c r="E1806">
        <v>67</v>
      </c>
      <c r="F1806">
        <v>45</v>
      </c>
      <c r="G1806" t="s">
        <v>4799</v>
      </c>
      <c r="H1806" t="s">
        <v>4806</v>
      </c>
      <c r="I1806">
        <v>13.99</v>
      </c>
      <c r="J1806">
        <v>2</v>
      </c>
      <c r="K1806">
        <v>2.23</v>
      </c>
      <c r="L1806">
        <v>0</v>
      </c>
      <c r="M1806" t="s">
        <v>4810</v>
      </c>
      <c r="N1806" t="s">
        <v>4900</v>
      </c>
      <c r="O1806" t="s">
        <v>4910</v>
      </c>
    </row>
    <row r="1807" spans="1:15" x14ac:dyDescent="0.35">
      <c r="A1807" t="s">
        <v>1792</v>
      </c>
      <c r="B1807">
        <v>23</v>
      </c>
      <c r="C1807" t="s">
        <v>4803</v>
      </c>
      <c r="D1807" t="s">
        <v>13</v>
      </c>
      <c r="E1807">
        <v>61</v>
      </c>
      <c r="F1807">
        <v>58</v>
      </c>
      <c r="G1807" t="s">
        <v>4798</v>
      </c>
      <c r="H1807" t="s">
        <v>4806</v>
      </c>
      <c r="I1807">
        <v>13.99</v>
      </c>
      <c r="J1807">
        <v>2</v>
      </c>
      <c r="K1807">
        <v>5</v>
      </c>
      <c r="L1807">
        <v>0</v>
      </c>
      <c r="M1807" t="s">
        <v>4811</v>
      </c>
      <c r="N1807" t="s">
        <v>4900</v>
      </c>
      <c r="O1807" t="s">
        <v>4912</v>
      </c>
    </row>
    <row r="1808" spans="1:15" x14ac:dyDescent="0.35">
      <c r="A1808" t="s">
        <v>1793</v>
      </c>
      <c r="B1808">
        <v>62</v>
      </c>
      <c r="C1808" t="s">
        <v>4802</v>
      </c>
      <c r="D1808" t="s">
        <v>13</v>
      </c>
      <c r="E1808">
        <v>66</v>
      </c>
      <c r="F1808">
        <v>12</v>
      </c>
      <c r="G1808" t="s">
        <v>4798</v>
      </c>
      <c r="H1808" t="s">
        <v>4805</v>
      </c>
      <c r="I1808">
        <v>13.99</v>
      </c>
      <c r="J1808">
        <v>2</v>
      </c>
      <c r="K1808">
        <v>2.2000000000000002</v>
      </c>
      <c r="L1808">
        <v>0</v>
      </c>
      <c r="M1808" t="s">
        <v>4811</v>
      </c>
      <c r="N1808" t="s">
        <v>4900</v>
      </c>
      <c r="O1808" t="s">
        <v>4911</v>
      </c>
    </row>
    <row r="1809" spans="1:15" x14ac:dyDescent="0.35">
      <c r="A1809" t="s">
        <v>1794</v>
      </c>
      <c r="B1809">
        <v>58</v>
      </c>
      <c r="C1809" t="s">
        <v>4802</v>
      </c>
      <c r="D1809" t="s">
        <v>13</v>
      </c>
      <c r="E1809">
        <v>35</v>
      </c>
      <c r="F1809">
        <v>48</v>
      </c>
      <c r="G1809" t="s">
        <v>4798</v>
      </c>
      <c r="H1809" t="s">
        <v>4806</v>
      </c>
      <c r="I1809">
        <v>13.99</v>
      </c>
      <c r="J1809">
        <v>3</v>
      </c>
      <c r="K1809">
        <v>1.17</v>
      </c>
      <c r="L1809">
        <v>0</v>
      </c>
      <c r="M1809" t="s">
        <v>4808</v>
      </c>
      <c r="N1809" t="s">
        <v>4900</v>
      </c>
      <c r="O1809" t="s">
        <v>4911</v>
      </c>
    </row>
    <row r="1810" spans="1:15" x14ac:dyDescent="0.35">
      <c r="A1810" t="s">
        <v>1795</v>
      </c>
      <c r="B1810">
        <v>40</v>
      </c>
      <c r="C1810" t="s">
        <v>4803</v>
      </c>
      <c r="D1810" t="s">
        <v>13</v>
      </c>
      <c r="E1810">
        <v>51</v>
      </c>
      <c r="F1810">
        <v>45</v>
      </c>
      <c r="G1810" t="s">
        <v>4799</v>
      </c>
      <c r="H1810" t="s">
        <v>4805</v>
      </c>
      <c r="I1810">
        <v>13.99</v>
      </c>
      <c r="J1810">
        <v>3</v>
      </c>
      <c r="K1810">
        <v>1.7</v>
      </c>
      <c r="L1810">
        <v>1</v>
      </c>
      <c r="M1810" t="s">
        <v>4812</v>
      </c>
      <c r="N1810" t="s">
        <v>4899</v>
      </c>
      <c r="O1810" t="s">
        <v>4910</v>
      </c>
    </row>
    <row r="1811" spans="1:15" x14ac:dyDescent="0.35">
      <c r="A1811" t="s">
        <v>1796</v>
      </c>
      <c r="B1811">
        <v>21</v>
      </c>
      <c r="C1811" t="s">
        <v>4803</v>
      </c>
      <c r="D1811" t="s">
        <v>13</v>
      </c>
      <c r="E1811">
        <v>43</v>
      </c>
      <c r="F1811">
        <v>56</v>
      </c>
      <c r="G1811" t="s">
        <v>4798</v>
      </c>
      <c r="H1811" t="s">
        <v>4804</v>
      </c>
      <c r="I1811">
        <v>13.99</v>
      </c>
      <c r="J1811">
        <v>1</v>
      </c>
      <c r="K1811">
        <v>1.43</v>
      </c>
      <c r="L1811">
        <v>0</v>
      </c>
      <c r="M1811" t="s">
        <v>4811</v>
      </c>
      <c r="N1811" t="s">
        <v>4900</v>
      </c>
      <c r="O1811" t="s">
        <v>4912</v>
      </c>
    </row>
    <row r="1812" spans="1:15" x14ac:dyDescent="0.35">
      <c r="A1812" t="s">
        <v>1797</v>
      </c>
      <c r="B1812">
        <v>40</v>
      </c>
      <c r="C1812" t="s">
        <v>4802</v>
      </c>
      <c r="D1812" t="s">
        <v>13</v>
      </c>
      <c r="E1812">
        <v>72</v>
      </c>
      <c r="F1812">
        <v>4</v>
      </c>
      <c r="G1812" t="s">
        <v>4797</v>
      </c>
      <c r="H1812" t="s">
        <v>4806</v>
      </c>
      <c r="I1812">
        <v>13.99</v>
      </c>
      <c r="J1812">
        <v>4</v>
      </c>
      <c r="K1812">
        <v>2.4</v>
      </c>
      <c r="L1812">
        <v>0</v>
      </c>
      <c r="M1812" t="s">
        <v>4808</v>
      </c>
      <c r="N1812" t="s">
        <v>4900</v>
      </c>
      <c r="O1812" t="s">
        <v>4910</v>
      </c>
    </row>
    <row r="1813" spans="1:15" x14ac:dyDescent="0.35">
      <c r="A1813" t="s">
        <v>1798</v>
      </c>
      <c r="B1813">
        <v>65</v>
      </c>
      <c r="C1813" t="s">
        <v>4803</v>
      </c>
      <c r="D1813" t="s">
        <v>13</v>
      </c>
      <c r="E1813">
        <v>59</v>
      </c>
      <c r="F1813">
        <v>15</v>
      </c>
      <c r="G1813" t="s">
        <v>4797</v>
      </c>
      <c r="H1813" t="s">
        <v>4806</v>
      </c>
      <c r="I1813">
        <v>13.99</v>
      </c>
      <c r="J1813">
        <v>3</v>
      </c>
      <c r="K1813">
        <v>1.97</v>
      </c>
      <c r="L1813">
        <v>0</v>
      </c>
      <c r="M1813" t="s">
        <v>4811</v>
      </c>
      <c r="N1813" t="s">
        <v>4900</v>
      </c>
      <c r="O1813" t="s">
        <v>4911</v>
      </c>
    </row>
    <row r="1814" spans="1:15" x14ac:dyDescent="0.35">
      <c r="A1814" t="s">
        <v>1799</v>
      </c>
      <c r="B1814">
        <v>39</v>
      </c>
      <c r="C1814" t="s">
        <v>4802</v>
      </c>
      <c r="D1814" t="s">
        <v>13</v>
      </c>
      <c r="E1814">
        <v>49</v>
      </c>
      <c r="F1814">
        <v>59</v>
      </c>
      <c r="G1814" t="s">
        <v>4798</v>
      </c>
      <c r="H1814" t="s">
        <v>4805</v>
      </c>
      <c r="I1814">
        <v>13.99</v>
      </c>
      <c r="J1814">
        <v>1</v>
      </c>
      <c r="K1814">
        <v>1.63</v>
      </c>
      <c r="L1814">
        <v>1</v>
      </c>
      <c r="M1814" t="s">
        <v>4812</v>
      </c>
      <c r="N1814" t="s">
        <v>4899</v>
      </c>
      <c r="O1814" t="s">
        <v>4910</v>
      </c>
    </row>
    <row r="1815" spans="1:15" x14ac:dyDescent="0.35">
      <c r="A1815" t="s">
        <v>1800</v>
      </c>
      <c r="B1815">
        <v>52</v>
      </c>
      <c r="C1815" t="s">
        <v>4803</v>
      </c>
      <c r="D1815" t="s">
        <v>15</v>
      </c>
      <c r="E1815">
        <v>44</v>
      </c>
      <c r="F1815">
        <v>35</v>
      </c>
      <c r="G1815" t="s">
        <v>4798</v>
      </c>
      <c r="H1815" t="s">
        <v>4806</v>
      </c>
      <c r="I1815">
        <v>17.989999999999998</v>
      </c>
      <c r="J1815">
        <v>4</v>
      </c>
      <c r="K1815">
        <v>1.47</v>
      </c>
      <c r="L1815">
        <v>0</v>
      </c>
      <c r="M1815" t="s">
        <v>4811</v>
      </c>
      <c r="N1815" t="s">
        <v>4900</v>
      </c>
      <c r="O1815" t="s">
        <v>4910</v>
      </c>
    </row>
    <row r="1816" spans="1:15" x14ac:dyDescent="0.35">
      <c r="A1816" t="s">
        <v>1801</v>
      </c>
      <c r="B1816">
        <v>27</v>
      </c>
      <c r="C1816" t="s">
        <v>4803</v>
      </c>
      <c r="D1816" t="s">
        <v>13</v>
      </c>
      <c r="E1816">
        <v>33</v>
      </c>
      <c r="F1816">
        <v>57</v>
      </c>
      <c r="G1816" t="s">
        <v>4799</v>
      </c>
      <c r="H1816" t="s">
        <v>4805</v>
      </c>
      <c r="I1816">
        <v>13.99</v>
      </c>
      <c r="J1816">
        <v>1</v>
      </c>
      <c r="K1816">
        <v>1.1000000000000001</v>
      </c>
      <c r="L1816">
        <v>1</v>
      </c>
      <c r="M1816" t="s">
        <v>4810</v>
      </c>
      <c r="N1816" t="s">
        <v>4899</v>
      </c>
      <c r="O1816" t="s">
        <v>4912</v>
      </c>
    </row>
    <row r="1817" spans="1:15" x14ac:dyDescent="0.35">
      <c r="A1817" t="s">
        <v>1802</v>
      </c>
      <c r="B1817">
        <v>31</v>
      </c>
      <c r="C1817" t="s">
        <v>4803</v>
      </c>
      <c r="D1817" t="s">
        <v>13</v>
      </c>
      <c r="E1817">
        <v>43</v>
      </c>
      <c r="F1817">
        <v>45</v>
      </c>
      <c r="G1817" t="s">
        <v>4797</v>
      </c>
      <c r="H1817" t="s">
        <v>4805</v>
      </c>
      <c r="I1817">
        <v>13.99</v>
      </c>
      <c r="J1817">
        <v>4</v>
      </c>
      <c r="K1817">
        <v>1.43</v>
      </c>
      <c r="L1817">
        <v>0</v>
      </c>
      <c r="M1817" t="s">
        <v>4812</v>
      </c>
      <c r="N1817" t="s">
        <v>4900</v>
      </c>
      <c r="O1817" t="s">
        <v>4912</v>
      </c>
    </row>
    <row r="1818" spans="1:15" x14ac:dyDescent="0.35">
      <c r="A1818" t="s">
        <v>1803</v>
      </c>
      <c r="B1818">
        <v>65</v>
      </c>
      <c r="C1818" t="s">
        <v>4802</v>
      </c>
      <c r="D1818" t="s">
        <v>13</v>
      </c>
      <c r="E1818">
        <v>36</v>
      </c>
      <c r="F1818">
        <v>32</v>
      </c>
      <c r="G1818" t="s">
        <v>4799</v>
      </c>
      <c r="H1818" t="s">
        <v>4804</v>
      </c>
      <c r="I1818">
        <v>13.99</v>
      </c>
      <c r="J1818">
        <v>2</v>
      </c>
      <c r="K1818">
        <v>1.2</v>
      </c>
      <c r="L1818">
        <v>0</v>
      </c>
      <c r="M1818" t="s">
        <v>4811</v>
      </c>
      <c r="N1818" t="s">
        <v>4900</v>
      </c>
      <c r="O1818" t="s">
        <v>4911</v>
      </c>
    </row>
    <row r="1819" spans="1:15" x14ac:dyDescent="0.35">
      <c r="A1819" t="s">
        <v>1804</v>
      </c>
      <c r="B1819">
        <v>23</v>
      </c>
      <c r="C1819" t="s">
        <v>4803</v>
      </c>
      <c r="D1819" t="s">
        <v>13</v>
      </c>
      <c r="E1819">
        <v>36</v>
      </c>
      <c r="F1819">
        <v>38</v>
      </c>
      <c r="G1819" t="s">
        <v>4799</v>
      </c>
      <c r="H1819" t="s">
        <v>4806</v>
      </c>
      <c r="I1819">
        <v>13.99</v>
      </c>
      <c r="J1819">
        <v>3</v>
      </c>
      <c r="K1819">
        <v>1.2</v>
      </c>
      <c r="L1819">
        <v>0</v>
      </c>
      <c r="M1819" t="s">
        <v>4811</v>
      </c>
      <c r="N1819" t="s">
        <v>4900</v>
      </c>
      <c r="O1819" t="s">
        <v>4912</v>
      </c>
    </row>
    <row r="1820" spans="1:15" x14ac:dyDescent="0.35">
      <c r="A1820" t="s">
        <v>1805</v>
      </c>
      <c r="B1820">
        <v>46</v>
      </c>
      <c r="C1820" t="s">
        <v>4802</v>
      </c>
      <c r="D1820" t="s">
        <v>13</v>
      </c>
      <c r="E1820">
        <v>53</v>
      </c>
      <c r="F1820" t="s">
        <v>4814</v>
      </c>
      <c r="G1820" t="s">
        <v>4799</v>
      </c>
      <c r="H1820" t="s">
        <v>4806</v>
      </c>
      <c r="I1820">
        <v>13.99</v>
      </c>
      <c r="J1820">
        <v>2</v>
      </c>
      <c r="K1820">
        <v>1.77</v>
      </c>
      <c r="L1820">
        <v>0</v>
      </c>
      <c r="M1820" t="s">
        <v>4812</v>
      </c>
      <c r="N1820" t="s">
        <v>4900</v>
      </c>
      <c r="O1820" t="s">
        <v>4910</v>
      </c>
    </row>
    <row r="1821" spans="1:15" x14ac:dyDescent="0.35">
      <c r="A1821" t="s">
        <v>1806</v>
      </c>
      <c r="B1821">
        <v>20</v>
      </c>
      <c r="C1821" t="s">
        <v>4803</v>
      </c>
      <c r="D1821" t="s">
        <v>13</v>
      </c>
      <c r="E1821">
        <v>63</v>
      </c>
      <c r="F1821">
        <v>12</v>
      </c>
      <c r="G1821" t="s">
        <v>4799</v>
      </c>
      <c r="H1821" t="s">
        <v>4806</v>
      </c>
      <c r="I1821">
        <v>13.99</v>
      </c>
      <c r="J1821">
        <v>2</v>
      </c>
      <c r="K1821">
        <v>2.1</v>
      </c>
      <c r="L1821">
        <v>0</v>
      </c>
      <c r="M1821" t="s">
        <v>4811</v>
      </c>
      <c r="N1821" t="s">
        <v>4900</v>
      </c>
      <c r="O1821" t="s">
        <v>4912</v>
      </c>
    </row>
    <row r="1822" spans="1:15" x14ac:dyDescent="0.35">
      <c r="A1822" t="s">
        <v>1807</v>
      </c>
      <c r="B1822">
        <v>58</v>
      </c>
      <c r="C1822" t="s">
        <v>4802</v>
      </c>
      <c r="D1822" t="s">
        <v>13</v>
      </c>
      <c r="E1822">
        <v>30</v>
      </c>
      <c r="F1822">
        <v>19</v>
      </c>
      <c r="G1822" t="s">
        <v>4798</v>
      </c>
      <c r="H1822" t="s">
        <v>4804</v>
      </c>
      <c r="I1822">
        <v>13.99</v>
      </c>
      <c r="J1822">
        <v>3</v>
      </c>
      <c r="K1822">
        <v>1</v>
      </c>
      <c r="L1822">
        <v>0</v>
      </c>
      <c r="M1822" t="s">
        <v>4811</v>
      </c>
      <c r="N1822" t="s">
        <v>4900</v>
      </c>
      <c r="O1822" t="s">
        <v>4911</v>
      </c>
    </row>
    <row r="1823" spans="1:15" x14ac:dyDescent="0.35">
      <c r="A1823" t="s">
        <v>1808</v>
      </c>
      <c r="B1823">
        <v>65</v>
      </c>
      <c r="C1823" t="s">
        <v>4803</v>
      </c>
      <c r="D1823" t="s">
        <v>15</v>
      </c>
      <c r="E1823">
        <v>91</v>
      </c>
      <c r="F1823">
        <v>7</v>
      </c>
      <c r="G1823" t="s">
        <v>4800</v>
      </c>
      <c r="H1823" t="s">
        <v>4804</v>
      </c>
      <c r="I1823">
        <v>17.989999999999998</v>
      </c>
      <c r="J1823">
        <v>4</v>
      </c>
      <c r="K1823">
        <v>3.03</v>
      </c>
      <c r="L1823">
        <v>0</v>
      </c>
      <c r="M1823" t="s">
        <v>4810</v>
      </c>
      <c r="N1823" t="s">
        <v>4900</v>
      </c>
      <c r="O1823" t="s">
        <v>4911</v>
      </c>
    </row>
    <row r="1824" spans="1:15" x14ac:dyDescent="0.35">
      <c r="A1824" t="s">
        <v>1809</v>
      </c>
      <c r="B1824">
        <v>26</v>
      </c>
      <c r="C1824" t="s">
        <v>4802</v>
      </c>
      <c r="D1824" t="s">
        <v>13</v>
      </c>
      <c r="E1824">
        <v>45</v>
      </c>
      <c r="F1824">
        <v>53</v>
      </c>
      <c r="G1824" t="s">
        <v>4797</v>
      </c>
      <c r="H1824" t="s">
        <v>4806</v>
      </c>
      <c r="I1824">
        <v>13.99</v>
      </c>
      <c r="J1824">
        <v>2</v>
      </c>
      <c r="K1824">
        <v>1.5</v>
      </c>
      <c r="L1824">
        <v>0</v>
      </c>
      <c r="M1824" t="s">
        <v>4811</v>
      </c>
      <c r="N1824" t="s">
        <v>4900</v>
      </c>
      <c r="O1824" t="s">
        <v>4912</v>
      </c>
    </row>
    <row r="1825" spans="1:15" x14ac:dyDescent="0.35">
      <c r="A1825" t="s">
        <v>1810</v>
      </c>
      <c r="B1825">
        <v>23</v>
      </c>
      <c r="C1825" t="s">
        <v>4803</v>
      </c>
      <c r="D1825" t="s">
        <v>15</v>
      </c>
      <c r="E1825">
        <v>93</v>
      </c>
      <c r="F1825">
        <v>25</v>
      </c>
      <c r="G1825" t="s">
        <v>4797</v>
      </c>
      <c r="H1825" t="s">
        <v>4804</v>
      </c>
      <c r="I1825">
        <v>17.989999999999998</v>
      </c>
      <c r="J1825">
        <v>2</v>
      </c>
      <c r="K1825">
        <v>2.0299999999999998</v>
      </c>
      <c r="L1825">
        <v>0</v>
      </c>
      <c r="M1825" t="s">
        <v>4812</v>
      </c>
      <c r="N1825" t="s">
        <v>4900</v>
      </c>
      <c r="O1825" t="s">
        <v>4912</v>
      </c>
    </row>
    <row r="1826" spans="1:15" x14ac:dyDescent="0.35">
      <c r="A1826" t="s">
        <v>4866</v>
      </c>
      <c r="B1826">
        <v>65</v>
      </c>
      <c r="C1826" t="s">
        <v>4803</v>
      </c>
      <c r="D1826" t="s">
        <v>15</v>
      </c>
      <c r="E1826">
        <v>100</v>
      </c>
      <c r="F1826">
        <v>54</v>
      </c>
      <c r="G1826" t="s">
        <v>4798</v>
      </c>
      <c r="H1826" t="s">
        <v>4806</v>
      </c>
      <c r="I1826">
        <v>17.989999999999998</v>
      </c>
      <c r="J1826">
        <v>5</v>
      </c>
      <c r="K1826">
        <v>3.33</v>
      </c>
      <c r="L1826">
        <v>0</v>
      </c>
      <c r="M1826" t="s">
        <v>4810</v>
      </c>
      <c r="N1826" t="s">
        <v>4900</v>
      </c>
      <c r="O1826" t="s">
        <v>4911</v>
      </c>
    </row>
    <row r="1827" spans="1:15" x14ac:dyDescent="0.35">
      <c r="A1827" t="s">
        <v>1811</v>
      </c>
      <c r="B1827">
        <v>29</v>
      </c>
      <c r="C1827" t="s">
        <v>4803</v>
      </c>
      <c r="D1827" t="s">
        <v>13</v>
      </c>
      <c r="E1827">
        <v>44</v>
      </c>
      <c r="F1827">
        <v>4</v>
      </c>
      <c r="G1827" t="s">
        <v>4798</v>
      </c>
      <c r="H1827" t="s">
        <v>4805</v>
      </c>
      <c r="I1827">
        <v>13.99</v>
      </c>
      <c r="J1827">
        <v>4</v>
      </c>
      <c r="K1827">
        <v>1.47</v>
      </c>
      <c r="L1827">
        <v>0</v>
      </c>
      <c r="M1827" t="s">
        <v>4808</v>
      </c>
      <c r="N1827" t="s">
        <v>4900</v>
      </c>
      <c r="O1827" t="s">
        <v>4912</v>
      </c>
    </row>
    <row r="1828" spans="1:15" x14ac:dyDescent="0.35">
      <c r="A1828" t="s">
        <v>1812</v>
      </c>
      <c r="B1828">
        <v>21</v>
      </c>
      <c r="C1828" t="s">
        <v>4802</v>
      </c>
      <c r="D1828" t="s">
        <v>14</v>
      </c>
      <c r="E1828">
        <v>39</v>
      </c>
      <c r="F1828">
        <v>8</v>
      </c>
      <c r="G1828" t="s">
        <v>4799</v>
      </c>
      <c r="H1828" t="s">
        <v>4804</v>
      </c>
      <c r="I1828">
        <v>8.99</v>
      </c>
      <c r="J1828">
        <v>1</v>
      </c>
      <c r="K1828">
        <v>1.3</v>
      </c>
      <c r="L1828">
        <v>0</v>
      </c>
      <c r="M1828" t="s">
        <v>4812</v>
      </c>
      <c r="N1828" t="s">
        <v>4900</v>
      </c>
      <c r="O1828" t="s">
        <v>4912</v>
      </c>
    </row>
    <row r="1829" spans="1:15" x14ac:dyDescent="0.35">
      <c r="A1829" t="s">
        <v>1813</v>
      </c>
      <c r="B1829">
        <v>45</v>
      </c>
      <c r="C1829" t="s">
        <v>4803</v>
      </c>
      <c r="D1829" t="s">
        <v>15</v>
      </c>
      <c r="E1829">
        <v>90</v>
      </c>
      <c r="F1829">
        <v>38</v>
      </c>
      <c r="G1829" t="s">
        <v>4797</v>
      </c>
      <c r="H1829" t="s">
        <v>4804</v>
      </c>
      <c r="I1829">
        <v>17.989999999999998</v>
      </c>
      <c r="J1829">
        <v>5</v>
      </c>
      <c r="K1829">
        <v>3</v>
      </c>
      <c r="L1829">
        <v>0</v>
      </c>
      <c r="M1829" t="s">
        <v>4810</v>
      </c>
      <c r="N1829" t="s">
        <v>4900</v>
      </c>
      <c r="O1829" t="s">
        <v>4910</v>
      </c>
    </row>
    <row r="1830" spans="1:15" x14ac:dyDescent="0.35">
      <c r="A1830" t="s">
        <v>1814</v>
      </c>
      <c r="B1830">
        <v>65</v>
      </c>
      <c r="C1830" t="s">
        <v>4802</v>
      </c>
      <c r="D1830" t="s">
        <v>13</v>
      </c>
      <c r="E1830">
        <v>48</v>
      </c>
      <c r="F1830">
        <v>46</v>
      </c>
      <c r="G1830" t="s">
        <v>4798</v>
      </c>
      <c r="H1830" t="s">
        <v>4804</v>
      </c>
      <c r="I1830">
        <v>13.99</v>
      </c>
      <c r="J1830">
        <v>3</v>
      </c>
      <c r="K1830">
        <v>1.6</v>
      </c>
      <c r="L1830">
        <v>0</v>
      </c>
      <c r="M1830" t="s">
        <v>4808</v>
      </c>
      <c r="N1830" t="s">
        <v>4900</v>
      </c>
      <c r="O1830" t="s">
        <v>4911</v>
      </c>
    </row>
    <row r="1831" spans="1:15" x14ac:dyDescent="0.35">
      <c r="A1831" t="s">
        <v>1815</v>
      </c>
      <c r="B1831">
        <v>47</v>
      </c>
      <c r="C1831" t="s">
        <v>4802</v>
      </c>
      <c r="D1831" t="s">
        <v>15</v>
      </c>
      <c r="E1831">
        <v>57</v>
      </c>
      <c r="F1831">
        <v>47</v>
      </c>
      <c r="G1831" t="s">
        <v>4799</v>
      </c>
      <c r="H1831" t="s">
        <v>4804</v>
      </c>
      <c r="I1831">
        <v>17.989999999999998</v>
      </c>
      <c r="J1831">
        <v>4</v>
      </c>
      <c r="K1831">
        <v>1.9</v>
      </c>
      <c r="L1831">
        <v>0</v>
      </c>
      <c r="M1831" t="s">
        <v>4810</v>
      </c>
      <c r="N1831" t="s">
        <v>4900</v>
      </c>
      <c r="O1831" t="s">
        <v>4910</v>
      </c>
    </row>
    <row r="1832" spans="1:15" x14ac:dyDescent="0.35">
      <c r="A1832" t="s">
        <v>1816</v>
      </c>
      <c r="B1832">
        <v>40</v>
      </c>
      <c r="C1832" t="s">
        <v>4802</v>
      </c>
      <c r="D1832" t="s">
        <v>13</v>
      </c>
      <c r="E1832">
        <v>53</v>
      </c>
      <c r="F1832">
        <v>44</v>
      </c>
      <c r="G1832" t="s">
        <v>4797</v>
      </c>
      <c r="H1832" t="s">
        <v>4804</v>
      </c>
      <c r="I1832">
        <v>13.99</v>
      </c>
      <c r="J1832">
        <v>1</v>
      </c>
      <c r="K1832">
        <v>1.77</v>
      </c>
      <c r="L1832">
        <v>1</v>
      </c>
      <c r="M1832" t="s">
        <v>4810</v>
      </c>
      <c r="N1832" t="s">
        <v>4899</v>
      </c>
      <c r="O1832" t="s">
        <v>4910</v>
      </c>
    </row>
    <row r="1833" spans="1:15" x14ac:dyDescent="0.35">
      <c r="A1833" t="s">
        <v>1817</v>
      </c>
      <c r="B1833">
        <v>25</v>
      </c>
      <c r="C1833" t="s">
        <v>4802</v>
      </c>
      <c r="D1833" t="s">
        <v>13</v>
      </c>
      <c r="E1833">
        <v>43</v>
      </c>
      <c r="F1833">
        <v>54</v>
      </c>
      <c r="G1833" t="s">
        <v>4799</v>
      </c>
      <c r="H1833" t="s">
        <v>4804</v>
      </c>
      <c r="I1833">
        <v>13.99</v>
      </c>
      <c r="J1833">
        <v>3</v>
      </c>
      <c r="K1833">
        <v>2.0299999999999998</v>
      </c>
      <c r="L1833">
        <v>0</v>
      </c>
      <c r="M1833" t="s">
        <v>4811</v>
      </c>
      <c r="N1833" t="s">
        <v>4900</v>
      </c>
      <c r="O1833" t="s">
        <v>4912</v>
      </c>
    </row>
    <row r="1834" spans="1:15" x14ac:dyDescent="0.35">
      <c r="A1834" t="s">
        <v>1818</v>
      </c>
      <c r="B1834">
        <v>48</v>
      </c>
      <c r="C1834" t="s">
        <v>4802</v>
      </c>
      <c r="D1834" t="s">
        <v>13</v>
      </c>
      <c r="E1834">
        <v>39</v>
      </c>
      <c r="F1834">
        <v>9</v>
      </c>
      <c r="G1834" t="s">
        <v>4797</v>
      </c>
      <c r="H1834" t="s">
        <v>4804</v>
      </c>
      <c r="I1834">
        <v>13.99</v>
      </c>
      <c r="J1834">
        <v>1</v>
      </c>
      <c r="K1834">
        <v>1.3</v>
      </c>
      <c r="L1834">
        <v>0</v>
      </c>
      <c r="M1834" t="s">
        <v>4808</v>
      </c>
      <c r="N1834" t="s">
        <v>4900</v>
      </c>
      <c r="O1834" t="s">
        <v>4910</v>
      </c>
    </row>
    <row r="1835" spans="1:15" x14ac:dyDescent="0.35">
      <c r="A1835" t="s">
        <v>1819</v>
      </c>
      <c r="B1835">
        <v>51</v>
      </c>
      <c r="C1835" t="s">
        <v>4802</v>
      </c>
      <c r="D1835" t="s">
        <v>13</v>
      </c>
      <c r="E1835">
        <v>74</v>
      </c>
      <c r="F1835">
        <v>50</v>
      </c>
      <c r="G1835" t="s">
        <v>4798</v>
      </c>
      <c r="H1835" t="s">
        <v>4804</v>
      </c>
      <c r="I1835">
        <v>13.99</v>
      </c>
      <c r="J1835">
        <v>1</v>
      </c>
      <c r="K1835">
        <v>2.4700000000000002</v>
      </c>
      <c r="L1835">
        <v>0</v>
      </c>
      <c r="M1835" t="s">
        <v>4809</v>
      </c>
      <c r="N1835" t="s">
        <v>4900</v>
      </c>
      <c r="O1835" t="s">
        <v>4910</v>
      </c>
    </row>
    <row r="1836" spans="1:15" x14ac:dyDescent="0.35">
      <c r="A1836" t="s">
        <v>1820</v>
      </c>
      <c r="B1836">
        <v>18</v>
      </c>
      <c r="C1836" t="s">
        <v>4802</v>
      </c>
      <c r="D1836" t="s">
        <v>13</v>
      </c>
      <c r="E1836">
        <v>30</v>
      </c>
      <c r="F1836">
        <v>52</v>
      </c>
      <c r="G1836" t="s">
        <v>4797</v>
      </c>
      <c r="H1836" t="s">
        <v>4804</v>
      </c>
      <c r="I1836">
        <v>13.99</v>
      </c>
      <c r="J1836">
        <v>2</v>
      </c>
      <c r="K1836">
        <v>1</v>
      </c>
      <c r="L1836">
        <v>0</v>
      </c>
      <c r="M1836" t="s">
        <v>4808</v>
      </c>
      <c r="N1836" t="s">
        <v>4900</v>
      </c>
      <c r="O1836" t="s">
        <v>4912</v>
      </c>
    </row>
    <row r="1837" spans="1:15" x14ac:dyDescent="0.35">
      <c r="A1837" t="s">
        <v>1821</v>
      </c>
      <c r="B1837">
        <v>65</v>
      </c>
      <c r="C1837" t="s">
        <v>4802</v>
      </c>
      <c r="D1837" t="s">
        <v>13</v>
      </c>
      <c r="E1837">
        <v>76</v>
      </c>
      <c r="F1837">
        <v>49</v>
      </c>
      <c r="G1837" t="s">
        <v>4798</v>
      </c>
      <c r="H1837" t="s">
        <v>4805</v>
      </c>
      <c r="I1837">
        <v>13.99</v>
      </c>
      <c r="J1837">
        <v>2</v>
      </c>
      <c r="K1837">
        <v>2.5299999999999998</v>
      </c>
      <c r="L1837">
        <v>0</v>
      </c>
      <c r="M1837" t="s">
        <v>4812</v>
      </c>
      <c r="N1837" t="s">
        <v>4900</v>
      </c>
      <c r="O1837" t="s">
        <v>4911</v>
      </c>
    </row>
    <row r="1838" spans="1:15" x14ac:dyDescent="0.35">
      <c r="A1838" t="s">
        <v>1822</v>
      </c>
      <c r="B1838">
        <v>56</v>
      </c>
      <c r="C1838" t="s">
        <v>4803</v>
      </c>
      <c r="D1838" t="s">
        <v>13</v>
      </c>
      <c r="E1838">
        <v>77</v>
      </c>
      <c r="F1838">
        <v>48</v>
      </c>
      <c r="G1838" t="s">
        <v>4799</v>
      </c>
      <c r="H1838" t="s">
        <v>4805</v>
      </c>
      <c r="I1838">
        <v>13.99</v>
      </c>
      <c r="J1838">
        <v>2</v>
      </c>
      <c r="K1838">
        <v>2.57</v>
      </c>
      <c r="L1838">
        <v>0</v>
      </c>
      <c r="M1838" t="s">
        <v>4811</v>
      </c>
      <c r="N1838" t="s">
        <v>4900</v>
      </c>
      <c r="O1838" t="s">
        <v>4911</v>
      </c>
    </row>
    <row r="1839" spans="1:15" x14ac:dyDescent="0.35">
      <c r="A1839" t="s">
        <v>4827</v>
      </c>
      <c r="B1839">
        <v>30</v>
      </c>
      <c r="C1839" t="s">
        <v>4803</v>
      </c>
      <c r="D1839" t="s">
        <v>13</v>
      </c>
      <c r="E1839">
        <v>68</v>
      </c>
      <c r="F1839">
        <v>13</v>
      </c>
      <c r="G1839" t="s">
        <v>4800</v>
      </c>
      <c r="H1839" t="s">
        <v>4806</v>
      </c>
      <c r="I1839">
        <v>13.99</v>
      </c>
      <c r="J1839">
        <v>4</v>
      </c>
      <c r="K1839">
        <v>2.27</v>
      </c>
      <c r="L1839">
        <v>0</v>
      </c>
      <c r="M1839" t="s">
        <v>4812</v>
      </c>
      <c r="N1839" t="s">
        <v>4900</v>
      </c>
      <c r="O1839" t="s">
        <v>4912</v>
      </c>
    </row>
    <row r="1840" spans="1:15" x14ac:dyDescent="0.35">
      <c r="A1840" t="s">
        <v>1823</v>
      </c>
      <c r="B1840">
        <v>25</v>
      </c>
      <c r="C1840" t="s">
        <v>4802</v>
      </c>
      <c r="D1840" t="s">
        <v>13</v>
      </c>
      <c r="E1840">
        <v>67</v>
      </c>
      <c r="F1840">
        <v>999</v>
      </c>
      <c r="G1840" t="s">
        <v>4799</v>
      </c>
      <c r="H1840" t="s">
        <v>4805</v>
      </c>
      <c r="I1840">
        <v>13.99</v>
      </c>
      <c r="J1840">
        <v>4</v>
      </c>
      <c r="K1840">
        <v>2.23</v>
      </c>
      <c r="L1840">
        <v>0</v>
      </c>
      <c r="M1840" t="s">
        <v>4812</v>
      </c>
      <c r="N1840" t="s">
        <v>4900</v>
      </c>
      <c r="O1840" t="s">
        <v>4912</v>
      </c>
    </row>
    <row r="1841" spans="1:15" x14ac:dyDescent="0.35">
      <c r="A1841" t="s">
        <v>1824</v>
      </c>
      <c r="B1841">
        <v>28</v>
      </c>
      <c r="C1841" t="s">
        <v>4803</v>
      </c>
      <c r="D1841" t="s">
        <v>13</v>
      </c>
      <c r="E1841">
        <v>41</v>
      </c>
      <c r="F1841">
        <v>33</v>
      </c>
      <c r="G1841" t="s">
        <v>4798</v>
      </c>
      <c r="H1841" t="s">
        <v>4805</v>
      </c>
      <c r="I1841">
        <v>13.99</v>
      </c>
      <c r="J1841">
        <v>4</v>
      </c>
      <c r="K1841">
        <v>5</v>
      </c>
      <c r="L1841">
        <v>0</v>
      </c>
      <c r="M1841" t="s">
        <v>4812</v>
      </c>
      <c r="N1841" t="s">
        <v>4900</v>
      </c>
      <c r="O1841" t="s">
        <v>4912</v>
      </c>
    </row>
    <row r="1842" spans="1:15" x14ac:dyDescent="0.35">
      <c r="A1842" t="s">
        <v>1825</v>
      </c>
      <c r="B1842">
        <v>55</v>
      </c>
      <c r="C1842" t="s">
        <v>4803</v>
      </c>
      <c r="D1842" t="s">
        <v>15</v>
      </c>
      <c r="E1842">
        <v>61</v>
      </c>
      <c r="F1842">
        <v>36</v>
      </c>
      <c r="G1842" t="s">
        <v>4799</v>
      </c>
      <c r="H1842" t="s">
        <v>4804</v>
      </c>
      <c r="I1842">
        <v>17.989999999999998</v>
      </c>
      <c r="J1842">
        <v>5</v>
      </c>
      <c r="K1842">
        <v>2.0299999999999998</v>
      </c>
      <c r="L1842">
        <v>0</v>
      </c>
      <c r="M1842" t="s">
        <v>4812</v>
      </c>
      <c r="N1842" t="s">
        <v>4900</v>
      </c>
      <c r="O1842" t="s">
        <v>4911</v>
      </c>
    </row>
    <row r="1843" spans="1:15" x14ac:dyDescent="0.35">
      <c r="A1843" t="s">
        <v>1826</v>
      </c>
      <c r="B1843">
        <v>25</v>
      </c>
      <c r="C1843" t="s">
        <v>4803</v>
      </c>
      <c r="D1843" t="s">
        <v>13</v>
      </c>
      <c r="E1843">
        <v>40</v>
      </c>
      <c r="F1843">
        <v>46</v>
      </c>
      <c r="G1843" t="s">
        <v>4799</v>
      </c>
      <c r="H1843" t="s">
        <v>4807</v>
      </c>
      <c r="I1843">
        <v>13.99</v>
      </c>
      <c r="J1843">
        <v>3</v>
      </c>
      <c r="K1843">
        <v>1.33</v>
      </c>
      <c r="L1843">
        <v>0</v>
      </c>
      <c r="M1843" t="s">
        <v>4809</v>
      </c>
      <c r="N1843" t="s">
        <v>4900</v>
      </c>
      <c r="O1843" t="s">
        <v>4912</v>
      </c>
    </row>
    <row r="1844" spans="1:15" x14ac:dyDescent="0.35">
      <c r="A1844" t="s">
        <v>1827</v>
      </c>
      <c r="B1844">
        <v>46</v>
      </c>
      <c r="C1844" t="s">
        <v>4802</v>
      </c>
      <c r="D1844" t="s">
        <v>13</v>
      </c>
      <c r="E1844">
        <v>80</v>
      </c>
      <c r="F1844">
        <v>21</v>
      </c>
      <c r="G1844" t="s">
        <v>4799</v>
      </c>
      <c r="H1844" t="s">
        <v>4804</v>
      </c>
      <c r="I1844">
        <v>13.99</v>
      </c>
      <c r="J1844">
        <v>2</v>
      </c>
      <c r="K1844">
        <v>2.67</v>
      </c>
      <c r="L1844">
        <v>0</v>
      </c>
      <c r="M1844" t="s">
        <v>4810</v>
      </c>
      <c r="N1844" t="s">
        <v>4900</v>
      </c>
      <c r="O1844" t="s">
        <v>4910</v>
      </c>
    </row>
    <row r="1845" spans="1:15" x14ac:dyDescent="0.35">
      <c r="A1845" t="s">
        <v>1828</v>
      </c>
      <c r="B1845">
        <v>23</v>
      </c>
      <c r="C1845" t="s">
        <v>4803</v>
      </c>
      <c r="D1845" t="s">
        <v>15</v>
      </c>
      <c r="E1845">
        <v>68</v>
      </c>
      <c r="F1845">
        <v>8</v>
      </c>
      <c r="G1845" t="s">
        <v>4797</v>
      </c>
      <c r="H1845" t="s">
        <v>4805</v>
      </c>
      <c r="I1845">
        <v>17.989999999999998</v>
      </c>
      <c r="J1845">
        <v>4</v>
      </c>
      <c r="K1845">
        <v>2.27</v>
      </c>
      <c r="L1845">
        <v>0</v>
      </c>
      <c r="M1845" t="s">
        <v>4811</v>
      </c>
      <c r="N1845" t="s">
        <v>4900</v>
      </c>
      <c r="O1845" t="s">
        <v>4912</v>
      </c>
    </row>
    <row r="1846" spans="1:15" x14ac:dyDescent="0.35">
      <c r="A1846" t="s">
        <v>1829</v>
      </c>
      <c r="B1846">
        <v>44</v>
      </c>
      <c r="C1846" t="s">
        <v>4803</v>
      </c>
      <c r="D1846" t="s">
        <v>15</v>
      </c>
      <c r="E1846">
        <v>65</v>
      </c>
      <c r="F1846">
        <v>11</v>
      </c>
      <c r="G1846" t="s">
        <v>4798</v>
      </c>
      <c r="H1846" t="s">
        <v>4806</v>
      </c>
      <c r="I1846">
        <v>17.989999999999998</v>
      </c>
      <c r="J1846">
        <v>3</v>
      </c>
      <c r="K1846">
        <v>5</v>
      </c>
      <c r="L1846">
        <v>0</v>
      </c>
      <c r="M1846" t="s">
        <v>4809</v>
      </c>
      <c r="N1846" t="s">
        <v>4900</v>
      </c>
      <c r="O1846" t="s">
        <v>4910</v>
      </c>
    </row>
    <row r="1847" spans="1:15" x14ac:dyDescent="0.35">
      <c r="A1847" t="s">
        <v>1830</v>
      </c>
      <c r="B1847">
        <v>30</v>
      </c>
      <c r="C1847" t="s">
        <v>4803</v>
      </c>
      <c r="D1847" t="s">
        <v>13</v>
      </c>
      <c r="E1847">
        <v>37</v>
      </c>
      <c r="F1847">
        <v>0</v>
      </c>
      <c r="G1847" t="s">
        <v>4797</v>
      </c>
      <c r="H1847" t="s">
        <v>4806</v>
      </c>
      <c r="I1847">
        <v>13.99</v>
      </c>
      <c r="J1847">
        <v>4</v>
      </c>
      <c r="K1847">
        <v>1.23</v>
      </c>
      <c r="L1847">
        <v>0</v>
      </c>
      <c r="M1847" t="s">
        <v>4812</v>
      </c>
      <c r="N1847" t="s">
        <v>4900</v>
      </c>
      <c r="O1847" t="s">
        <v>4912</v>
      </c>
    </row>
    <row r="1848" spans="1:15" x14ac:dyDescent="0.35">
      <c r="A1848" t="s">
        <v>1831</v>
      </c>
      <c r="B1848">
        <v>49</v>
      </c>
      <c r="C1848" t="s">
        <v>4803</v>
      </c>
      <c r="D1848" t="s">
        <v>13</v>
      </c>
      <c r="E1848">
        <v>64</v>
      </c>
      <c r="F1848" t="s">
        <v>4814</v>
      </c>
      <c r="G1848" t="s">
        <v>4799</v>
      </c>
      <c r="H1848" t="s">
        <v>4806</v>
      </c>
      <c r="I1848">
        <v>13.99</v>
      </c>
      <c r="J1848">
        <v>3</v>
      </c>
      <c r="K1848">
        <v>2.13</v>
      </c>
      <c r="L1848">
        <v>1</v>
      </c>
      <c r="M1848" t="s">
        <v>4811</v>
      </c>
      <c r="N1848" t="s">
        <v>4899</v>
      </c>
      <c r="O1848" t="s">
        <v>4910</v>
      </c>
    </row>
    <row r="1849" spans="1:15" x14ac:dyDescent="0.35">
      <c r="A1849" t="s">
        <v>1832</v>
      </c>
      <c r="B1849">
        <v>54</v>
      </c>
      <c r="C1849" t="s">
        <v>4802</v>
      </c>
      <c r="D1849" t="s">
        <v>14</v>
      </c>
      <c r="E1849">
        <v>37</v>
      </c>
      <c r="F1849" t="s">
        <v>4814</v>
      </c>
      <c r="G1849" t="s">
        <v>4798</v>
      </c>
      <c r="H1849" t="s">
        <v>4804</v>
      </c>
      <c r="I1849">
        <v>8.99</v>
      </c>
      <c r="J1849">
        <v>1</v>
      </c>
      <c r="K1849">
        <v>5</v>
      </c>
      <c r="L1849">
        <v>0</v>
      </c>
      <c r="M1849" t="s">
        <v>4812</v>
      </c>
      <c r="N1849" t="s">
        <v>4900</v>
      </c>
      <c r="O1849" t="s">
        <v>4910</v>
      </c>
    </row>
    <row r="1850" spans="1:15" x14ac:dyDescent="0.35">
      <c r="A1850" t="s">
        <v>1833</v>
      </c>
      <c r="B1850">
        <v>39</v>
      </c>
      <c r="C1850" t="s">
        <v>4802</v>
      </c>
      <c r="D1850" t="s">
        <v>13</v>
      </c>
      <c r="E1850">
        <v>41</v>
      </c>
      <c r="F1850">
        <v>57</v>
      </c>
      <c r="G1850" t="s">
        <v>4798</v>
      </c>
      <c r="H1850" t="s">
        <v>4804</v>
      </c>
      <c r="I1850">
        <v>13.99</v>
      </c>
      <c r="J1850">
        <v>3</v>
      </c>
      <c r="K1850">
        <v>1.37</v>
      </c>
      <c r="L1850">
        <v>0</v>
      </c>
      <c r="M1850" t="s">
        <v>4808</v>
      </c>
      <c r="N1850" t="s">
        <v>4900</v>
      </c>
      <c r="O1850" t="s">
        <v>4910</v>
      </c>
    </row>
    <row r="1851" spans="1:15" x14ac:dyDescent="0.35">
      <c r="A1851" t="s">
        <v>1834</v>
      </c>
      <c r="B1851">
        <v>19</v>
      </c>
      <c r="C1851" t="s">
        <v>4803</v>
      </c>
      <c r="D1851" t="s">
        <v>13</v>
      </c>
      <c r="E1851">
        <v>78</v>
      </c>
      <c r="F1851">
        <v>53</v>
      </c>
      <c r="G1851" t="s">
        <v>4799</v>
      </c>
      <c r="H1851" t="s">
        <v>4805</v>
      </c>
      <c r="I1851">
        <v>13.99</v>
      </c>
      <c r="J1851">
        <v>4</v>
      </c>
      <c r="K1851">
        <v>2.6</v>
      </c>
      <c r="L1851">
        <v>0</v>
      </c>
      <c r="M1851" t="s">
        <v>4811</v>
      </c>
      <c r="N1851" t="s">
        <v>4900</v>
      </c>
      <c r="O1851" t="s">
        <v>4912</v>
      </c>
    </row>
    <row r="1852" spans="1:15" x14ac:dyDescent="0.35">
      <c r="A1852" t="s">
        <v>1835</v>
      </c>
      <c r="B1852">
        <v>38</v>
      </c>
      <c r="C1852" t="s">
        <v>4803</v>
      </c>
      <c r="D1852" t="s">
        <v>13</v>
      </c>
      <c r="E1852">
        <v>35</v>
      </c>
      <c r="F1852">
        <v>46</v>
      </c>
      <c r="G1852" t="s">
        <v>4797</v>
      </c>
      <c r="H1852" t="s">
        <v>4806</v>
      </c>
      <c r="I1852">
        <v>13.99</v>
      </c>
      <c r="J1852">
        <v>2</v>
      </c>
      <c r="K1852">
        <v>1.17</v>
      </c>
      <c r="L1852">
        <v>0</v>
      </c>
      <c r="M1852" t="s">
        <v>4811</v>
      </c>
      <c r="N1852" t="s">
        <v>4900</v>
      </c>
      <c r="O1852" t="s">
        <v>4910</v>
      </c>
    </row>
    <row r="1853" spans="1:15" x14ac:dyDescent="0.35">
      <c r="A1853" t="s">
        <v>1836</v>
      </c>
      <c r="B1853">
        <v>38</v>
      </c>
      <c r="C1853" t="s">
        <v>4803</v>
      </c>
      <c r="D1853" t="s">
        <v>13</v>
      </c>
      <c r="E1853">
        <v>43</v>
      </c>
      <c r="F1853">
        <v>49</v>
      </c>
      <c r="G1853" t="s">
        <v>4798</v>
      </c>
      <c r="H1853" t="s">
        <v>4804</v>
      </c>
      <c r="I1853">
        <v>13.99</v>
      </c>
      <c r="J1853">
        <v>4</v>
      </c>
      <c r="K1853">
        <v>1.43</v>
      </c>
      <c r="L1853">
        <v>1</v>
      </c>
      <c r="M1853" t="s">
        <v>4810</v>
      </c>
      <c r="N1853" t="s">
        <v>4899</v>
      </c>
      <c r="O1853" t="s">
        <v>4910</v>
      </c>
    </row>
    <row r="1854" spans="1:15" x14ac:dyDescent="0.35">
      <c r="A1854" t="s">
        <v>1837</v>
      </c>
      <c r="B1854">
        <v>58</v>
      </c>
      <c r="C1854" t="s">
        <v>4802</v>
      </c>
      <c r="D1854" t="s">
        <v>13</v>
      </c>
      <c r="E1854">
        <v>71</v>
      </c>
      <c r="F1854">
        <v>16</v>
      </c>
      <c r="G1854" t="s">
        <v>4797</v>
      </c>
      <c r="H1854" t="s">
        <v>4805</v>
      </c>
      <c r="I1854">
        <v>13.99</v>
      </c>
      <c r="J1854">
        <v>3</v>
      </c>
      <c r="K1854">
        <v>2.37</v>
      </c>
      <c r="L1854">
        <v>0</v>
      </c>
      <c r="M1854" t="s">
        <v>4808</v>
      </c>
      <c r="N1854" t="s">
        <v>4900</v>
      </c>
      <c r="O1854" t="s">
        <v>4911</v>
      </c>
    </row>
    <row r="1855" spans="1:15" x14ac:dyDescent="0.35">
      <c r="A1855" t="s">
        <v>1838</v>
      </c>
      <c r="B1855">
        <v>31</v>
      </c>
      <c r="C1855" t="s">
        <v>4803</v>
      </c>
      <c r="D1855" t="s">
        <v>13</v>
      </c>
      <c r="E1855">
        <v>32</v>
      </c>
      <c r="F1855">
        <v>3</v>
      </c>
      <c r="G1855" t="s">
        <v>4798</v>
      </c>
      <c r="H1855" t="s">
        <v>4804</v>
      </c>
      <c r="I1855">
        <v>13.99</v>
      </c>
      <c r="J1855">
        <v>2</v>
      </c>
      <c r="K1855">
        <v>1.07</v>
      </c>
      <c r="L1855">
        <v>0</v>
      </c>
      <c r="M1855" t="s">
        <v>4809</v>
      </c>
      <c r="N1855" t="s">
        <v>4900</v>
      </c>
      <c r="O1855" t="s">
        <v>4912</v>
      </c>
    </row>
    <row r="1856" spans="1:15" x14ac:dyDescent="0.35">
      <c r="A1856" t="s">
        <v>1839</v>
      </c>
      <c r="B1856">
        <v>22</v>
      </c>
      <c r="C1856" t="s">
        <v>4803</v>
      </c>
      <c r="D1856" t="s">
        <v>13</v>
      </c>
      <c r="E1856">
        <v>77</v>
      </c>
      <c r="F1856">
        <v>25</v>
      </c>
      <c r="G1856" t="s">
        <v>4798</v>
      </c>
      <c r="H1856" t="s">
        <v>4805</v>
      </c>
      <c r="I1856">
        <v>13.99</v>
      </c>
      <c r="J1856">
        <v>2</v>
      </c>
      <c r="K1856">
        <v>2.57</v>
      </c>
      <c r="L1856">
        <v>1</v>
      </c>
      <c r="M1856" t="s">
        <v>4812</v>
      </c>
      <c r="N1856" t="s">
        <v>4899</v>
      </c>
      <c r="O1856" t="s">
        <v>4912</v>
      </c>
    </row>
    <row r="1857" spans="1:15" x14ac:dyDescent="0.35">
      <c r="A1857" t="s">
        <v>1840</v>
      </c>
      <c r="B1857">
        <v>45</v>
      </c>
      <c r="C1857" t="s">
        <v>4802</v>
      </c>
      <c r="D1857" t="s">
        <v>13</v>
      </c>
      <c r="E1857">
        <v>59</v>
      </c>
      <c r="F1857">
        <v>36</v>
      </c>
      <c r="G1857" t="s">
        <v>4798</v>
      </c>
      <c r="H1857" t="s">
        <v>4805</v>
      </c>
      <c r="I1857">
        <v>13.99</v>
      </c>
      <c r="J1857">
        <v>4</v>
      </c>
      <c r="K1857">
        <v>1.97</v>
      </c>
      <c r="L1857">
        <v>0</v>
      </c>
      <c r="M1857" t="s">
        <v>4812</v>
      </c>
      <c r="N1857" t="s">
        <v>4900</v>
      </c>
      <c r="O1857" t="s">
        <v>4910</v>
      </c>
    </row>
    <row r="1858" spans="1:15" x14ac:dyDescent="0.35">
      <c r="A1858" t="s">
        <v>1841</v>
      </c>
      <c r="B1858">
        <v>34</v>
      </c>
      <c r="C1858" t="s">
        <v>4803</v>
      </c>
      <c r="D1858" t="s">
        <v>13</v>
      </c>
      <c r="E1858">
        <v>48</v>
      </c>
      <c r="F1858">
        <v>44</v>
      </c>
      <c r="G1858" t="s">
        <v>4799</v>
      </c>
      <c r="H1858" t="s">
        <v>4805</v>
      </c>
      <c r="I1858">
        <v>13.99</v>
      </c>
      <c r="J1858">
        <v>2</v>
      </c>
      <c r="K1858">
        <v>1.6</v>
      </c>
      <c r="L1858">
        <v>0</v>
      </c>
      <c r="M1858" t="s">
        <v>4809</v>
      </c>
      <c r="N1858" t="s">
        <v>4900</v>
      </c>
      <c r="O1858" t="s">
        <v>4912</v>
      </c>
    </row>
    <row r="1859" spans="1:15" x14ac:dyDescent="0.35">
      <c r="A1859" t="s">
        <v>1842</v>
      </c>
      <c r="B1859">
        <v>56</v>
      </c>
      <c r="C1859" t="s">
        <v>4802</v>
      </c>
      <c r="D1859" t="s">
        <v>13</v>
      </c>
      <c r="E1859">
        <v>45</v>
      </c>
      <c r="F1859">
        <v>50</v>
      </c>
      <c r="G1859" t="s">
        <v>4799</v>
      </c>
      <c r="H1859" t="s">
        <v>4805</v>
      </c>
      <c r="I1859">
        <v>13.99</v>
      </c>
      <c r="J1859">
        <v>4</v>
      </c>
      <c r="K1859">
        <v>1.5</v>
      </c>
      <c r="L1859">
        <v>0</v>
      </c>
      <c r="M1859" t="s">
        <v>4808</v>
      </c>
      <c r="N1859" t="s">
        <v>4900</v>
      </c>
      <c r="O1859" t="s">
        <v>4911</v>
      </c>
    </row>
    <row r="1860" spans="1:15" x14ac:dyDescent="0.35">
      <c r="A1860" t="s">
        <v>1843</v>
      </c>
      <c r="B1860">
        <v>54</v>
      </c>
      <c r="C1860" t="s">
        <v>4803</v>
      </c>
      <c r="D1860" t="s">
        <v>13</v>
      </c>
      <c r="E1860">
        <v>34</v>
      </c>
      <c r="F1860">
        <v>49</v>
      </c>
      <c r="G1860" t="s">
        <v>4798</v>
      </c>
      <c r="H1860" t="s">
        <v>4805</v>
      </c>
      <c r="I1860">
        <v>13.99</v>
      </c>
      <c r="J1860">
        <v>2</v>
      </c>
      <c r="K1860">
        <v>1.1299999999999999</v>
      </c>
      <c r="L1860">
        <v>0</v>
      </c>
      <c r="M1860" t="s">
        <v>4811</v>
      </c>
      <c r="N1860" t="s">
        <v>4900</v>
      </c>
      <c r="O1860" t="s">
        <v>4910</v>
      </c>
    </row>
    <row r="1861" spans="1:15" x14ac:dyDescent="0.35">
      <c r="A1861" t="s">
        <v>1844</v>
      </c>
      <c r="B1861">
        <v>32</v>
      </c>
      <c r="C1861" t="s">
        <v>4802</v>
      </c>
      <c r="D1861" t="s">
        <v>15</v>
      </c>
      <c r="E1861">
        <v>89</v>
      </c>
      <c r="F1861">
        <v>36</v>
      </c>
      <c r="G1861" t="s">
        <v>4797</v>
      </c>
      <c r="H1861" t="s">
        <v>4805</v>
      </c>
      <c r="I1861">
        <v>17.989999999999998</v>
      </c>
      <c r="J1861">
        <v>4</v>
      </c>
      <c r="K1861">
        <v>2.97</v>
      </c>
      <c r="L1861">
        <v>0</v>
      </c>
      <c r="M1861" t="s">
        <v>4811</v>
      </c>
      <c r="N1861" t="s">
        <v>4900</v>
      </c>
      <c r="O1861" t="s">
        <v>4912</v>
      </c>
    </row>
    <row r="1862" spans="1:15" x14ac:dyDescent="0.35">
      <c r="A1862" t="s">
        <v>1845</v>
      </c>
      <c r="B1862">
        <v>48</v>
      </c>
      <c r="C1862" t="s">
        <v>4802</v>
      </c>
      <c r="D1862" t="s">
        <v>13</v>
      </c>
      <c r="E1862">
        <v>45</v>
      </c>
      <c r="F1862">
        <v>42</v>
      </c>
      <c r="G1862" t="s">
        <v>4799</v>
      </c>
      <c r="H1862" t="s">
        <v>4804</v>
      </c>
      <c r="I1862">
        <v>13.99</v>
      </c>
      <c r="J1862">
        <v>1</v>
      </c>
      <c r="K1862">
        <v>5</v>
      </c>
      <c r="L1862">
        <v>0</v>
      </c>
      <c r="M1862" t="s">
        <v>4808</v>
      </c>
      <c r="N1862" t="s">
        <v>4900</v>
      </c>
      <c r="O1862" t="s">
        <v>4910</v>
      </c>
    </row>
    <row r="1863" spans="1:15" x14ac:dyDescent="0.35">
      <c r="A1863" t="s">
        <v>1846</v>
      </c>
      <c r="B1863">
        <v>45</v>
      </c>
      <c r="C1863" t="s">
        <v>4802</v>
      </c>
      <c r="D1863" t="s">
        <v>13</v>
      </c>
      <c r="E1863">
        <v>61</v>
      </c>
      <c r="F1863">
        <v>34</v>
      </c>
      <c r="G1863" t="s">
        <v>4798</v>
      </c>
      <c r="H1863" t="s">
        <v>4805</v>
      </c>
      <c r="I1863">
        <v>13.99</v>
      </c>
      <c r="J1863">
        <v>4</v>
      </c>
      <c r="K1863">
        <v>2.0299999999999998</v>
      </c>
      <c r="L1863">
        <v>1</v>
      </c>
      <c r="M1863" t="s">
        <v>4810</v>
      </c>
      <c r="N1863" t="s">
        <v>4899</v>
      </c>
      <c r="O1863" t="s">
        <v>4910</v>
      </c>
    </row>
    <row r="1864" spans="1:15" x14ac:dyDescent="0.35">
      <c r="A1864" t="s">
        <v>1847</v>
      </c>
      <c r="B1864">
        <v>35</v>
      </c>
      <c r="C1864" t="s">
        <v>4803</v>
      </c>
      <c r="D1864" t="s">
        <v>15</v>
      </c>
      <c r="E1864">
        <v>80</v>
      </c>
      <c r="F1864" t="s">
        <v>4814</v>
      </c>
      <c r="G1864" t="s">
        <v>4799</v>
      </c>
      <c r="H1864" t="s">
        <v>4805</v>
      </c>
      <c r="I1864">
        <v>17.989999999999998</v>
      </c>
      <c r="J1864">
        <v>5</v>
      </c>
      <c r="K1864">
        <v>2.67</v>
      </c>
      <c r="L1864">
        <v>0</v>
      </c>
      <c r="M1864" t="s">
        <v>4812</v>
      </c>
      <c r="N1864" t="s">
        <v>4900</v>
      </c>
      <c r="O1864" t="s">
        <v>4910</v>
      </c>
    </row>
    <row r="1865" spans="1:15" x14ac:dyDescent="0.35">
      <c r="A1865" t="s">
        <v>1848</v>
      </c>
      <c r="B1865">
        <v>50</v>
      </c>
      <c r="C1865" t="s">
        <v>4802</v>
      </c>
      <c r="D1865" t="s">
        <v>13</v>
      </c>
      <c r="E1865">
        <v>42</v>
      </c>
      <c r="F1865">
        <v>23</v>
      </c>
      <c r="G1865" t="s">
        <v>4799</v>
      </c>
      <c r="H1865" t="s">
        <v>4806</v>
      </c>
      <c r="I1865">
        <v>13.99</v>
      </c>
      <c r="J1865">
        <v>3</v>
      </c>
      <c r="K1865">
        <v>1.4</v>
      </c>
      <c r="L1865">
        <v>0</v>
      </c>
      <c r="M1865" t="s">
        <v>4812</v>
      </c>
      <c r="N1865" t="s">
        <v>4900</v>
      </c>
      <c r="O1865" t="s">
        <v>4910</v>
      </c>
    </row>
    <row r="1866" spans="1:15" x14ac:dyDescent="0.35">
      <c r="A1866" t="s">
        <v>1849</v>
      </c>
      <c r="B1866">
        <v>23</v>
      </c>
      <c r="C1866" t="s">
        <v>4802</v>
      </c>
      <c r="D1866" t="s">
        <v>13</v>
      </c>
      <c r="E1866">
        <v>43</v>
      </c>
      <c r="F1866">
        <v>999</v>
      </c>
      <c r="G1866" t="s">
        <v>4799</v>
      </c>
      <c r="H1866" t="s">
        <v>4805</v>
      </c>
      <c r="I1866">
        <v>13.99</v>
      </c>
      <c r="J1866">
        <v>3</v>
      </c>
      <c r="K1866">
        <v>1.43</v>
      </c>
      <c r="L1866">
        <v>0</v>
      </c>
      <c r="M1866" t="s">
        <v>4811</v>
      </c>
      <c r="N1866" t="s">
        <v>4900</v>
      </c>
      <c r="O1866" t="s">
        <v>4912</v>
      </c>
    </row>
    <row r="1867" spans="1:15" x14ac:dyDescent="0.35">
      <c r="A1867" t="s">
        <v>1850</v>
      </c>
      <c r="B1867">
        <v>29</v>
      </c>
      <c r="C1867" t="s">
        <v>4802</v>
      </c>
      <c r="D1867" t="s">
        <v>15</v>
      </c>
      <c r="E1867">
        <v>116</v>
      </c>
      <c r="F1867">
        <v>49</v>
      </c>
      <c r="G1867" t="s">
        <v>4798</v>
      </c>
      <c r="H1867" t="s">
        <v>4806</v>
      </c>
      <c r="I1867">
        <v>17.989999999999998</v>
      </c>
      <c r="J1867">
        <v>3</v>
      </c>
      <c r="K1867">
        <v>2.0299999999999998</v>
      </c>
      <c r="L1867">
        <v>1</v>
      </c>
      <c r="M1867" t="s">
        <v>4811</v>
      </c>
      <c r="N1867" t="s">
        <v>4899</v>
      </c>
      <c r="O1867" t="s">
        <v>4912</v>
      </c>
    </row>
    <row r="1868" spans="1:15" x14ac:dyDescent="0.35">
      <c r="A1868" t="s">
        <v>1851</v>
      </c>
      <c r="B1868">
        <v>58</v>
      </c>
      <c r="C1868" t="s">
        <v>4802</v>
      </c>
      <c r="D1868" t="s">
        <v>13</v>
      </c>
      <c r="E1868">
        <v>64</v>
      </c>
      <c r="F1868">
        <v>51</v>
      </c>
      <c r="G1868" t="s">
        <v>4799</v>
      </c>
      <c r="H1868" t="s">
        <v>4804</v>
      </c>
      <c r="I1868">
        <v>13.99</v>
      </c>
      <c r="J1868">
        <v>2</v>
      </c>
      <c r="K1868">
        <v>2.13</v>
      </c>
      <c r="L1868">
        <v>0</v>
      </c>
      <c r="M1868" t="s">
        <v>4808</v>
      </c>
      <c r="N1868" t="s">
        <v>4900</v>
      </c>
      <c r="O1868" t="s">
        <v>4911</v>
      </c>
    </row>
    <row r="1869" spans="1:15" x14ac:dyDescent="0.35">
      <c r="A1869" t="s">
        <v>1852</v>
      </c>
      <c r="B1869">
        <v>38</v>
      </c>
      <c r="C1869" t="s">
        <v>4802</v>
      </c>
      <c r="D1869" t="s">
        <v>13</v>
      </c>
      <c r="E1869">
        <v>52</v>
      </c>
      <c r="F1869">
        <v>49</v>
      </c>
      <c r="G1869" t="s">
        <v>4799</v>
      </c>
      <c r="H1869" t="s">
        <v>4806</v>
      </c>
      <c r="I1869">
        <v>13.99</v>
      </c>
      <c r="J1869">
        <v>4</v>
      </c>
      <c r="K1869">
        <v>1.73</v>
      </c>
      <c r="L1869">
        <v>0</v>
      </c>
      <c r="M1869" t="s">
        <v>4808</v>
      </c>
      <c r="N1869" t="s">
        <v>4900</v>
      </c>
      <c r="O1869" t="s">
        <v>4910</v>
      </c>
    </row>
    <row r="1870" spans="1:15" x14ac:dyDescent="0.35">
      <c r="A1870" t="s">
        <v>1853</v>
      </c>
      <c r="B1870">
        <v>35</v>
      </c>
      <c r="C1870" t="s">
        <v>4802</v>
      </c>
      <c r="D1870" t="s">
        <v>13</v>
      </c>
      <c r="E1870">
        <v>66</v>
      </c>
      <c r="F1870">
        <v>38</v>
      </c>
      <c r="G1870" t="s">
        <v>4799</v>
      </c>
      <c r="H1870" t="s">
        <v>4805</v>
      </c>
      <c r="I1870">
        <v>13.99</v>
      </c>
      <c r="J1870">
        <v>4</v>
      </c>
      <c r="K1870">
        <v>2.2000000000000002</v>
      </c>
      <c r="L1870">
        <v>0</v>
      </c>
      <c r="M1870" t="s">
        <v>4811</v>
      </c>
      <c r="N1870" t="s">
        <v>4900</v>
      </c>
      <c r="O1870" t="s">
        <v>4910</v>
      </c>
    </row>
    <row r="1871" spans="1:15" x14ac:dyDescent="0.35">
      <c r="A1871" t="s">
        <v>1854</v>
      </c>
      <c r="B1871">
        <v>32</v>
      </c>
      <c r="C1871" t="s">
        <v>4803</v>
      </c>
      <c r="D1871" t="s">
        <v>13</v>
      </c>
      <c r="E1871">
        <v>80</v>
      </c>
      <c r="F1871">
        <v>58</v>
      </c>
      <c r="G1871" t="s">
        <v>4797</v>
      </c>
      <c r="H1871" t="s">
        <v>4804</v>
      </c>
      <c r="I1871">
        <v>13.99</v>
      </c>
      <c r="J1871">
        <v>3</v>
      </c>
      <c r="K1871">
        <v>2.67</v>
      </c>
      <c r="L1871">
        <v>0</v>
      </c>
      <c r="M1871" t="s">
        <v>4808</v>
      </c>
      <c r="N1871" t="s">
        <v>4900</v>
      </c>
      <c r="O1871" t="s">
        <v>4912</v>
      </c>
    </row>
    <row r="1872" spans="1:15" x14ac:dyDescent="0.35">
      <c r="A1872" t="s">
        <v>1855</v>
      </c>
      <c r="B1872">
        <v>32</v>
      </c>
      <c r="C1872" t="s">
        <v>4802</v>
      </c>
      <c r="D1872" t="s">
        <v>15</v>
      </c>
      <c r="E1872">
        <v>90</v>
      </c>
      <c r="F1872">
        <v>25</v>
      </c>
      <c r="G1872" t="s">
        <v>4799</v>
      </c>
      <c r="H1872" t="s">
        <v>4805</v>
      </c>
      <c r="I1872">
        <v>17.989999999999998</v>
      </c>
      <c r="J1872">
        <v>4</v>
      </c>
      <c r="K1872">
        <v>3</v>
      </c>
      <c r="L1872">
        <v>0</v>
      </c>
      <c r="M1872" t="s">
        <v>4811</v>
      </c>
      <c r="N1872" t="s">
        <v>4900</v>
      </c>
      <c r="O1872" t="s">
        <v>4912</v>
      </c>
    </row>
    <row r="1873" spans="1:15" x14ac:dyDescent="0.35">
      <c r="A1873" t="s">
        <v>1856</v>
      </c>
      <c r="B1873">
        <v>50</v>
      </c>
      <c r="C1873" t="s">
        <v>4803</v>
      </c>
      <c r="D1873" t="s">
        <v>15</v>
      </c>
      <c r="E1873">
        <v>52</v>
      </c>
      <c r="F1873">
        <v>1</v>
      </c>
      <c r="G1873" t="s">
        <v>4798</v>
      </c>
      <c r="H1873" t="s">
        <v>4806</v>
      </c>
      <c r="I1873">
        <v>17.989999999999998</v>
      </c>
      <c r="J1873">
        <v>2</v>
      </c>
      <c r="K1873">
        <v>1.73</v>
      </c>
      <c r="L1873">
        <v>0</v>
      </c>
      <c r="M1873" t="s">
        <v>4808</v>
      </c>
      <c r="N1873" t="s">
        <v>4900</v>
      </c>
      <c r="O1873" t="s">
        <v>4910</v>
      </c>
    </row>
    <row r="1874" spans="1:15" x14ac:dyDescent="0.35">
      <c r="A1874" t="s">
        <v>1857</v>
      </c>
      <c r="B1874">
        <v>36</v>
      </c>
      <c r="C1874" t="s">
        <v>4803</v>
      </c>
      <c r="D1874" t="s">
        <v>13</v>
      </c>
      <c r="E1874">
        <v>63</v>
      </c>
      <c r="F1874">
        <v>57</v>
      </c>
      <c r="G1874" t="s">
        <v>4798</v>
      </c>
      <c r="H1874" t="s">
        <v>4805</v>
      </c>
      <c r="I1874">
        <v>13.99</v>
      </c>
      <c r="J1874">
        <v>1</v>
      </c>
      <c r="K1874">
        <v>2.1</v>
      </c>
      <c r="L1874">
        <v>0</v>
      </c>
      <c r="M1874" t="s">
        <v>4809</v>
      </c>
      <c r="N1874" t="s">
        <v>4900</v>
      </c>
      <c r="O1874" t="s">
        <v>4910</v>
      </c>
    </row>
    <row r="1875" spans="1:15" x14ac:dyDescent="0.35">
      <c r="A1875" t="s">
        <v>1858</v>
      </c>
      <c r="B1875">
        <v>24</v>
      </c>
      <c r="C1875" t="s">
        <v>4802</v>
      </c>
      <c r="D1875" t="s">
        <v>13</v>
      </c>
      <c r="E1875">
        <v>44</v>
      </c>
      <c r="F1875">
        <v>18</v>
      </c>
      <c r="G1875" t="s">
        <v>4798</v>
      </c>
      <c r="H1875" t="s">
        <v>4807</v>
      </c>
      <c r="I1875">
        <v>13.99</v>
      </c>
      <c r="J1875">
        <v>1</v>
      </c>
      <c r="K1875">
        <v>1.47</v>
      </c>
      <c r="L1875">
        <v>0</v>
      </c>
      <c r="M1875" t="s">
        <v>4809</v>
      </c>
      <c r="N1875" t="s">
        <v>4900</v>
      </c>
      <c r="O1875" t="s">
        <v>4912</v>
      </c>
    </row>
    <row r="1876" spans="1:15" x14ac:dyDescent="0.35">
      <c r="A1876" t="s">
        <v>1859</v>
      </c>
      <c r="B1876">
        <v>40</v>
      </c>
      <c r="C1876" t="s">
        <v>4803</v>
      </c>
      <c r="D1876" t="s">
        <v>13</v>
      </c>
      <c r="E1876">
        <v>53</v>
      </c>
      <c r="F1876">
        <v>48</v>
      </c>
      <c r="G1876" t="s">
        <v>4798</v>
      </c>
      <c r="H1876" t="s">
        <v>4805</v>
      </c>
      <c r="I1876">
        <v>13.99</v>
      </c>
      <c r="J1876">
        <v>3</v>
      </c>
      <c r="K1876">
        <v>1.77</v>
      </c>
      <c r="L1876">
        <v>1</v>
      </c>
      <c r="M1876" t="s">
        <v>4812</v>
      </c>
      <c r="N1876" t="s">
        <v>4899</v>
      </c>
      <c r="O1876" t="s">
        <v>4910</v>
      </c>
    </row>
    <row r="1877" spans="1:15" x14ac:dyDescent="0.35">
      <c r="A1877" t="s">
        <v>1860</v>
      </c>
      <c r="B1877">
        <v>19</v>
      </c>
      <c r="C1877" t="s">
        <v>4802</v>
      </c>
      <c r="D1877" t="s">
        <v>15</v>
      </c>
      <c r="E1877">
        <v>100</v>
      </c>
      <c r="F1877">
        <v>30</v>
      </c>
      <c r="G1877" t="s">
        <v>4798</v>
      </c>
      <c r="H1877" t="s">
        <v>4805</v>
      </c>
      <c r="I1877">
        <v>17.989999999999998</v>
      </c>
      <c r="J1877">
        <v>3</v>
      </c>
      <c r="K1877">
        <v>2.0299999999999998</v>
      </c>
      <c r="L1877">
        <v>0</v>
      </c>
      <c r="M1877" t="s">
        <v>4811</v>
      </c>
      <c r="N1877" t="s">
        <v>4900</v>
      </c>
      <c r="O1877" t="s">
        <v>4912</v>
      </c>
    </row>
    <row r="1878" spans="1:15" x14ac:dyDescent="0.35">
      <c r="A1878" t="s">
        <v>1861</v>
      </c>
      <c r="B1878">
        <v>25</v>
      </c>
      <c r="C1878" t="s">
        <v>4802</v>
      </c>
      <c r="D1878" t="s">
        <v>13</v>
      </c>
      <c r="E1878">
        <v>35</v>
      </c>
      <c r="F1878">
        <v>40</v>
      </c>
      <c r="G1878" t="s">
        <v>4797</v>
      </c>
      <c r="H1878" t="s">
        <v>4804</v>
      </c>
      <c r="I1878">
        <v>13.99</v>
      </c>
      <c r="J1878">
        <v>1</v>
      </c>
      <c r="K1878">
        <v>1.17</v>
      </c>
      <c r="L1878">
        <v>0</v>
      </c>
      <c r="M1878" t="s">
        <v>4811</v>
      </c>
      <c r="N1878" t="s">
        <v>4900</v>
      </c>
      <c r="O1878" t="s">
        <v>4912</v>
      </c>
    </row>
    <row r="1879" spans="1:15" x14ac:dyDescent="0.35">
      <c r="A1879" t="s">
        <v>1862</v>
      </c>
      <c r="B1879">
        <v>36</v>
      </c>
      <c r="C1879" t="s">
        <v>4803</v>
      </c>
      <c r="D1879" t="s">
        <v>15</v>
      </c>
      <c r="E1879">
        <v>115</v>
      </c>
      <c r="F1879">
        <v>999</v>
      </c>
      <c r="G1879" t="s">
        <v>4797</v>
      </c>
      <c r="H1879" t="s">
        <v>4805</v>
      </c>
      <c r="I1879">
        <v>17.989999999999998</v>
      </c>
      <c r="J1879">
        <v>3</v>
      </c>
      <c r="K1879">
        <v>3.83</v>
      </c>
      <c r="L1879">
        <v>0</v>
      </c>
      <c r="M1879" t="s">
        <v>4809</v>
      </c>
      <c r="N1879" t="s">
        <v>4900</v>
      </c>
      <c r="O1879" t="s">
        <v>4910</v>
      </c>
    </row>
    <row r="1880" spans="1:15" x14ac:dyDescent="0.35">
      <c r="A1880" t="s">
        <v>1863</v>
      </c>
      <c r="B1880">
        <v>24</v>
      </c>
      <c r="C1880" t="s">
        <v>4803</v>
      </c>
      <c r="D1880" t="s">
        <v>13</v>
      </c>
      <c r="E1880">
        <v>33</v>
      </c>
      <c r="F1880">
        <v>48</v>
      </c>
      <c r="G1880" t="s">
        <v>4797</v>
      </c>
      <c r="H1880" t="s">
        <v>4804</v>
      </c>
      <c r="I1880">
        <v>13.99</v>
      </c>
      <c r="J1880">
        <v>1</v>
      </c>
      <c r="K1880">
        <v>1.1000000000000001</v>
      </c>
      <c r="L1880">
        <v>0</v>
      </c>
      <c r="M1880" t="s">
        <v>4812</v>
      </c>
      <c r="N1880" t="s">
        <v>4900</v>
      </c>
      <c r="O1880" t="s">
        <v>4912</v>
      </c>
    </row>
    <row r="1881" spans="1:15" x14ac:dyDescent="0.35">
      <c r="A1881" t="s">
        <v>1864</v>
      </c>
      <c r="B1881">
        <v>29</v>
      </c>
      <c r="C1881" t="s">
        <v>4803</v>
      </c>
      <c r="D1881" t="s">
        <v>13</v>
      </c>
      <c r="E1881">
        <v>33</v>
      </c>
      <c r="F1881">
        <v>57</v>
      </c>
      <c r="G1881" t="s">
        <v>4797</v>
      </c>
      <c r="H1881" t="s">
        <v>4805</v>
      </c>
      <c r="I1881">
        <v>13.99</v>
      </c>
      <c r="J1881">
        <v>3</v>
      </c>
      <c r="K1881">
        <v>1.1000000000000001</v>
      </c>
      <c r="L1881">
        <v>1</v>
      </c>
      <c r="M1881" t="s">
        <v>4810</v>
      </c>
      <c r="N1881" t="s">
        <v>4899</v>
      </c>
      <c r="O1881" t="s">
        <v>4912</v>
      </c>
    </row>
    <row r="1882" spans="1:15" x14ac:dyDescent="0.35">
      <c r="A1882" t="s">
        <v>1865</v>
      </c>
      <c r="B1882">
        <v>60</v>
      </c>
      <c r="C1882" t="s">
        <v>4802</v>
      </c>
      <c r="D1882" t="s">
        <v>13</v>
      </c>
      <c r="E1882">
        <v>72</v>
      </c>
      <c r="F1882">
        <v>36</v>
      </c>
      <c r="G1882" t="s">
        <v>4798</v>
      </c>
      <c r="H1882" t="s">
        <v>4804</v>
      </c>
      <c r="I1882">
        <v>13.99</v>
      </c>
      <c r="J1882">
        <v>1</v>
      </c>
      <c r="K1882">
        <v>2.4</v>
      </c>
      <c r="L1882">
        <v>0</v>
      </c>
      <c r="M1882" t="s">
        <v>4808</v>
      </c>
      <c r="N1882" t="s">
        <v>4900</v>
      </c>
      <c r="O1882" t="s">
        <v>4911</v>
      </c>
    </row>
    <row r="1883" spans="1:15" x14ac:dyDescent="0.35">
      <c r="A1883" t="s">
        <v>1866</v>
      </c>
      <c r="B1883">
        <v>58</v>
      </c>
      <c r="C1883" t="s">
        <v>4803</v>
      </c>
      <c r="D1883" t="s">
        <v>13</v>
      </c>
      <c r="E1883">
        <v>73</v>
      </c>
      <c r="F1883" t="s">
        <v>4814</v>
      </c>
      <c r="G1883" t="s">
        <v>4797</v>
      </c>
      <c r="H1883" t="s">
        <v>4807</v>
      </c>
      <c r="I1883">
        <v>13.99</v>
      </c>
      <c r="J1883">
        <v>2</v>
      </c>
      <c r="K1883">
        <v>2.4300000000000002</v>
      </c>
      <c r="L1883">
        <v>0</v>
      </c>
      <c r="M1883" t="s">
        <v>4810</v>
      </c>
      <c r="N1883" t="s">
        <v>4900</v>
      </c>
      <c r="O1883" t="s">
        <v>4911</v>
      </c>
    </row>
    <row r="1884" spans="1:15" x14ac:dyDescent="0.35">
      <c r="A1884" t="s">
        <v>1867</v>
      </c>
      <c r="B1884">
        <v>41</v>
      </c>
      <c r="C1884" t="s">
        <v>4802</v>
      </c>
      <c r="D1884" t="s">
        <v>13</v>
      </c>
      <c r="E1884">
        <v>64</v>
      </c>
      <c r="F1884">
        <v>44</v>
      </c>
      <c r="G1884" t="s">
        <v>4798</v>
      </c>
      <c r="H1884" t="s">
        <v>4806</v>
      </c>
      <c r="I1884">
        <v>13.99</v>
      </c>
      <c r="J1884">
        <v>1</v>
      </c>
      <c r="K1884">
        <v>2.13</v>
      </c>
      <c r="L1884">
        <v>0</v>
      </c>
      <c r="M1884" t="s">
        <v>4811</v>
      </c>
      <c r="N1884" t="s">
        <v>4900</v>
      </c>
      <c r="O1884" t="s">
        <v>4910</v>
      </c>
    </row>
    <row r="1885" spans="1:15" x14ac:dyDescent="0.35">
      <c r="A1885" t="s">
        <v>1868</v>
      </c>
      <c r="B1885">
        <v>39</v>
      </c>
      <c r="C1885" t="s">
        <v>4803</v>
      </c>
      <c r="D1885" t="s">
        <v>14</v>
      </c>
      <c r="E1885">
        <v>41</v>
      </c>
      <c r="F1885">
        <v>7</v>
      </c>
      <c r="G1885" t="s">
        <v>4797</v>
      </c>
      <c r="H1885" t="s">
        <v>4805</v>
      </c>
      <c r="I1885">
        <v>8.99</v>
      </c>
      <c r="J1885">
        <v>2</v>
      </c>
      <c r="K1885">
        <v>1.37</v>
      </c>
      <c r="L1885">
        <v>1</v>
      </c>
      <c r="M1885" t="s">
        <v>4809</v>
      </c>
      <c r="N1885" t="s">
        <v>4899</v>
      </c>
      <c r="O1885" t="s">
        <v>4910</v>
      </c>
    </row>
    <row r="1886" spans="1:15" x14ac:dyDescent="0.35">
      <c r="A1886" t="s">
        <v>1869</v>
      </c>
      <c r="B1886">
        <v>57</v>
      </c>
      <c r="C1886" t="s">
        <v>4803</v>
      </c>
      <c r="D1886" t="s">
        <v>13</v>
      </c>
      <c r="E1886">
        <v>52</v>
      </c>
      <c r="F1886">
        <v>54</v>
      </c>
      <c r="G1886" t="s">
        <v>4799</v>
      </c>
      <c r="H1886" t="s">
        <v>4805</v>
      </c>
      <c r="I1886">
        <v>13.99</v>
      </c>
      <c r="J1886">
        <v>3</v>
      </c>
      <c r="K1886">
        <v>1.73</v>
      </c>
      <c r="L1886">
        <v>0</v>
      </c>
      <c r="M1886" t="s">
        <v>4808</v>
      </c>
      <c r="N1886" t="s">
        <v>4900</v>
      </c>
      <c r="O1886" t="s">
        <v>4911</v>
      </c>
    </row>
    <row r="1887" spans="1:15" x14ac:dyDescent="0.35">
      <c r="A1887" t="s">
        <v>1870</v>
      </c>
      <c r="B1887">
        <v>49</v>
      </c>
      <c r="C1887" t="s">
        <v>4802</v>
      </c>
      <c r="D1887" t="s">
        <v>14</v>
      </c>
      <c r="E1887">
        <v>84</v>
      </c>
      <c r="F1887">
        <v>46</v>
      </c>
      <c r="G1887" t="s">
        <v>4799</v>
      </c>
      <c r="H1887" t="s">
        <v>4805</v>
      </c>
      <c r="I1887">
        <v>8.99</v>
      </c>
      <c r="J1887">
        <v>2</v>
      </c>
      <c r="K1887">
        <v>2.8</v>
      </c>
      <c r="L1887">
        <v>0</v>
      </c>
      <c r="M1887" t="s">
        <v>4811</v>
      </c>
      <c r="N1887" t="s">
        <v>4900</v>
      </c>
      <c r="O1887" t="s">
        <v>4910</v>
      </c>
    </row>
    <row r="1888" spans="1:15" x14ac:dyDescent="0.35">
      <c r="A1888" t="s">
        <v>1871</v>
      </c>
      <c r="B1888">
        <v>30</v>
      </c>
      <c r="C1888" t="s">
        <v>4803</v>
      </c>
      <c r="D1888" t="s">
        <v>13</v>
      </c>
      <c r="E1888">
        <v>53</v>
      </c>
      <c r="F1888">
        <v>13</v>
      </c>
      <c r="G1888" t="s">
        <v>4797</v>
      </c>
      <c r="H1888" t="s">
        <v>4806</v>
      </c>
      <c r="I1888">
        <v>13.99</v>
      </c>
      <c r="J1888">
        <v>4</v>
      </c>
      <c r="K1888">
        <v>2.0299999999999998</v>
      </c>
      <c r="L1888">
        <v>0</v>
      </c>
      <c r="M1888" t="s">
        <v>4809</v>
      </c>
      <c r="N1888" t="s">
        <v>4900</v>
      </c>
      <c r="O1888" t="s">
        <v>4912</v>
      </c>
    </row>
    <row r="1889" spans="1:15" x14ac:dyDescent="0.35">
      <c r="A1889" t="s">
        <v>1872</v>
      </c>
      <c r="B1889">
        <v>36</v>
      </c>
      <c r="C1889" t="s">
        <v>4802</v>
      </c>
      <c r="D1889" t="s">
        <v>14</v>
      </c>
      <c r="E1889">
        <v>31</v>
      </c>
      <c r="F1889">
        <v>51</v>
      </c>
      <c r="G1889" t="s">
        <v>4797</v>
      </c>
      <c r="H1889" t="s">
        <v>4805</v>
      </c>
      <c r="I1889">
        <v>8.99</v>
      </c>
      <c r="J1889">
        <v>1</v>
      </c>
      <c r="K1889">
        <v>1.03</v>
      </c>
      <c r="L1889">
        <v>0</v>
      </c>
      <c r="M1889" t="s">
        <v>4812</v>
      </c>
      <c r="N1889" t="s">
        <v>4900</v>
      </c>
      <c r="O1889" t="s">
        <v>4910</v>
      </c>
    </row>
    <row r="1890" spans="1:15" x14ac:dyDescent="0.35">
      <c r="A1890" t="s">
        <v>1873</v>
      </c>
      <c r="B1890">
        <v>33</v>
      </c>
      <c r="C1890" t="s">
        <v>4803</v>
      </c>
      <c r="D1890" t="s">
        <v>13</v>
      </c>
      <c r="E1890">
        <v>49</v>
      </c>
      <c r="F1890">
        <v>37</v>
      </c>
      <c r="G1890" t="s">
        <v>4800</v>
      </c>
      <c r="H1890" t="s">
        <v>4805</v>
      </c>
      <c r="I1890">
        <v>13.99</v>
      </c>
      <c r="J1890">
        <v>4</v>
      </c>
      <c r="K1890">
        <v>1.63</v>
      </c>
      <c r="L1890">
        <v>0</v>
      </c>
      <c r="M1890" t="s">
        <v>4808</v>
      </c>
      <c r="N1890" t="s">
        <v>4900</v>
      </c>
      <c r="O1890" t="s">
        <v>4912</v>
      </c>
    </row>
    <row r="1891" spans="1:15" x14ac:dyDescent="0.35">
      <c r="A1891" t="s">
        <v>1874</v>
      </c>
      <c r="B1891">
        <v>57</v>
      </c>
      <c r="C1891" t="s">
        <v>4803</v>
      </c>
      <c r="D1891" t="s">
        <v>13</v>
      </c>
      <c r="E1891">
        <v>41</v>
      </c>
      <c r="F1891">
        <v>48</v>
      </c>
      <c r="G1891" t="s">
        <v>4798</v>
      </c>
      <c r="H1891" t="s">
        <v>4806</v>
      </c>
      <c r="I1891">
        <v>13.99</v>
      </c>
      <c r="J1891">
        <v>3</v>
      </c>
      <c r="K1891">
        <v>1.37</v>
      </c>
      <c r="L1891">
        <v>1</v>
      </c>
      <c r="M1891" t="s">
        <v>4808</v>
      </c>
      <c r="N1891" t="s">
        <v>4899</v>
      </c>
      <c r="O1891" t="s">
        <v>4911</v>
      </c>
    </row>
    <row r="1892" spans="1:15" x14ac:dyDescent="0.35">
      <c r="A1892" t="s">
        <v>1875</v>
      </c>
      <c r="B1892">
        <v>57</v>
      </c>
      <c r="C1892" t="s">
        <v>4803</v>
      </c>
      <c r="D1892" t="s">
        <v>13</v>
      </c>
      <c r="E1892">
        <v>47</v>
      </c>
      <c r="F1892">
        <v>28</v>
      </c>
      <c r="G1892" t="s">
        <v>4798</v>
      </c>
      <c r="H1892" t="s">
        <v>4805</v>
      </c>
      <c r="I1892">
        <v>13.99</v>
      </c>
      <c r="J1892">
        <v>3</v>
      </c>
      <c r="K1892">
        <v>1.57</v>
      </c>
      <c r="L1892">
        <v>0</v>
      </c>
      <c r="M1892" t="s">
        <v>4809</v>
      </c>
      <c r="N1892" t="s">
        <v>4900</v>
      </c>
      <c r="O1892" t="s">
        <v>4911</v>
      </c>
    </row>
    <row r="1893" spans="1:15" x14ac:dyDescent="0.35">
      <c r="A1893" t="s">
        <v>1876</v>
      </c>
      <c r="B1893">
        <v>40</v>
      </c>
      <c r="C1893" t="s">
        <v>4803</v>
      </c>
      <c r="D1893" t="s">
        <v>13</v>
      </c>
      <c r="E1893">
        <v>53</v>
      </c>
      <c r="F1893">
        <v>35</v>
      </c>
      <c r="G1893" t="s">
        <v>4797</v>
      </c>
      <c r="H1893" t="s">
        <v>4805</v>
      </c>
      <c r="I1893">
        <v>13.99</v>
      </c>
      <c r="J1893">
        <v>4</v>
      </c>
      <c r="K1893">
        <v>1.77</v>
      </c>
      <c r="L1893">
        <v>0</v>
      </c>
      <c r="M1893" t="s">
        <v>4811</v>
      </c>
      <c r="N1893" t="s">
        <v>4900</v>
      </c>
      <c r="O1893" t="s">
        <v>4910</v>
      </c>
    </row>
    <row r="1894" spans="1:15" x14ac:dyDescent="0.35">
      <c r="A1894" t="s">
        <v>1877</v>
      </c>
      <c r="B1894">
        <v>27</v>
      </c>
      <c r="C1894" t="s">
        <v>4802</v>
      </c>
      <c r="D1894" t="s">
        <v>13</v>
      </c>
      <c r="E1894">
        <v>72</v>
      </c>
      <c r="F1894">
        <v>999</v>
      </c>
      <c r="G1894" t="s">
        <v>4798</v>
      </c>
      <c r="H1894" t="s">
        <v>4804</v>
      </c>
      <c r="I1894">
        <v>13.99</v>
      </c>
      <c r="J1894">
        <v>4</v>
      </c>
      <c r="K1894">
        <v>2.4</v>
      </c>
      <c r="L1894">
        <v>0</v>
      </c>
      <c r="M1894" t="s">
        <v>4808</v>
      </c>
      <c r="N1894" t="s">
        <v>4900</v>
      </c>
      <c r="O1894" t="s">
        <v>4912</v>
      </c>
    </row>
    <row r="1895" spans="1:15" x14ac:dyDescent="0.35">
      <c r="A1895" t="s">
        <v>1878</v>
      </c>
      <c r="B1895">
        <v>52</v>
      </c>
      <c r="C1895" t="s">
        <v>4803</v>
      </c>
      <c r="D1895" t="s">
        <v>15</v>
      </c>
      <c r="E1895">
        <v>60</v>
      </c>
      <c r="F1895">
        <v>35</v>
      </c>
      <c r="G1895" t="s">
        <v>4800</v>
      </c>
      <c r="H1895" t="s">
        <v>4805</v>
      </c>
      <c r="I1895">
        <v>17.989999999999998</v>
      </c>
      <c r="J1895">
        <v>3</v>
      </c>
      <c r="K1895">
        <v>2</v>
      </c>
      <c r="L1895">
        <v>0</v>
      </c>
      <c r="M1895" t="s">
        <v>4809</v>
      </c>
      <c r="N1895" t="s">
        <v>4900</v>
      </c>
      <c r="O1895" t="s">
        <v>4910</v>
      </c>
    </row>
    <row r="1896" spans="1:15" x14ac:dyDescent="0.35">
      <c r="A1896" t="s">
        <v>1879</v>
      </c>
      <c r="B1896">
        <v>28</v>
      </c>
      <c r="C1896" t="s">
        <v>4803</v>
      </c>
      <c r="D1896" t="s">
        <v>13</v>
      </c>
      <c r="E1896">
        <v>37</v>
      </c>
      <c r="F1896">
        <v>27</v>
      </c>
      <c r="G1896" t="s">
        <v>4798</v>
      </c>
      <c r="H1896" t="s">
        <v>4805</v>
      </c>
      <c r="I1896">
        <v>13.99</v>
      </c>
      <c r="J1896">
        <v>4</v>
      </c>
      <c r="K1896">
        <v>1.23</v>
      </c>
      <c r="L1896">
        <v>0</v>
      </c>
      <c r="M1896" t="s">
        <v>4808</v>
      </c>
      <c r="N1896" t="s">
        <v>4900</v>
      </c>
      <c r="O1896" t="s">
        <v>4912</v>
      </c>
    </row>
    <row r="1897" spans="1:15" x14ac:dyDescent="0.35">
      <c r="A1897" t="s">
        <v>1880</v>
      </c>
      <c r="B1897">
        <v>50</v>
      </c>
      <c r="C1897" t="s">
        <v>4802</v>
      </c>
      <c r="D1897" t="s">
        <v>13</v>
      </c>
      <c r="E1897">
        <v>38</v>
      </c>
      <c r="F1897">
        <v>25</v>
      </c>
      <c r="G1897" t="s">
        <v>4798</v>
      </c>
      <c r="H1897" t="s">
        <v>4805</v>
      </c>
      <c r="I1897">
        <v>13.99</v>
      </c>
      <c r="J1897">
        <v>4</v>
      </c>
      <c r="K1897">
        <v>1.27</v>
      </c>
      <c r="L1897">
        <v>0</v>
      </c>
      <c r="M1897" t="s">
        <v>4810</v>
      </c>
      <c r="N1897" t="s">
        <v>4900</v>
      </c>
      <c r="O1897" t="s">
        <v>4910</v>
      </c>
    </row>
    <row r="1898" spans="1:15" x14ac:dyDescent="0.35">
      <c r="A1898" t="s">
        <v>1881</v>
      </c>
      <c r="B1898">
        <v>50</v>
      </c>
      <c r="C1898" t="s">
        <v>4803</v>
      </c>
      <c r="D1898" t="s">
        <v>13</v>
      </c>
      <c r="E1898">
        <v>66</v>
      </c>
      <c r="F1898">
        <v>2</v>
      </c>
      <c r="G1898" t="s">
        <v>4799</v>
      </c>
      <c r="H1898" t="s">
        <v>4806</v>
      </c>
      <c r="I1898">
        <v>13.99</v>
      </c>
      <c r="J1898">
        <v>3</v>
      </c>
      <c r="K1898">
        <v>5</v>
      </c>
      <c r="L1898">
        <v>1</v>
      </c>
      <c r="M1898" t="s">
        <v>4810</v>
      </c>
      <c r="N1898" t="s">
        <v>4899</v>
      </c>
      <c r="O1898" t="s">
        <v>4910</v>
      </c>
    </row>
    <row r="1899" spans="1:15" x14ac:dyDescent="0.35">
      <c r="A1899" t="s">
        <v>1882</v>
      </c>
      <c r="B1899">
        <v>55</v>
      </c>
      <c r="C1899" t="s">
        <v>4803</v>
      </c>
      <c r="D1899" t="s">
        <v>13</v>
      </c>
      <c r="E1899">
        <v>57</v>
      </c>
      <c r="F1899">
        <v>30</v>
      </c>
      <c r="G1899" t="s">
        <v>4798</v>
      </c>
      <c r="H1899" t="s">
        <v>4804</v>
      </c>
      <c r="I1899">
        <v>13.99</v>
      </c>
      <c r="J1899">
        <v>4</v>
      </c>
      <c r="K1899">
        <v>1.9</v>
      </c>
      <c r="L1899">
        <v>0</v>
      </c>
      <c r="M1899" t="s">
        <v>4810</v>
      </c>
      <c r="N1899" t="s">
        <v>4900</v>
      </c>
      <c r="O1899" t="s">
        <v>4911</v>
      </c>
    </row>
    <row r="1900" spans="1:15" x14ac:dyDescent="0.35">
      <c r="A1900" t="s">
        <v>1883</v>
      </c>
      <c r="B1900">
        <v>49</v>
      </c>
      <c r="C1900" t="s">
        <v>4803</v>
      </c>
      <c r="D1900" t="s">
        <v>15</v>
      </c>
      <c r="E1900">
        <v>108</v>
      </c>
      <c r="F1900">
        <v>60</v>
      </c>
      <c r="G1900" t="s">
        <v>4798</v>
      </c>
      <c r="H1900" t="s">
        <v>4804</v>
      </c>
      <c r="I1900">
        <v>17.989999999999998</v>
      </c>
      <c r="J1900">
        <v>3</v>
      </c>
      <c r="K1900">
        <v>2.0299999999999998</v>
      </c>
      <c r="L1900">
        <v>0</v>
      </c>
      <c r="M1900" t="s">
        <v>4811</v>
      </c>
      <c r="N1900" t="s">
        <v>4900</v>
      </c>
      <c r="O1900" t="s">
        <v>4910</v>
      </c>
    </row>
    <row r="1901" spans="1:15" x14ac:dyDescent="0.35">
      <c r="A1901" t="s">
        <v>1884</v>
      </c>
      <c r="B1901">
        <v>33</v>
      </c>
      <c r="C1901" t="s">
        <v>4803</v>
      </c>
      <c r="D1901" t="s">
        <v>13</v>
      </c>
      <c r="E1901">
        <v>42</v>
      </c>
      <c r="F1901">
        <v>32</v>
      </c>
      <c r="G1901" t="s">
        <v>4799</v>
      </c>
      <c r="H1901" t="s">
        <v>4804</v>
      </c>
      <c r="I1901">
        <v>13.99</v>
      </c>
      <c r="J1901">
        <v>2</v>
      </c>
      <c r="K1901">
        <v>1.4</v>
      </c>
      <c r="L1901">
        <v>0</v>
      </c>
      <c r="M1901" t="s">
        <v>4809</v>
      </c>
      <c r="N1901" t="s">
        <v>4900</v>
      </c>
      <c r="O1901" t="s">
        <v>4912</v>
      </c>
    </row>
    <row r="1902" spans="1:15" x14ac:dyDescent="0.35">
      <c r="A1902" t="s">
        <v>1885</v>
      </c>
      <c r="B1902">
        <v>36</v>
      </c>
      <c r="C1902" t="s">
        <v>4802</v>
      </c>
      <c r="D1902" t="s">
        <v>14</v>
      </c>
      <c r="E1902">
        <v>49</v>
      </c>
      <c r="F1902">
        <v>9</v>
      </c>
      <c r="G1902" t="s">
        <v>4799</v>
      </c>
      <c r="H1902" t="s">
        <v>4804</v>
      </c>
      <c r="I1902">
        <v>8.99</v>
      </c>
      <c r="J1902">
        <v>2</v>
      </c>
      <c r="K1902">
        <v>1.63</v>
      </c>
      <c r="L1902">
        <v>0</v>
      </c>
      <c r="M1902" t="s">
        <v>4809</v>
      </c>
      <c r="N1902" t="s">
        <v>4900</v>
      </c>
      <c r="O1902" t="s">
        <v>4910</v>
      </c>
    </row>
    <row r="1903" spans="1:15" x14ac:dyDescent="0.35">
      <c r="A1903" t="s">
        <v>1886</v>
      </c>
      <c r="B1903">
        <v>57</v>
      </c>
      <c r="C1903" t="s">
        <v>4803</v>
      </c>
      <c r="D1903" t="s">
        <v>13</v>
      </c>
      <c r="E1903">
        <v>50</v>
      </c>
      <c r="F1903">
        <v>34</v>
      </c>
      <c r="G1903" t="s">
        <v>4798</v>
      </c>
      <c r="H1903" t="s">
        <v>4806</v>
      </c>
      <c r="I1903">
        <v>13.99</v>
      </c>
      <c r="J1903">
        <v>3</v>
      </c>
      <c r="K1903">
        <v>1.67</v>
      </c>
      <c r="L1903">
        <v>0</v>
      </c>
      <c r="M1903" t="s">
        <v>4812</v>
      </c>
      <c r="N1903" t="s">
        <v>4900</v>
      </c>
      <c r="O1903" t="s">
        <v>4911</v>
      </c>
    </row>
    <row r="1904" spans="1:15" x14ac:dyDescent="0.35">
      <c r="A1904" t="s">
        <v>1887</v>
      </c>
      <c r="B1904">
        <v>27</v>
      </c>
      <c r="C1904" t="s">
        <v>4802</v>
      </c>
      <c r="D1904" t="s">
        <v>13</v>
      </c>
      <c r="E1904">
        <v>73</v>
      </c>
      <c r="F1904">
        <v>19</v>
      </c>
      <c r="G1904" t="s">
        <v>4797</v>
      </c>
      <c r="H1904" t="s">
        <v>4805</v>
      </c>
      <c r="I1904">
        <v>13.99</v>
      </c>
      <c r="J1904">
        <v>1</v>
      </c>
      <c r="K1904">
        <v>2.4300000000000002</v>
      </c>
      <c r="L1904">
        <v>1</v>
      </c>
      <c r="M1904" t="s">
        <v>4812</v>
      </c>
      <c r="N1904" t="s">
        <v>4899</v>
      </c>
      <c r="O1904" t="s">
        <v>4912</v>
      </c>
    </row>
    <row r="1905" spans="1:15" x14ac:dyDescent="0.35">
      <c r="A1905" t="s">
        <v>1888</v>
      </c>
      <c r="B1905">
        <v>27</v>
      </c>
      <c r="C1905" t="s">
        <v>4802</v>
      </c>
      <c r="D1905" t="s">
        <v>13</v>
      </c>
      <c r="E1905">
        <v>37</v>
      </c>
      <c r="F1905">
        <v>49</v>
      </c>
      <c r="G1905" t="s">
        <v>4800</v>
      </c>
      <c r="H1905" t="s">
        <v>4807</v>
      </c>
      <c r="I1905">
        <v>13.99</v>
      </c>
      <c r="J1905">
        <v>1</v>
      </c>
      <c r="K1905">
        <v>1.23</v>
      </c>
      <c r="L1905">
        <v>0</v>
      </c>
      <c r="M1905" t="s">
        <v>4812</v>
      </c>
      <c r="N1905" t="s">
        <v>4900</v>
      </c>
      <c r="O1905" t="s">
        <v>4912</v>
      </c>
    </row>
    <row r="1906" spans="1:15" x14ac:dyDescent="0.35">
      <c r="A1906" t="s">
        <v>1889</v>
      </c>
      <c r="B1906">
        <v>35</v>
      </c>
      <c r="C1906" t="s">
        <v>4802</v>
      </c>
      <c r="D1906" t="s">
        <v>15</v>
      </c>
      <c r="E1906">
        <v>67</v>
      </c>
      <c r="F1906">
        <v>54</v>
      </c>
      <c r="G1906" t="s">
        <v>4798</v>
      </c>
      <c r="H1906" t="s">
        <v>4805</v>
      </c>
      <c r="I1906">
        <v>17.989999999999998</v>
      </c>
      <c r="J1906">
        <v>2</v>
      </c>
      <c r="K1906">
        <v>2.23</v>
      </c>
      <c r="L1906">
        <v>0</v>
      </c>
      <c r="M1906" t="s">
        <v>4808</v>
      </c>
      <c r="N1906" t="s">
        <v>4900</v>
      </c>
      <c r="O1906" t="s">
        <v>4910</v>
      </c>
    </row>
    <row r="1907" spans="1:15" x14ac:dyDescent="0.35">
      <c r="A1907" t="s">
        <v>1890</v>
      </c>
      <c r="B1907">
        <v>31</v>
      </c>
      <c r="C1907" t="s">
        <v>4803</v>
      </c>
      <c r="D1907" t="s">
        <v>13</v>
      </c>
      <c r="E1907">
        <v>66</v>
      </c>
      <c r="F1907">
        <v>32</v>
      </c>
      <c r="G1907" t="s">
        <v>4799</v>
      </c>
      <c r="H1907" t="s">
        <v>4804</v>
      </c>
      <c r="I1907">
        <v>13.99</v>
      </c>
      <c r="J1907">
        <v>2</v>
      </c>
      <c r="K1907">
        <v>2.2000000000000002</v>
      </c>
      <c r="L1907">
        <v>0</v>
      </c>
      <c r="M1907" t="s">
        <v>4810</v>
      </c>
      <c r="N1907" t="s">
        <v>4900</v>
      </c>
      <c r="O1907" t="s">
        <v>4912</v>
      </c>
    </row>
    <row r="1908" spans="1:15" x14ac:dyDescent="0.35">
      <c r="A1908" t="s">
        <v>1891</v>
      </c>
      <c r="B1908">
        <v>58</v>
      </c>
      <c r="C1908" t="s">
        <v>4802</v>
      </c>
      <c r="D1908" t="s">
        <v>13</v>
      </c>
      <c r="E1908">
        <v>57</v>
      </c>
      <c r="F1908">
        <v>25</v>
      </c>
      <c r="G1908" t="s">
        <v>4798</v>
      </c>
      <c r="H1908" t="s">
        <v>4805</v>
      </c>
      <c r="I1908">
        <v>13.99</v>
      </c>
      <c r="J1908">
        <v>3</v>
      </c>
      <c r="K1908">
        <v>2.0299999999999998</v>
      </c>
      <c r="L1908">
        <v>1</v>
      </c>
      <c r="M1908" t="s">
        <v>4809</v>
      </c>
      <c r="N1908" t="s">
        <v>4899</v>
      </c>
      <c r="O1908" t="s">
        <v>4911</v>
      </c>
    </row>
    <row r="1909" spans="1:15" x14ac:dyDescent="0.35">
      <c r="A1909" t="s">
        <v>1892</v>
      </c>
      <c r="B1909">
        <v>23</v>
      </c>
      <c r="C1909" t="s">
        <v>4802</v>
      </c>
      <c r="D1909" t="s">
        <v>13</v>
      </c>
      <c r="E1909">
        <v>38</v>
      </c>
      <c r="F1909">
        <v>7</v>
      </c>
      <c r="G1909" t="s">
        <v>4799</v>
      </c>
      <c r="H1909" t="s">
        <v>4804</v>
      </c>
      <c r="I1909">
        <v>13.99</v>
      </c>
      <c r="J1909">
        <v>2</v>
      </c>
      <c r="K1909">
        <v>1.27</v>
      </c>
      <c r="L1909">
        <v>0</v>
      </c>
      <c r="M1909" t="s">
        <v>4808</v>
      </c>
      <c r="N1909" t="s">
        <v>4900</v>
      </c>
      <c r="O1909" t="s">
        <v>4912</v>
      </c>
    </row>
    <row r="1910" spans="1:15" x14ac:dyDescent="0.35">
      <c r="A1910" t="s">
        <v>1893</v>
      </c>
      <c r="B1910">
        <v>56</v>
      </c>
      <c r="C1910" t="s">
        <v>4802</v>
      </c>
      <c r="D1910" t="s">
        <v>15</v>
      </c>
      <c r="E1910">
        <v>107</v>
      </c>
      <c r="F1910">
        <v>57</v>
      </c>
      <c r="G1910" t="s">
        <v>4799</v>
      </c>
      <c r="H1910" t="s">
        <v>4804</v>
      </c>
      <c r="I1910">
        <v>17.989999999999998</v>
      </c>
      <c r="J1910">
        <v>4</v>
      </c>
      <c r="K1910">
        <v>2.0299999999999998</v>
      </c>
      <c r="L1910">
        <v>0</v>
      </c>
      <c r="M1910" t="s">
        <v>4809</v>
      </c>
      <c r="N1910" t="s">
        <v>4900</v>
      </c>
      <c r="O1910" t="s">
        <v>4911</v>
      </c>
    </row>
    <row r="1911" spans="1:15" x14ac:dyDescent="0.35">
      <c r="A1911" t="s">
        <v>1894</v>
      </c>
      <c r="B1911">
        <v>55</v>
      </c>
      <c r="C1911" t="s">
        <v>4803</v>
      </c>
      <c r="D1911" t="s">
        <v>15</v>
      </c>
      <c r="E1911">
        <v>95</v>
      </c>
      <c r="F1911">
        <v>12</v>
      </c>
      <c r="G1911" t="s">
        <v>4798</v>
      </c>
      <c r="H1911" t="s">
        <v>4804</v>
      </c>
      <c r="I1911">
        <v>17.989999999999998</v>
      </c>
      <c r="J1911">
        <v>2</v>
      </c>
      <c r="K1911">
        <v>3.17</v>
      </c>
      <c r="L1911">
        <v>0</v>
      </c>
      <c r="M1911" t="s">
        <v>4811</v>
      </c>
      <c r="N1911" t="s">
        <v>4900</v>
      </c>
      <c r="O1911" t="s">
        <v>4911</v>
      </c>
    </row>
    <row r="1912" spans="1:15" x14ac:dyDescent="0.35">
      <c r="A1912" t="s">
        <v>1895</v>
      </c>
      <c r="B1912">
        <v>61</v>
      </c>
      <c r="C1912" t="s">
        <v>4803</v>
      </c>
      <c r="D1912" t="s">
        <v>14</v>
      </c>
      <c r="E1912">
        <v>41</v>
      </c>
      <c r="F1912">
        <v>14</v>
      </c>
      <c r="G1912" t="s">
        <v>4799</v>
      </c>
      <c r="H1912" t="s">
        <v>4804</v>
      </c>
      <c r="I1912">
        <v>8.99</v>
      </c>
      <c r="J1912">
        <v>1</v>
      </c>
      <c r="K1912">
        <v>1.37</v>
      </c>
      <c r="L1912">
        <v>0</v>
      </c>
      <c r="M1912" t="s">
        <v>4808</v>
      </c>
      <c r="N1912" t="s">
        <v>4900</v>
      </c>
      <c r="O1912" t="s">
        <v>4911</v>
      </c>
    </row>
    <row r="1913" spans="1:15" x14ac:dyDescent="0.35">
      <c r="A1913" t="s">
        <v>4867</v>
      </c>
      <c r="B1913">
        <v>37</v>
      </c>
      <c r="C1913" t="s">
        <v>4802</v>
      </c>
      <c r="D1913" t="s">
        <v>13</v>
      </c>
      <c r="E1913">
        <v>51</v>
      </c>
      <c r="F1913">
        <v>23</v>
      </c>
      <c r="G1913" t="s">
        <v>4797</v>
      </c>
      <c r="H1913" t="s">
        <v>4805</v>
      </c>
      <c r="I1913">
        <v>13.99</v>
      </c>
      <c r="J1913">
        <v>2</v>
      </c>
      <c r="K1913">
        <v>1.7</v>
      </c>
      <c r="L1913">
        <v>1</v>
      </c>
      <c r="M1913" t="s">
        <v>4811</v>
      </c>
      <c r="N1913" t="s">
        <v>4899</v>
      </c>
      <c r="O1913" t="s">
        <v>4910</v>
      </c>
    </row>
    <row r="1914" spans="1:15" x14ac:dyDescent="0.35">
      <c r="A1914" t="s">
        <v>1896</v>
      </c>
      <c r="B1914">
        <v>48</v>
      </c>
      <c r="C1914" t="s">
        <v>4803</v>
      </c>
      <c r="D1914" t="s">
        <v>15</v>
      </c>
      <c r="E1914">
        <v>100</v>
      </c>
      <c r="F1914">
        <v>10</v>
      </c>
      <c r="G1914" t="s">
        <v>4799</v>
      </c>
      <c r="H1914" t="s">
        <v>4805</v>
      </c>
      <c r="I1914">
        <v>17.989999999999998</v>
      </c>
      <c r="J1914">
        <v>4</v>
      </c>
      <c r="K1914">
        <v>3.33</v>
      </c>
      <c r="L1914">
        <v>0</v>
      </c>
      <c r="M1914" t="s">
        <v>4808</v>
      </c>
      <c r="N1914" t="s">
        <v>4900</v>
      </c>
      <c r="O1914" t="s">
        <v>4910</v>
      </c>
    </row>
    <row r="1915" spans="1:15" x14ac:dyDescent="0.35">
      <c r="A1915" t="s">
        <v>1897</v>
      </c>
      <c r="B1915">
        <v>29</v>
      </c>
      <c r="C1915" t="s">
        <v>4803</v>
      </c>
      <c r="D1915" t="s">
        <v>15</v>
      </c>
      <c r="E1915">
        <v>79</v>
      </c>
      <c r="F1915">
        <v>43</v>
      </c>
      <c r="G1915" t="s">
        <v>4798</v>
      </c>
      <c r="H1915" t="s">
        <v>4804</v>
      </c>
      <c r="I1915">
        <v>17.989999999999998</v>
      </c>
      <c r="J1915">
        <v>2</v>
      </c>
      <c r="K1915">
        <v>2.63</v>
      </c>
      <c r="L1915">
        <v>0</v>
      </c>
      <c r="M1915" t="s">
        <v>4810</v>
      </c>
      <c r="N1915" t="s">
        <v>4900</v>
      </c>
      <c r="O1915" t="s">
        <v>4912</v>
      </c>
    </row>
    <row r="1916" spans="1:15" x14ac:dyDescent="0.35">
      <c r="A1916" t="s">
        <v>1898</v>
      </c>
      <c r="B1916">
        <v>32</v>
      </c>
      <c r="C1916" t="s">
        <v>4802</v>
      </c>
      <c r="D1916" t="s">
        <v>15</v>
      </c>
      <c r="E1916">
        <v>98</v>
      </c>
      <c r="F1916">
        <v>7</v>
      </c>
      <c r="G1916" t="s">
        <v>4798</v>
      </c>
      <c r="H1916" t="s">
        <v>4804</v>
      </c>
      <c r="I1916">
        <v>17.989999999999998</v>
      </c>
      <c r="J1916">
        <v>3</v>
      </c>
      <c r="K1916">
        <v>3.27</v>
      </c>
      <c r="L1916">
        <v>0</v>
      </c>
      <c r="M1916" t="s">
        <v>4810</v>
      </c>
      <c r="N1916" t="s">
        <v>4900</v>
      </c>
      <c r="O1916" t="s">
        <v>4912</v>
      </c>
    </row>
    <row r="1917" spans="1:15" x14ac:dyDescent="0.35">
      <c r="A1917" t="s">
        <v>1899</v>
      </c>
      <c r="B1917">
        <v>28</v>
      </c>
      <c r="C1917" t="s">
        <v>4802</v>
      </c>
      <c r="D1917" t="s">
        <v>13</v>
      </c>
      <c r="E1917">
        <v>35</v>
      </c>
      <c r="F1917">
        <v>43</v>
      </c>
      <c r="G1917" t="s">
        <v>4798</v>
      </c>
      <c r="H1917" t="s">
        <v>4805</v>
      </c>
      <c r="I1917">
        <v>13.99</v>
      </c>
      <c r="J1917">
        <v>1</v>
      </c>
      <c r="K1917">
        <v>1.17</v>
      </c>
      <c r="L1917">
        <v>1</v>
      </c>
      <c r="M1917" t="s">
        <v>4809</v>
      </c>
      <c r="N1917" t="s">
        <v>4899</v>
      </c>
      <c r="O1917" t="s">
        <v>4912</v>
      </c>
    </row>
    <row r="1918" spans="1:15" x14ac:dyDescent="0.35">
      <c r="A1918" t="s">
        <v>1900</v>
      </c>
      <c r="B1918">
        <v>19</v>
      </c>
      <c r="C1918" t="s">
        <v>4802</v>
      </c>
      <c r="D1918" t="s">
        <v>13</v>
      </c>
      <c r="E1918">
        <v>57</v>
      </c>
      <c r="F1918">
        <v>41</v>
      </c>
      <c r="G1918" t="s">
        <v>4799</v>
      </c>
      <c r="H1918" t="s">
        <v>4806</v>
      </c>
      <c r="I1918">
        <v>13.99</v>
      </c>
      <c r="J1918">
        <v>4</v>
      </c>
      <c r="K1918">
        <v>1.9</v>
      </c>
      <c r="L1918">
        <v>0</v>
      </c>
      <c r="M1918" t="s">
        <v>4808</v>
      </c>
      <c r="N1918" t="s">
        <v>4900</v>
      </c>
      <c r="O1918" t="s">
        <v>4912</v>
      </c>
    </row>
    <row r="1919" spans="1:15" x14ac:dyDescent="0.35">
      <c r="A1919" t="s">
        <v>1901</v>
      </c>
      <c r="B1919">
        <v>45</v>
      </c>
      <c r="C1919" t="s">
        <v>4802</v>
      </c>
      <c r="D1919" t="s">
        <v>13</v>
      </c>
      <c r="E1919">
        <v>74</v>
      </c>
      <c r="F1919">
        <v>55</v>
      </c>
      <c r="G1919" t="s">
        <v>4799</v>
      </c>
      <c r="H1919" t="s">
        <v>4805</v>
      </c>
      <c r="I1919">
        <v>13.99</v>
      </c>
      <c r="J1919">
        <v>1</v>
      </c>
      <c r="K1919">
        <v>2.4700000000000002</v>
      </c>
      <c r="L1919">
        <v>0</v>
      </c>
      <c r="M1919" t="s">
        <v>4812</v>
      </c>
      <c r="N1919" t="s">
        <v>4900</v>
      </c>
      <c r="O1919" t="s">
        <v>4910</v>
      </c>
    </row>
    <row r="1920" spans="1:15" x14ac:dyDescent="0.35">
      <c r="A1920" t="s">
        <v>1902</v>
      </c>
      <c r="B1920">
        <v>24</v>
      </c>
      <c r="C1920" t="s">
        <v>4803</v>
      </c>
      <c r="D1920" t="s">
        <v>13</v>
      </c>
      <c r="E1920">
        <v>49</v>
      </c>
      <c r="F1920">
        <v>31</v>
      </c>
      <c r="G1920" t="s">
        <v>4799</v>
      </c>
      <c r="H1920" t="s">
        <v>4805</v>
      </c>
      <c r="I1920">
        <v>13.99</v>
      </c>
      <c r="J1920">
        <v>3</v>
      </c>
      <c r="K1920">
        <v>1.63</v>
      </c>
      <c r="L1920">
        <v>1</v>
      </c>
      <c r="M1920" t="s">
        <v>4810</v>
      </c>
      <c r="N1920" t="s">
        <v>4899</v>
      </c>
      <c r="O1920" t="s">
        <v>4912</v>
      </c>
    </row>
    <row r="1921" spans="1:15" x14ac:dyDescent="0.35">
      <c r="A1921" t="s">
        <v>1903</v>
      </c>
      <c r="B1921">
        <v>20</v>
      </c>
      <c r="C1921" t="s">
        <v>4803</v>
      </c>
      <c r="D1921" t="s">
        <v>14</v>
      </c>
      <c r="E1921">
        <v>49</v>
      </c>
      <c r="F1921">
        <v>19</v>
      </c>
      <c r="G1921" t="s">
        <v>4799</v>
      </c>
      <c r="H1921" t="s">
        <v>4806</v>
      </c>
      <c r="I1921">
        <v>8.99</v>
      </c>
      <c r="J1921">
        <v>4</v>
      </c>
      <c r="K1921">
        <v>1.63</v>
      </c>
      <c r="L1921">
        <v>0</v>
      </c>
      <c r="M1921" t="s">
        <v>4808</v>
      </c>
      <c r="N1921" t="s">
        <v>4900</v>
      </c>
      <c r="O1921" t="s">
        <v>4912</v>
      </c>
    </row>
    <row r="1922" spans="1:15" x14ac:dyDescent="0.35">
      <c r="A1922" t="s">
        <v>1904</v>
      </c>
      <c r="B1922">
        <v>46</v>
      </c>
      <c r="C1922" t="s">
        <v>4803</v>
      </c>
      <c r="D1922" t="s">
        <v>13</v>
      </c>
      <c r="E1922">
        <v>69</v>
      </c>
      <c r="F1922">
        <v>29</v>
      </c>
      <c r="G1922" t="s">
        <v>4798</v>
      </c>
      <c r="H1922" t="s">
        <v>4804</v>
      </c>
      <c r="I1922">
        <v>13.99</v>
      </c>
      <c r="J1922">
        <v>2</v>
      </c>
      <c r="K1922">
        <v>2.2999999999999998</v>
      </c>
      <c r="L1922">
        <v>0</v>
      </c>
      <c r="M1922" t="s">
        <v>4811</v>
      </c>
      <c r="N1922" t="s">
        <v>4900</v>
      </c>
      <c r="O1922" t="s">
        <v>4910</v>
      </c>
    </row>
    <row r="1923" spans="1:15" x14ac:dyDescent="0.35">
      <c r="A1923" t="s">
        <v>1905</v>
      </c>
      <c r="B1923">
        <v>42</v>
      </c>
      <c r="C1923" t="s">
        <v>4803</v>
      </c>
      <c r="D1923" t="s">
        <v>13</v>
      </c>
      <c r="E1923">
        <v>38</v>
      </c>
      <c r="F1923">
        <v>42</v>
      </c>
      <c r="G1923" t="s">
        <v>4798</v>
      </c>
      <c r="H1923" t="s">
        <v>4805</v>
      </c>
      <c r="I1923">
        <v>13.99</v>
      </c>
      <c r="J1923">
        <v>3</v>
      </c>
      <c r="K1923">
        <v>1.27</v>
      </c>
      <c r="L1923">
        <v>1</v>
      </c>
      <c r="M1923" t="s">
        <v>4810</v>
      </c>
      <c r="N1923" t="s">
        <v>4899</v>
      </c>
      <c r="O1923" t="s">
        <v>4910</v>
      </c>
    </row>
    <row r="1924" spans="1:15" x14ac:dyDescent="0.35">
      <c r="A1924" t="s">
        <v>1906</v>
      </c>
      <c r="B1924">
        <v>60</v>
      </c>
      <c r="C1924" t="s">
        <v>4802</v>
      </c>
      <c r="D1924" t="s">
        <v>13</v>
      </c>
      <c r="E1924">
        <v>66</v>
      </c>
      <c r="F1924">
        <v>60</v>
      </c>
      <c r="G1924" t="s">
        <v>4798</v>
      </c>
      <c r="H1924" t="s">
        <v>4805</v>
      </c>
      <c r="I1924">
        <v>13.99</v>
      </c>
      <c r="J1924">
        <v>4</v>
      </c>
      <c r="K1924">
        <v>2.2000000000000002</v>
      </c>
      <c r="L1924">
        <v>0</v>
      </c>
      <c r="M1924" t="s">
        <v>4811</v>
      </c>
      <c r="N1924" t="s">
        <v>4900</v>
      </c>
      <c r="O1924" t="s">
        <v>4911</v>
      </c>
    </row>
    <row r="1925" spans="1:15" x14ac:dyDescent="0.35">
      <c r="A1925" t="s">
        <v>1907</v>
      </c>
      <c r="B1925">
        <v>59</v>
      </c>
      <c r="C1925" t="s">
        <v>4803</v>
      </c>
      <c r="D1925" t="s">
        <v>15</v>
      </c>
      <c r="E1925">
        <v>82</v>
      </c>
      <c r="F1925">
        <v>24</v>
      </c>
      <c r="G1925" t="s">
        <v>4799</v>
      </c>
      <c r="H1925" t="s">
        <v>4805</v>
      </c>
      <c r="I1925">
        <v>17.989999999999998</v>
      </c>
      <c r="J1925">
        <v>3</v>
      </c>
      <c r="K1925">
        <v>2.73</v>
      </c>
      <c r="L1925">
        <v>0</v>
      </c>
      <c r="M1925" t="s">
        <v>4809</v>
      </c>
      <c r="N1925" t="s">
        <v>4900</v>
      </c>
      <c r="O1925" t="s">
        <v>4911</v>
      </c>
    </row>
    <row r="1926" spans="1:15" x14ac:dyDescent="0.35">
      <c r="A1926" t="s">
        <v>1908</v>
      </c>
      <c r="B1926">
        <v>65</v>
      </c>
      <c r="C1926" t="s">
        <v>4802</v>
      </c>
      <c r="D1926" t="s">
        <v>15</v>
      </c>
      <c r="E1926">
        <v>62</v>
      </c>
      <c r="F1926">
        <v>47</v>
      </c>
      <c r="G1926" t="s">
        <v>4798</v>
      </c>
      <c r="H1926" t="s">
        <v>4805</v>
      </c>
      <c r="I1926">
        <v>17.989999999999998</v>
      </c>
      <c r="J1926">
        <v>3</v>
      </c>
      <c r="K1926">
        <v>2.0699999999999998</v>
      </c>
      <c r="L1926">
        <v>0</v>
      </c>
      <c r="M1926" t="s">
        <v>4812</v>
      </c>
      <c r="N1926" t="s">
        <v>4900</v>
      </c>
      <c r="O1926" t="s">
        <v>4911</v>
      </c>
    </row>
    <row r="1927" spans="1:15" x14ac:dyDescent="0.35">
      <c r="A1927" t="s">
        <v>1909</v>
      </c>
      <c r="B1927">
        <v>45</v>
      </c>
      <c r="C1927" t="s">
        <v>4802</v>
      </c>
      <c r="D1927" t="s">
        <v>15</v>
      </c>
      <c r="E1927">
        <v>113</v>
      </c>
      <c r="F1927">
        <v>59</v>
      </c>
      <c r="G1927" t="s">
        <v>4798</v>
      </c>
      <c r="H1927" t="s">
        <v>4804</v>
      </c>
      <c r="I1927">
        <v>17.989999999999998</v>
      </c>
      <c r="J1927">
        <v>3</v>
      </c>
      <c r="K1927">
        <v>2.0299999999999998</v>
      </c>
      <c r="L1927">
        <v>1</v>
      </c>
      <c r="M1927" t="s">
        <v>4809</v>
      </c>
      <c r="N1927" t="s">
        <v>4899</v>
      </c>
      <c r="O1927" t="s">
        <v>4910</v>
      </c>
    </row>
    <row r="1928" spans="1:15" x14ac:dyDescent="0.35">
      <c r="A1928" t="s">
        <v>1910</v>
      </c>
      <c r="B1928">
        <v>27</v>
      </c>
      <c r="C1928" t="s">
        <v>4803</v>
      </c>
      <c r="D1928" t="s">
        <v>13</v>
      </c>
      <c r="E1928">
        <v>67</v>
      </c>
      <c r="F1928">
        <v>39</v>
      </c>
      <c r="G1928" t="s">
        <v>4798</v>
      </c>
      <c r="H1928" t="s">
        <v>4805</v>
      </c>
      <c r="I1928">
        <v>13.99</v>
      </c>
      <c r="J1928">
        <v>4</v>
      </c>
      <c r="K1928">
        <v>2.23</v>
      </c>
      <c r="L1928">
        <v>0</v>
      </c>
      <c r="M1928" t="s">
        <v>4808</v>
      </c>
      <c r="N1928" t="s">
        <v>4900</v>
      </c>
      <c r="O1928" t="s">
        <v>4912</v>
      </c>
    </row>
    <row r="1929" spans="1:15" x14ac:dyDescent="0.35">
      <c r="A1929" t="s">
        <v>1911</v>
      </c>
      <c r="B1929">
        <v>38</v>
      </c>
      <c r="C1929" t="s">
        <v>4802</v>
      </c>
      <c r="D1929" t="s">
        <v>13</v>
      </c>
      <c r="E1929">
        <v>70</v>
      </c>
      <c r="F1929">
        <v>56</v>
      </c>
      <c r="G1929" t="s">
        <v>4798</v>
      </c>
      <c r="H1929" t="s">
        <v>4805</v>
      </c>
      <c r="I1929">
        <v>13.99</v>
      </c>
      <c r="J1929">
        <v>3</v>
      </c>
      <c r="K1929">
        <v>2.33</v>
      </c>
      <c r="L1929">
        <v>0</v>
      </c>
      <c r="M1929" t="s">
        <v>4812</v>
      </c>
      <c r="N1929" t="s">
        <v>4900</v>
      </c>
      <c r="O1929" t="s">
        <v>4910</v>
      </c>
    </row>
    <row r="1930" spans="1:15" x14ac:dyDescent="0.35">
      <c r="A1930" t="s">
        <v>1912</v>
      </c>
      <c r="B1930">
        <v>47</v>
      </c>
      <c r="C1930" t="s">
        <v>4803</v>
      </c>
      <c r="D1930" t="s">
        <v>13</v>
      </c>
      <c r="E1930">
        <v>40</v>
      </c>
      <c r="F1930">
        <v>54</v>
      </c>
      <c r="G1930" t="s">
        <v>4797</v>
      </c>
      <c r="H1930" t="s">
        <v>4804</v>
      </c>
      <c r="I1930">
        <v>13.99</v>
      </c>
      <c r="J1930">
        <v>2</v>
      </c>
      <c r="K1930">
        <v>1.33</v>
      </c>
      <c r="L1930">
        <v>0</v>
      </c>
      <c r="M1930" t="s">
        <v>4811</v>
      </c>
      <c r="N1930" t="s">
        <v>4900</v>
      </c>
      <c r="O1930" t="s">
        <v>4910</v>
      </c>
    </row>
    <row r="1931" spans="1:15" x14ac:dyDescent="0.35">
      <c r="A1931" t="s">
        <v>1913</v>
      </c>
      <c r="B1931">
        <v>37</v>
      </c>
      <c r="C1931" t="s">
        <v>4803</v>
      </c>
      <c r="D1931" t="s">
        <v>13</v>
      </c>
      <c r="E1931">
        <v>44</v>
      </c>
      <c r="F1931">
        <v>56</v>
      </c>
      <c r="G1931" t="s">
        <v>4798</v>
      </c>
      <c r="H1931" t="s">
        <v>4806</v>
      </c>
      <c r="I1931">
        <v>13.99</v>
      </c>
      <c r="J1931">
        <v>1</v>
      </c>
      <c r="K1931">
        <v>1.47</v>
      </c>
      <c r="L1931">
        <v>0</v>
      </c>
      <c r="M1931" t="s">
        <v>4812</v>
      </c>
      <c r="N1931" t="s">
        <v>4900</v>
      </c>
      <c r="O1931" t="s">
        <v>4910</v>
      </c>
    </row>
    <row r="1932" spans="1:15" x14ac:dyDescent="0.35">
      <c r="A1932" t="s">
        <v>1914</v>
      </c>
      <c r="B1932">
        <v>52</v>
      </c>
      <c r="C1932" t="s">
        <v>4803</v>
      </c>
      <c r="D1932" t="s">
        <v>13</v>
      </c>
      <c r="E1932">
        <v>68</v>
      </c>
      <c r="F1932">
        <v>43</v>
      </c>
      <c r="G1932" t="s">
        <v>4797</v>
      </c>
      <c r="H1932" t="s">
        <v>4804</v>
      </c>
      <c r="I1932">
        <v>13.99</v>
      </c>
      <c r="J1932">
        <v>2</v>
      </c>
      <c r="K1932">
        <v>2.27</v>
      </c>
      <c r="L1932">
        <v>1</v>
      </c>
      <c r="M1932" t="s">
        <v>4810</v>
      </c>
      <c r="N1932" t="s">
        <v>4899</v>
      </c>
      <c r="O1932" t="s">
        <v>4910</v>
      </c>
    </row>
    <row r="1933" spans="1:15" x14ac:dyDescent="0.35">
      <c r="A1933" t="s">
        <v>1915</v>
      </c>
      <c r="B1933">
        <v>51</v>
      </c>
      <c r="C1933" t="s">
        <v>4803</v>
      </c>
      <c r="D1933" t="s">
        <v>13</v>
      </c>
      <c r="E1933">
        <v>36</v>
      </c>
      <c r="F1933">
        <v>44</v>
      </c>
      <c r="G1933" t="s">
        <v>4797</v>
      </c>
      <c r="H1933" t="s">
        <v>4805</v>
      </c>
      <c r="I1933">
        <v>13.99</v>
      </c>
      <c r="J1933">
        <v>2</v>
      </c>
      <c r="K1933">
        <v>2.0299999999999998</v>
      </c>
      <c r="L1933">
        <v>1</v>
      </c>
      <c r="M1933" t="s">
        <v>4808</v>
      </c>
      <c r="N1933" t="s">
        <v>4899</v>
      </c>
      <c r="O1933" t="s">
        <v>4910</v>
      </c>
    </row>
    <row r="1934" spans="1:15" x14ac:dyDescent="0.35">
      <c r="A1934" t="s">
        <v>1916</v>
      </c>
      <c r="B1934">
        <v>48</v>
      </c>
      <c r="C1934" t="s">
        <v>4802</v>
      </c>
      <c r="D1934" t="s">
        <v>13</v>
      </c>
      <c r="E1934">
        <v>72</v>
      </c>
      <c r="F1934">
        <v>0</v>
      </c>
      <c r="G1934" t="s">
        <v>4798</v>
      </c>
      <c r="H1934" t="s">
        <v>4805</v>
      </c>
      <c r="I1934">
        <v>13.99</v>
      </c>
      <c r="J1934">
        <v>3</v>
      </c>
      <c r="K1934">
        <v>5</v>
      </c>
      <c r="L1934">
        <v>0</v>
      </c>
      <c r="M1934" t="s">
        <v>4810</v>
      </c>
      <c r="N1934" t="s">
        <v>4900</v>
      </c>
      <c r="O1934" t="s">
        <v>4910</v>
      </c>
    </row>
    <row r="1935" spans="1:15" x14ac:dyDescent="0.35">
      <c r="A1935" t="s">
        <v>1917</v>
      </c>
      <c r="B1935">
        <v>43</v>
      </c>
      <c r="C1935" t="s">
        <v>4803</v>
      </c>
      <c r="D1935" t="s">
        <v>13</v>
      </c>
      <c r="E1935">
        <v>70</v>
      </c>
      <c r="F1935">
        <v>24</v>
      </c>
      <c r="G1935" t="s">
        <v>4798</v>
      </c>
      <c r="H1935" t="s">
        <v>4804</v>
      </c>
      <c r="I1935">
        <v>13.99</v>
      </c>
      <c r="J1935">
        <v>4</v>
      </c>
      <c r="K1935">
        <v>2.33</v>
      </c>
      <c r="L1935">
        <v>0</v>
      </c>
      <c r="M1935" t="s">
        <v>4812</v>
      </c>
      <c r="N1935" t="s">
        <v>4900</v>
      </c>
      <c r="O1935" t="s">
        <v>4910</v>
      </c>
    </row>
    <row r="1936" spans="1:15" x14ac:dyDescent="0.35">
      <c r="A1936" t="s">
        <v>1918</v>
      </c>
      <c r="B1936">
        <v>35</v>
      </c>
      <c r="C1936" t="s">
        <v>4803</v>
      </c>
      <c r="D1936" t="s">
        <v>13</v>
      </c>
      <c r="E1936">
        <v>34</v>
      </c>
      <c r="F1936">
        <v>23</v>
      </c>
      <c r="G1936" t="s">
        <v>4800</v>
      </c>
      <c r="H1936" t="s">
        <v>4804</v>
      </c>
      <c r="I1936">
        <v>13.99</v>
      </c>
      <c r="J1936">
        <v>2</v>
      </c>
      <c r="K1936">
        <v>5</v>
      </c>
      <c r="L1936">
        <v>0</v>
      </c>
      <c r="M1936" t="s">
        <v>4809</v>
      </c>
      <c r="N1936" t="s">
        <v>4900</v>
      </c>
      <c r="O1936" t="s">
        <v>4910</v>
      </c>
    </row>
    <row r="1937" spans="1:15" x14ac:dyDescent="0.35">
      <c r="A1937" t="s">
        <v>1919</v>
      </c>
      <c r="B1937">
        <v>23</v>
      </c>
      <c r="C1937" t="s">
        <v>4803</v>
      </c>
      <c r="D1937" t="s">
        <v>13</v>
      </c>
      <c r="E1937">
        <v>30</v>
      </c>
      <c r="F1937">
        <v>15</v>
      </c>
      <c r="G1937" t="s">
        <v>4797</v>
      </c>
      <c r="H1937" t="s">
        <v>4805</v>
      </c>
      <c r="I1937">
        <v>13.99</v>
      </c>
      <c r="J1937">
        <v>4</v>
      </c>
      <c r="K1937">
        <v>1</v>
      </c>
      <c r="L1937">
        <v>0</v>
      </c>
      <c r="M1937" t="s">
        <v>4808</v>
      </c>
      <c r="N1937" t="s">
        <v>4900</v>
      </c>
      <c r="O1937" t="s">
        <v>4912</v>
      </c>
    </row>
    <row r="1938" spans="1:15" x14ac:dyDescent="0.35">
      <c r="A1938" t="s">
        <v>1920</v>
      </c>
      <c r="B1938">
        <v>41</v>
      </c>
      <c r="C1938" t="s">
        <v>4803</v>
      </c>
      <c r="D1938" t="s">
        <v>13</v>
      </c>
      <c r="E1938">
        <v>39</v>
      </c>
      <c r="F1938">
        <v>45</v>
      </c>
      <c r="G1938" t="s">
        <v>4800</v>
      </c>
      <c r="H1938" t="s">
        <v>4806</v>
      </c>
      <c r="I1938">
        <v>13.99</v>
      </c>
      <c r="J1938">
        <v>4</v>
      </c>
      <c r="K1938">
        <v>1.3</v>
      </c>
      <c r="L1938">
        <v>0</v>
      </c>
      <c r="M1938" t="s">
        <v>4810</v>
      </c>
      <c r="N1938" t="s">
        <v>4900</v>
      </c>
      <c r="O1938" t="s">
        <v>4910</v>
      </c>
    </row>
    <row r="1939" spans="1:15" x14ac:dyDescent="0.35">
      <c r="A1939" t="s">
        <v>1921</v>
      </c>
      <c r="B1939">
        <v>63</v>
      </c>
      <c r="C1939" t="s">
        <v>4802</v>
      </c>
      <c r="D1939" t="s">
        <v>15</v>
      </c>
      <c r="E1939">
        <v>97</v>
      </c>
      <c r="F1939">
        <v>31</v>
      </c>
      <c r="G1939" t="s">
        <v>4799</v>
      </c>
      <c r="H1939" t="s">
        <v>4804</v>
      </c>
      <c r="I1939">
        <v>17.989999999999998</v>
      </c>
      <c r="J1939">
        <v>5</v>
      </c>
      <c r="K1939">
        <v>3.23</v>
      </c>
      <c r="L1939">
        <v>1</v>
      </c>
      <c r="M1939" t="s">
        <v>4810</v>
      </c>
      <c r="N1939" t="s">
        <v>4899</v>
      </c>
      <c r="O1939" t="s">
        <v>4911</v>
      </c>
    </row>
    <row r="1940" spans="1:15" x14ac:dyDescent="0.35">
      <c r="A1940" t="s">
        <v>1922</v>
      </c>
      <c r="B1940">
        <v>24</v>
      </c>
      <c r="C1940" t="s">
        <v>4802</v>
      </c>
      <c r="D1940" t="s">
        <v>15</v>
      </c>
      <c r="E1940">
        <v>107</v>
      </c>
      <c r="F1940">
        <v>45</v>
      </c>
      <c r="G1940" t="s">
        <v>4799</v>
      </c>
      <c r="H1940" t="s">
        <v>4805</v>
      </c>
      <c r="I1940">
        <v>17.989999999999998</v>
      </c>
      <c r="J1940">
        <v>2</v>
      </c>
      <c r="K1940">
        <v>3.57</v>
      </c>
      <c r="L1940">
        <v>0</v>
      </c>
      <c r="M1940" t="s">
        <v>4809</v>
      </c>
      <c r="N1940" t="s">
        <v>4900</v>
      </c>
      <c r="O1940" t="s">
        <v>4912</v>
      </c>
    </row>
    <row r="1941" spans="1:15" x14ac:dyDescent="0.35">
      <c r="A1941" t="s">
        <v>1923</v>
      </c>
      <c r="B1941">
        <v>61</v>
      </c>
      <c r="C1941" t="s">
        <v>4802</v>
      </c>
      <c r="D1941" t="s">
        <v>13</v>
      </c>
      <c r="E1941">
        <v>43</v>
      </c>
      <c r="F1941">
        <v>35</v>
      </c>
      <c r="G1941" t="s">
        <v>4799</v>
      </c>
      <c r="H1941" t="s">
        <v>4805</v>
      </c>
      <c r="I1941">
        <v>13.99</v>
      </c>
      <c r="J1941">
        <v>4</v>
      </c>
      <c r="K1941">
        <v>1.43</v>
      </c>
      <c r="L1941">
        <v>0</v>
      </c>
      <c r="M1941" t="s">
        <v>4812</v>
      </c>
      <c r="N1941" t="s">
        <v>4900</v>
      </c>
      <c r="O1941" t="s">
        <v>4911</v>
      </c>
    </row>
    <row r="1942" spans="1:15" x14ac:dyDescent="0.35">
      <c r="A1942" t="s">
        <v>1924</v>
      </c>
      <c r="B1942">
        <v>56</v>
      </c>
      <c r="C1942" t="s">
        <v>4803</v>
      </c>
      <c r="D1942" t="s">
        <v>13</v>
      </c>
      <c r="E1942">
        <v>36</v>
      </c>
      <c r="F1942">
        <v>53</v>
      </c>
      <c r="G1942" t="s">
        <v>4798</v>
      </c>
      <c r="H1942" t="s">
        <v>4805</v>
      </c>
      <c r="I1942">
        <v>13.99</v>
      </c>
      <c r="J1942">
        <v>3</v>
      </c>
      <c r="K1942">
        <v>1.2</v>
      </c>
      <c r="L1942">
        <v>0</v>
      </c>
      <c r="M1942" t="s">
        <v>4811</v>
      </c>
      <c r="N1942" t="s">
        <v>4900</v>
      </c>
      <c r="O1942" t="s">
        <v>4911</v>
      </c>
    </row>
    <row r="1943" spans="1:15" x14ac:dyDescent="0.35">
      <c r="A1943" t="s">
        <v>1925</v>
      </c>
      <c r="B1943">
        <v>65</v>
      </c>
      <c r="C1943" t="s">
        <v>4802</v>
      </c>
      <c r="D1943" t="s">
        <v>13</v>
      </c>
      <c r="E1943">
        <v>37</v>
      </c>
      <c r="F1943">
        <v>57</v>
      </c>
      <c r="G1943" t="s">
        <v>4797</v>
      </c>
      <c r="H1943" t="s">
        <v>4805</v>
      </c>
      <c r="I1943">
        <v>13.99</v>
      </c>
      <c r="J1943">
        <v>4</v>
      </c>
      <c r="K1943">
        <v>1.23</v>
      </c>
      <c r="L1943">
        <v>0</v>
      </c>
      <c r="M1943" t="s">
        <v>4812</v>
      </c>
      <c r="N1943" t="s">
        <v>4900</v>
      </c>
      <c r="O1943" t="s">
        <v>4911</v>
      </c>
    </row>
    <row r="1944" spans="1:15" x14ac:dyDescent="0.35">
      <c r="A1944" t="s">
        <v>1926</v>
      </c>
      <c r="B1944">
        <v>64</v>
      </c>
      <c r="C1944" t="s">
        <v>4802</v>
      </c>
      <c r="D1944" t="s">
        <v>13</v>
      </c>
      <c r="E1944">
        <v>44</v>
      </c>
      <c r="F1944" t="s">
        <v>4814</v>
      </c>
      <c r="G1944" t="s">
        <v>4798</v>
      </c>
      <c r="H1944" t="s">
        <v>4805</v>
      </c>
      <c r="I1944">
        <v>13.99</v>
      </c>
      <c r="J1944">
        <v>1</v>
      </c>
      <c r="K1944">
        <v>1.47</v>
      </c>
      <c r="L1944">
        <v>0</v>
      </c>
      <c r="M1944" t="s">
        <v>4811</v>
      </c>
      <c r="N1944" t="s">
        <v>4900</v>
      </c>
      <c r="O1944" t="s">
        <v>4911</v>
      </c>
    </row>
    <row r="1945" spans="1:15" x14ac:dyDescent="0.35">
      <c r="A1945" t="s">
        <v>1927</v>
      </c>
      <c r="B1945">
        <v>24</v>
      </c>
      <c r="C1945" t="s">
        <v>4803</v>
      </c>
      <c r="D1945" t="s">
        <v>13</v>
      </c>
      <c r="E1945">
        <v>30</v>
      </c>
      <c r="F1945">
        <v>50</v>
      </c>
      <c r="G1945" t="s">
        <v>4798</v>
      </c>
      <c r="H1945" t="s">
        <v>4805</v>
      </c>
      <c r="I1945">
        <v>13.99</v>
      </c>
      <c r="J1945">
        <v>3</v>
      </c>
      <c r="K1945">
        <v>1</v>
      </c>
      <c r="L1945">
        <v>0</v>
      </c>
      <c r="M1945" t="s">
        <v>4809</v>
      </c>
      <c r="N1945" t="s">
        <v>4900</v>
      </c>
      <c r="O1945" t="s">
        <v>4912</v>
      </c>
    </row>
    <row r="1946" spans="1:15" x14ac:dyDescent="0.35">
      <c r="A1946" t="s">
        <v>1928</v>
      </c>
      <c r="B1946">
        <v>63</v>
      </c>
      <c r="C1946" t="s">
        <v>4803</v>
      </c>
      <c r="D1946" t="s">
        <v>14</v>
      </c>
      <c r="E1946">
        <v>58</v>
      </c>
      <c r="F1946">
        <v>1</v>
      </c>
      <c r="G1946" t="s">
        <v>4798</v>
      </c>
      <c r="H1946" t="s">
        <v>4805</v>
      </c>
      <c r="I1946">
        <v>8.99</v>
      </c>
      <c r="J1946">
        <v>2</v>
      </c>
      <c r="K1946">
        <v>1.93</v>
      </c>
      <c r="L1946">
        <v>0</v>
      </c>
      <c r="M1946" t="s">
        <v>4811</v>
      </c>
      <c r="N1946" t="s">
        <v>4900</v>
      </c>
      <c r="O1946" t="s">
        <v>4911</v>
      </c>
    </row>
    <row r="1947" spans="1:15" x14ac:dyDescent="0.35">
      <c r="A1947" t="s">
        <v>1929</v>
      </c>
      <c r="B1947">
        <v>27</v>
      </c>
      <c r="C1947" t="s">
        <v>4803</v>
      </c>
      <c r="D1947" t="s">
        <v>15</v>
      </c>
      <c r="E1947">
        <v>79</v>
      </c>
      <c r="F1947">
        <v>53</v>
      </c>
      <c r="G1947" t="s">
        <v>4798</v>
      </c>
      <c r="H1947" t="s">
        <v>4804</v>
      </c>
      <c r="I1947">
        <v>17.989999999999998</v>
      </c>
      <c r="J1947">
        <v>5</v>
      </c>
      <c r="K1947">
        <v>2.63</v>
      </c>
      <c r="L1947">
        <v>1</v>
      </c>
      <c r="M1947" t="s">
        <v>4810</v>
      </c>
      <c r="N1947" t="s">
        <v>4899</v>
      </c>
      <c r="O1947" t="s">
        <v>4912</v>
      </c>
    </row>
    <row r="1948" spans="1:15" x14ac:dyDescent="0.35">
      <c r="A1948" t="s">
        <v>1930</v>
      </c>
      <c r="B1948">
        <v>45</v>
      </c>
      <c r="C1948" t="s">
        <v>4802</v>
      </c>
      <c r="D1948" t="s">
        <v>13</v>
      </c>
      <c r="E1948">
        <v>39</v>
      </c>
      <c r="F1948">
        <v>32</v>
      </c>
      <c r="G1948" t="s">
        <v>4797</v>
      </c>
      <c r="H1948" t="s">
        <v>4805</v>
      </c>
      <c r="I1948">
        <v>13.99</v>
      </c>
      <c r="J1948">
        <v>3</v>
      </c>
      <c r="K1948">
        <v>1.3</v>
      </c>
      <c r="L1948">
        <v>1</v>
      </c>
      <c r="M1948" t="s">
        <v>4810</v>
      </c>
      <c r="N1948" t="s">
        <v>4899</v>
      </c>
      <c r="O1948" t="s">
        <v>4910</v>
      </c>
    </row>
    <row r="1949" spans="1:15" x14ac:dyDescent="0.35">
      <c r="A1949" t="s">
        <v>1931</v>
      </c>
      <c r="B1949">
        <v>20</v>
      </c>
      <c r="C1949" t="s">
        <v>4803</v>
      </c>
      <c r="D1949" t="s">
        <v>13</v>
      </c>
      <c r="E1949">
        <v>44</v>
      </c>
      <c r="F1949">
        <v>24</v>
      </c>
      <c r="G1949" t="s">
        <v>4799</v>
      </c>
      <c r="H1949" t="s">
        <v>4805</v>
      </c>
      <c r="I1949">
        <v>13.99</v>
      </c>
      <c r="J1949">
        <v>3</v>
      </c>
      <c r="K1949">
        <v>1.47</v>
      </c>
      <c r="L1949">
        <v>1</v>
      </c>
      <c r="M1949" t="s">
        <v>4810</v>
      </c>
      <c r="N1949" t="s">
        <v>4899</v>
      </c>
      <c r="O1949" t="s">
        <v>4912</v>
      </c>
    </row>
    <row r="1950" spans="1:15" x14ac:dyDescent="0.35">
      <c r="A1950" t="s">
        <v>1932</v>
      </c>
      <c r="B1950">
        <v>28</v>
      </c>
      <c r="C1950" t="s">
        <v>4802</v>
      </c>
      <c r="D1950" t="s">
        <v>13</v>
      </c>
      <c r="E1950">
        <v>68</v>
      </c>
      <c r="F1950">
        <v>18</v>
      </c>
      <c r="G1950" t="s">
        <v>4797</v>
      </c>
      <c r="H1950" t="s">
        <v>4804</v>
      </c>
      <c r="I1950">
        <v>13.99</v>
      </c>
      <c r="J1950">
        <v>1</v>
      </c>
      <c r="K1950">
        <v>2.27</v>
      </c>
      <c r="L1950">
        <v>0</v>
      </c>
      <c r="M1950" t="s">
        <v>4808</v>
      </c>
      <c r="N1950" t="s">
        <v>4900</v>
      </c>
      <c r="O1950" t="s">
        <v>4912</v>
      </c>
    </row>
    <row r="1951" spans="1:15" x14ac:dyDescent="0.35">
      <c r="A1951" t="s">
        <v>1933</v>
      </c>
      <c r="B1951">
        <v>19</v>
      </c>
      <c r="C1951" t="s">
        <v>4803</v>
      </c>
      <c r="D1951" t="s">
        <v>14</v>
      </c>
      <c r="E1951">
        <v>17</v>
      </c>
      <c r="F1951">
        <v>8</v>
      </c>
      <c r="G1951" t="s">
        <v>4797</v>
      </c>
      <c r="H1951" t="s">
        <v>4804</v>
      </c>
      <c r="I1951">
        <v>8.99</v>
      </c>
      <c r="J1951">
        <v>2</v>
      </c>
      <c r="K1951">
        <v>0.56999999999999995</v>
      </c>
      <c r="L1951">
        <v>0</v>
      </c>
      <c r="M1951" t="s">
        <v>4811</v>
      </c>
      <c r="N1951" t="s">
        <v>4900</v>
      </c>
      <c r="O1951" t="s">
        <v>4912</v>
      </c>
    </row>
    <row r="1952" spans="1:15" x14ac:dyDescent="0.35">
      <c r="A1952" t="s">
        <v>1934</v>
      </c>
      <c r="B1952">
        <v>43</v>
      </c>
      <c r="C1952" t="s">
        <v>4803</v>
      </c>
      <c r="D1952" t="s">
        <v>13</v>
      </c>
      <c r="E1952">
        <v>30</v>
      </c>
      <c r="F1952">
        <v>21</v>
      </c>
      <c r="G1952" t="s">
        <v>4797</v>
      </c>
      <c r="H1952" t="s">
        <v>4805</v>
      </c>
      <c r="I1952">
        <v>13.99</v>
      </c>
      <c r="J1952">
        <v>2</v>
      </c>
      <c r="K1952">
        <v>1</v>
      </c>
      <c r="L1952">
        <v>0</v>
      </c>
      <c r="M1952" t="s">
        <v>4808</v>
      </c>
      <c r="N1952" t="s">
        <v>4900</v>
      </c>
      <c r="O1952" t="s">
        <v>4910</v>
      </c>
    </row>
    <row r="1953" spans="1:15" x14ac:dyDescent="0.35">
      <c r="A1953" t="s">
        <v>1935</v>
      </c>
      <c r="B1953">
        <v>35</v>
      </c>
      <c r="C1953" t="s">
        <v>4803</v>
      </c>
      <c r="D1953" t="s">
        <v>13</v>
      </c>
      <c r="E1953">
        <v>58</v>
      </c>
      <c r="F1953">
        <v>4</v>
      </c>
      <c r="G1953" t="s">
        <v>4798</v>
      </c>
      <c r="H1953" t="s">
        <v>4804</v>
      </c>
      <c r="I1953">
        <v>13.99</v>
      </c>
      <c r="J1953">
        <v>3</v>
      </c>
      <c r="K1953">
        <v>1.93</v>
      </c>
      <c r="L1953">
        <v>0</v>
      </c>
      <c r="M1953" t="s">
        <v>4811</v>
      </c>
      <c r="N1953" t="s">
        <v>4900</v>
      </c>
      <c r="O1953" t="s">
        <v>4910</v>
      </c>
    </row>
    <row r="1954" spans="1:15" x14ac:dyDescent="0.35">
      <c r="A1954" t="s">
        <v>1936</v>
      </c>
      <c r="B1954">
        <v>42</v>
      </c>
      <c r="C1954" t="s">
        <v>4802</v>
      </c>
      <c r="D1954" t="s">
        <v>13</v>
      </c>
      <c r="E1954">
        <v>39</v>
      </c>
      <c r="F1954">
        <v>19</v>
      </c>
      <c r="G1954" t="s">
        <v>4799</v>
      </c>
      <c r="H1954" t="s">
        <v>4805</v>
      </c>
      <c r="I1954">
        <v>13.99</v>
      </c>
      <c r="J1954">
        <v>1</v>
      </c>
      <c r="K1954">
        <v>2.0299999999999998</v>
      </c>
      <c r="L1954">
        <v>0</v>
      </c>
      <c r="M1954" t="s">
        <v>4809</v>
      </c>
      <c r="N1954" t="s">
        <v>4900</v>
      </c>
      <c r="O1954" t="s">
        <v>4910</v>
      </c>
    </row>
    <row r="1955" spans="1:15" x14ac:dyDescent="0.35">
      <c r="A1955" t="s">
        <v>1937</v>
      </c>
      <c r="B1955">
        <v>31</v>
      </c>
      <c r="C1955" t="s">
        <v>4803</v>
      </c>
      <c r="D1955" t="s">
        <v>15</v>
      </c>
      <c r="E1955">
        <v>114</v>
      </c>
      <c r="F1955">
        <v>18</v>
      </c>
      <c r="G1955" t="s">
        <v>4798</v>
      </c>
      <c r="H1955" t="s">
        <v>4805</v>
      </c>
      <c r="I1955">
        <v>17.989999999999998</v>
      </c>
      <c r="J1955">
        <v>4</v>
      </c>
      <c r="K1955">
        <v>3.8</v>
      </c>
      <c r="L1955">
        <v>0</v>
      </c>
      <c r="M1955" t="s">
        <v>4811</v>
      </c>
      <c r="N1955" t="s">
        <v>4900</v>
      </c>
      <c r="O1955" t="s">
        <v>4912</v>
      </c>
    </row>
    <row r="1956" spans="1:15" x14ac:dyDescent="0.35">
      <c r="A1956" t="s">
        <v>1938</v>
      </c>
      <c r="B1956">
        <v>35</v>
      </c>
      <c r="C1956" t="s">
        <v>4803</v>
      </c>
      <c r="D1956" t="s">
        <v>15</v>
      </c>
      <c r="E1956">
        <v>82</v>
      </c>
      <c r="F1956">
        <v>27</v>
      </c>
      <c r="G1956" t="s">
        <v>4799</v>
      </c>
      <c r="H1956" t="s">
        <v>4807</v>
      </c>
      <c r="I1956">
        <v>17.989999999999998</v>
      </c>
      <c r="J1956">
        <v>5</v>
      </c>
      <c r="K1956">
        <v>2.73</v>
      </c>
      <c r="L1956">
        <v>0</v>
      </c>
      <c r="M1956" t="s">
        <v>4809</v>
      </c>
      <c r="N1956" t="s">
        <v>4900</v>
      </c>
      <c r="O1956" t="s">
        <v>4910</v>
      </c>
    </row>
    <row r="1957" spans="1:15" x14ac:dyDescent="0.35">
      <c r="A1957" t="s">
        <v>1939</v>
      </c>
      <c r="B1957">
        <v>42</v>
      </c>
      <c r="C1957" t="s">
        <v>4803</v>
      </c>
      <c r="D1957" t="s">
        <v>15</v>
      </c>
      <c r="E1957">
        <v>83</v>
      </c>
      <c r="F1957">
        <v>22</v>
      </c>
      <c r="G1957" t="s">
        <v>4798</v>
      </c>
      <c r="H1957" t="s">
        <v>4804</v>
      </c>
      <c r="I1957">
        <v>17.989999999999998</v>
      </c>
      <c r="J1957">
        <v>5</v>
      </c>
      <c r="K1957">
        <v>2.77</v>
      </c>
      <c r="L1957">
        <v>1</v>
      </c>
      <c r="M1957" t="s">
        <v>4810</v>
      </c>
      <c r="N1957" t="s">
        <v>4899</v>
      </c>
      <c r="O1957" t="s">
        <v>4910</v>
      </c>
    </row>
    <row r="1958" spans="1:15" x14ac:dyDescent="0.35">
      <c r="A1958" t="s">
        <v>1940</v>
      </c>
      <c r="B1958">
        <v>60</v>
      </c>
      <c r="C1958" t="s">
        <v>4803</v>
      </c>
      <c r="D1958" t="s">
        <v>13</v>
      </c>
      <c r="E1958">
        <v>71</v>
      </c>
      <c r="F1958">
        <v>15</v>
      </c>
      <c r="G1958" t="s">
        <v>4798</v>
      </c>
      <c r="H1958" t="s">
        <v>4805</v>
      </c>
      <c r="I1958">
        <v>13.99</v>
      </c>
      <c r="J1958">
        <v>4</v>
      </c>
      <c r="K1958">
        <v>2.37</v>
      </c>
      <c r="L1958">
        <v>0</v>
      </c>
      <c r="M1958" t="s">
        <v>4812</v>
      </c>
      <c r="N1958" t="s">
        <v>4900</v>
      </c>
      <c r="O1958" t="s">
        <v>4911</v>
      </c>
    </row>
    <row r="1959" spans="1:15" x14ac:dyDescent="0.35">
      <c r="A1959" t="s">
        <v>1941</v>
      </c>
      <c r="B1959">
        <v>65</v>
      </c>
      <c r="C1959" t="s">
        <v>4803</v>
      </c>
      <c r="D1959" t="s">
        <v>13</v>
      </c>
      <c r="E1959">
        <v>59</v>
      </c>
      <c r="F1959">
        <v>38</v>
      </c>
      <c r="G1959" t="s">
        <v>4798</v>
      </c>
      <c r="H1959" t="s">
        <v>4805</v>
      </c>
      <c r="I1959">
        <v>13.99</v>
      </c>
      <c r="J1959">
        <v>4</v>
      </c>
      <c r="K1959">
        <v>1.97</v>
      </c>
      <c r="L1959">
        <v>1</v>
      </c>
      <c r="M1959" t="s">
        <v>4809</v>
      </c>
      <c r="N1959" t="s">
        <v>4899</v>
      </c>
      <c r="O1959" t="s">
        <v>4911</v>
      </c>
    </row>
    <row r="1960" spans="1:15" x14ac:dyDescent="0.35">
      <c r="A1960" t="s">
        <v>1942</v>
      </c>
      <c r="B1960">
        <v>57</v>
      </c>
      <c r="C1960" t="s">
        <v>4802</v>
      </c>
      <c r="D1960" t="s">
        <v>15</v>
      </c>
      <c r="E1960">
        <v>50</v>
      </c>
      <c r="F1960">
        <v>37</v>
      </c>
      <c r="G1960" t="s">
        <v>4797</v>
      </c>
      <c r="H1960" t="s">
        <v>4804</v>
      </c>
      <c r="I1960">
        <v>17.989999999999998</v>
      </c>
      <c r="J1960">
        <v>5</v>
      </c>
      <c r="K1960">
        <v>1.67</v>
      </c>
      <c r="L1960">
        <v>0</v>
      </c>
      <c r="M1960" t="s">
        <v>4808</v>
      </c>
      <c r="N1960" t="s">
        <v>4900</v>
      </c>
      <c r="O1960" t="s">
        <v>4911</v>
      </c>
    </row>
    <row r="1961" spans="1:15" x14ac:dyDescent="0.35">
      <c r="A1961" t="s">
        <v>1943</v>
      </c>
      <c r="B1961">
        <v>28</v>
      </c>
      <c r="C1961" t="s">
        <v>4803</v>
      </c>
      <c r="D1961" t="s">
        <v>13</v>
      </c>
      <c r="E1961">
        <v>71</v>
      </c>
      <c r="F1961">
        <v>24</v>
      </c>
      <c r="G1961" t="s">
        <v>4799</v>
      </c>
      <c r="H1961" t="s">
        <v>4805</v>
      </c>
      <c r="I1961">
        <v>13.99</v>
      </c>
      <c r="J1961">
        <v>3</v>
      </c>
      <c r="K1961">
        <v>2.37</v>
      </c>
      <c r="L1961">
        <v>0</v>
      </c>
      <c r="M1961" t="s">
        <v>4812</v>
      </c>
      <c r="N1961" t="s">
        <v>4900</v>
      </c>
      <c r="O1961" t="s">
        <v>4912</v>
      </c>
    </row>
    <row r="1962" spans="1:15" x14ac:dyDescent="0.35">
      <c r="A1962" t="s">
        <v>4828</v>
      </c>
      <c r="B1962">
        <v>36</v>
      </c>
      <c r="C1962" t="s">
        <v>4803</v>
      </c>
      <c r="D1962" t="s">
        <v>13</v>
      </c>
      <c r="E1962">
        <v>78</v>
      </c>
      <c r="F1962">
        <v>47</v>
      </c>
      <c r="G1962" t="s">
        <v>4799</v>
      </c>
      <c r="H1962" t="s">
        <v>4806</v>
      </c>
      <c r="I1962">
        <v>13.99</v>
      </c>
      <c r="J1962">
        <v>4</v>
      </c>
      <c r="K1962">
        <v>2.6</v>
      </c>
      <c r="L1962">
        <v>0</v>
      </c>
      <c r="M1962" t="s">
        <v>4809</v>
      </c>
      <c r="N1962" t="s">
        <v>4900</v>
      </c>
      <c r="O1962" t="s">
        <v>4910</v>
      </c>
    </row>
    <row r="1963" spans="1:15" x14ac:dyDescent="0.35">
      <c r="A1963" t="s">
        <v>1944</v>
      </c>
      <c r="B1963">
        <v>28</v>
      </c>
      <c r="C1963" t="s">
        <v>4803</v>
      </c>
      <c r="D1963" t="s">
        <v>13</v>
      </c>
      <c r="E1963">
        <v>54</v>
      </c>
      <c r="F1963">
        <v>16</v>
      </c>
      <c r="G1963" t="s">
        <v>4799</v>
      </c>
      <c r="H1963" t="s">
        <v>4805</v>
      </c>
      <c r="I1963">
        <v>13.99</v>
      </c>
      <c r="J1963">
        <v>3</v>
      </c>
      <c r="K1963">
        <v>1.8</v>
      </c>
      <c r="L1963">
        <v>0</v>
      </c>
      <c r="M1963" t="s">
        <v>4812</v>
      </c>
      <c r="N1963" t="s">
        <v>4900</v>
      </c>
      <c r="O1963" t="s">
        <v>4912</v>
      </c>
    </row>
    <row r="1964" spans="1:15" x14ac:dyDescent="0.35">
      <c r="A1964" t="s">
        <v>1945</v>
      </c>
      <c r="B1964">
        <v>53</v>
      </c>
      <c r="C1964" t="s">
        <v>4803</v>
      </c>
      <c r="D1964" t="s">
        <v>13</v>
      </c>
      <c r="E1964">
        <v>78</v>
      </c>
      <c r="F1964" t="s">
        <v>4814</v>
      </c>
      <c r="G1964" t="s">
        <v>4799</v>
      </c>
      <c r="H1964" t="s">
        <v>4807</v>
      </c>
      <c r="I1964">
        <v>13.99</v>
      </c>
      <c r="J1964">
        <v>2</v>
      </c>
      <c r="K1964">
        <v>2.6</v>
      </c>
      <c r="L1964">
        <v>0</v>
      </c>
      <c r="M1964" t="s">
        <v>4809</v>
      </c>
      <c r="N1964" t="s">
        <v>4900</v>
      </c>
      <c r="O1964" t="s">
        <v>4910</v>
      </c>
    </row>
    <row r="1965" spans="1:15" x14ac:dyDescent="0.35">
      <c r="A1965" t="s">
        <v>1946</v>
      </c>
      <c r="B1965">
        <v>42</v>
      </c>
      <c r="C1965" t="s">
        <v>4803</v>
      </c>
      <c r="D1965" t="s">
        <v>13</v>
      </c>
      <c r="E1965">
        <v>39</v>
      </c>
      <c r="F1965">
        <v>42</v>
      </c>
      <c r="G1965" t="s">
        <v>4798</v>
      </c>
      <c r="H1965" t="s">
        <v>4805</v>
      </c>
      <c r="I1965">
        <v>13.99</v>
      </c>
      <c r="J1965">
        <v>2</v>
      </c>
      <c r="K1965">
        <v>1.3</v>
      </c>
      <c r="L1965">
        <v>1</v>
      </c>
      <c r="M1965" t="s">
        <v>4811</v>
      </c>
      <c r="N1965" t="s">
        <v>4899</v>
      </c>
      <c r="O1965" t="s">
        <v>4910</v>
      </c>
    </row>
    <row r="1966" spans="1:15" x14ac:dyDescent="0.35">
      <c r="A1966" t="s">
        <v>1947</v>
      </c>
      <c r="B1966">
        <v>63</v>
      </c>
      <c r="C1966" t="s">
        <v>4803</v>
      </c>
      <c r="D1966" t="s">
        <v>13</v>
      </c>
      <c r="E1966">
        <v>42</v>
      </c>
      <c r="F1966">
        <v>39</v>
      </c>
      <c r="G1966" t="s">
        <v>4798</v>
      </c>
      <c r="H1966" t="s">
        <v>4804</v>
      </c>
      <c r="I1966">
        <v>13.99</v>
      </c>
      <c r="J1966">
        <v>3</v>
      </c>
      <c r="K1966">
        <v>1.4</v>
      </c>
      <c r="L1966">
        <v>0</v>
      </c>
      <c r="M1966" t="s">
        <v>4809</v>
      </c>
      <c r="N1966" t="s">
        <v>4900</v>
      </c>
      <c r="O1966" t="s">
        <v>4911</v>
      </c>
    </row>
    <row r="1967" spans="1:15" x14ac:dyDescent="0.35">
      <c r="A1967" t="s">
        <v>1948</v>
      </c>
      <c r="B1967">
        <v>32</v>
      </c>
      <c r="C1967" t="s">
        <v>4803</v>
      </c>
      <c r="D1967" t="s">
        <v>13</v>
      </c>
      <c r="E1967">
        <v>62</v>
      </c>
      <c r="F1967">
        <v>4</v>
      </c>
      <c r="G1967" t="s">
        <v>4800</v>
      </c>
      <c r="H1967" t="s">
        <v>4805</v>
      </c>
      <c r="I1967">
        <v>13.99</v>
      </c>
      <c r="J1967">
        <v>3</v>
      </c>
      <c r="K1967">
        <v>2.0699999999999998</v>
      </c>
      <c r="L1967">
        <v>0</v>
      </c>
      <c r="M1967" t="s">
        <v>4810</v>
      </c>
      <c r="N1967" t="s">
        <v>4900</v>
      </c>
      <c r="O1967" t="s">
        <v>4912</v>
      </c>
    </row>
    <row r="1968" spans="1:15" x14ac:dyDescent="0.35">
      <c r="A1968" t="s">
        <v>1949</v>
      </c>
      <c r="B1968">
        <v>41</v>
      </c>
      <c r="C1968" t="s">
        <v>4803</v>
      </c>
      <c r="D1968" t="s">
        <v>13</v>
      </c>
      <c r="E1968">
        <v>64</v>
      </c>
      <c r="F1968">
        <v>36</v>
      </c>
      <c r="G1968" t="s">
        <v>4798</v>
      </c>
      <c r="H1968" t="s">
        <v>4804</v>
      </c>
      <c r="I1968">
        <v>13.99</v>
      </c>
      <c r="J1968">
        <v>3</v>
      </c>
      <c r="K1968">
        <v>2.13</v>
      </c>
      <c r="L1968">
        <v>0</v>
      </c>
      <c r="M1968" t="s">
        <v>4808</v>
      </c>
      <c r="N1968" t="s">
        <v>4900</v>
      </c>
      <c r="O1968" t="s">
        <v>4910</v>
      </c>
    </row>
    <row r="1969" spans="1:15" x14ac:dyDescent="0.35">
      <c r="A1969" t="s">
        <v>1950</v>
      </c>
      <c r="B1969">
        <v>50</v>
      </c>
      <c r="C1969" t="s">
        <v>4803</v>
      </c>
      <c r="D1969" t="s">
        <v>13</v>
      </c>
      <c r="E1969">
        <v>80</v>
      </c>
      <c r="F1969">
        <v>999</v>
      </c>
      <c r="G1969" t="s">
        <v>4798</v>
      </c>
      <c r="H1969" t="s">
        <v>4805</v>
      </c>
      <c r="I1969">
        <v>13.99</v>
      </c>
      <c r="J1969">
        <v>3</v>
      </c>
      <c r="K1969">
        <v>2.67</v>
      </c>
      <c r="L1969">
        <v>0</v>
      </c>
      <c r="M1969" t="s">
        <v>4809</v>
      </c>
      <c r="N1969" t="s">
        <v>4900</v>
      </c>
      <c r="O1969" t="s">
        <v>4910</v>
      </c>
    </row>
    <row r="1970" spans="1:15" x14ac:dyDescent="0.35">
      <c r="A1970" t="s">
        <v>1951</v>
      </c>
      <c r="B1970">
        <v>19</v>
      </c>
      <c r="C1970" t="s">
        <v>4803</v>
      </c>
      <c r="D1970" t="s">
        <v>13</v>
      </c>
      <c r="E1970">
        <v>39</v>
      </c>
      <c r="F1970">
        <v>53</v>
      </c>
      <c r="G1970" t="s">
        <v>4799</v>
      </c>
      <c r="H1970" t="s">
        <v>4804</v>
      </c>
      <c r="I1970">
        <v>13.99</v>
      </c>
      <c r="J1970">
        <v>2</v>
      </c>
      <c r="K1970">
        <v>1.3</v>
      </c>
      <c r="L1970">
        <v>0</v>
      </c>
      <c r="M1970" t="s">
        <v>4809</v>
      </c>
      <c r="N1970" t="s">
        <v>4900</v>
      </c>
      <c r="O1970" t="s">
        <v>4912</v>
      </c>
    </row>
    <row r="1971" spans="1:15" x14ac:dyDescent="0.35">
      <c r="A1971" t="s">
        <v>1952</v>
      </c>
      <c r="B1971">
        <v>20</v>
      </c>
      <c r="C1971" t="s">
        <v>4802</v>
      </c>
      <c r="D1971" t="s">
        <v>13</v>
      </c>
      <c r="E1971">
        <v>42</v>
      </c>
      <c r="F1971">
        <v>3</v>
      </c>
      <c r="G1971" t="s">
        <v>4797</v>
      </c>
      <c r="H1971" t="s">
        <v>4806</v>
      </c>
      <c r="I1971">
        <v>13.99</v>
      </c>
      <c r="J1971">
        <v>2</v>
      </c>
      <c r="K1971">
        <v>1.4</v>
      </c>
      <c r="L1971">
        <v>0</v>
      </c>
      <c r="M1971" t="s">
        <v>4812</v>
      </c>
      <c r="N1971" t="s">
        <v>4900</v>
      </c>
      <c r="O1971" t="s">
        <v>4912</v>
      </c>
    </row>
    <row r="1972" spans="1:15" x14ac:dyDescent="0.35">
      <c r="A1972" t="s">
        <v>1953</v>
      </c>
      <c r="B1972">
        <v>65</v>
      </c>
      <c r="C1972" t="s">
        <v>4803</v>
      </c>
      <c r="D1972" t="s">
        <v>13</v>
      </c>
      <c r="E1972">
        <v>70</v>
      </c>
      <c r="F1972">
        <v>4</v>
      </c>
      <c r="G1972" t="s">
        <v>4797</v>
      </c>
      <c r="H1972" t="s">
        <v>4804</v>
      </c>
      <c r="I1972">
        <v>13.99</v>
      </c>
      <c r="J1972">
        <v>2</v>
      </c>
      <c r="K1972">
        <v>2.33</v>
      </c>
      <c r="L1972">
        <v>0</v>
      </c>
      <c r="M1972" t="s">
        <v>4809</v>
      </c>
      <c r="N1972" t="s">
        <v>4900</v>
      </c>
      <c r="O1972" t="s">
        <v>4911</v>
      </c>
    </row>
    <row r="1973" spans="1:15" x14ac:dyDescent="0.35">
      <c r="A1973" t="s">
        <v>1954</v>
      </c>
      <c r="B1973">
        <v>63</v>
      </c>
      <c r="C1973" t="s">
        <v>4803</v>
      </c>
      <c r="D1973" t="s">
        <v>13</v>
      </c>
      <c r="E1973">
        <v>63</v>
      </c>
      <c r="F1973">
        <v>34</v>
      </c>
      <c r="G1973" t="s">
        <v>4799</v>
      </c>
      <c r="H1973" t="s">
        <v>4806</v>
      </c>
      <c r="I1973">
        <v>13.99</v>
      </c>
      <c r="J1973">
        <v>3</v>
      </c>
      <c r="K1973">
        <v>5</v>
      </c>
      <c r="L1973">
        <v>0</v>
      </c>
      <c r="M1973" t="s">
        <v>4808</v>
      </c>
      <c r="N1973" t="s">
        <v>4900</v>
      </c>
      <c r="O1973" t="s">
        <v>4911</v>
      </c>
    </row>
    <row r="1974" spans="1:15" x14ac:dyDescent="0.35">
      <c r="A1974" t="s">
        <v>1955</v>
      </c>
      <c r="B1974">
        <v>36</v>
      </c>
      <c r="C1974" t="s">
        <v>4802</v>
      </c>
      <c r="D1974" t="s">
        <v>13</v>
      </c>
      <c r="E1974">
        <v>59</v>
      </c>
      <c r="F1974">
        <v>21</v>
      </c>
      <c r="G1974" t="s">
        <v>4798</v>
      </c>
      <c r="H1974" t="s">
        <v>4807</v>
      </c>
      <c r="I1974">
        <v>13.99</v>
      </c>
      <c r="J1974">
        <v>2</v>
      </c>
      <c r="K1974">
        <v>1.97</v>
      </c>
      <c r="L1974">
        <v>0</v>
      </c>
      <c r="M1974" t="s">
        <v>4809</v>
      </c>
      <c r="N1974" t="s">
        <v>4900</v>
      </c>
      <c r="O1974" t="s">
        <v>4910</v>
      </c>
    </row>
    <row r="1975" spans="1:15" x14ac:dyDescent="0.35">
      <c r="A1975" t="s">
        <v>1956</v>
      </c>
      <c r="B1975">
        <v>26</v>
      </c>
      <c r="C1975" t="s">
        <v>4802</v>
      </c>
      <c r="D1975" t="s">
        <v>13</v>
      </c>
      <c r="E1975">
        <v>32</v>
      </c>
      <c r="F1975">
        <v>10</v>
      </c>
      <c r="G1975" t="s">
        <v>4797</v>
      </c>
      <c r="H1975" t="s">
        <v>4805</v>
      </c>
      <c r="I1975">
        <v>13.99</v>
      </c>
      <c r="J1975">
        <v>1</v>
      </c>
      <c r="K1975">
        <v>1.07</v>
      </c>
      <c r="L1975">
        <v>0</v>
      </c>
      <c r="M1975" t="s">
        <v>4812</v>
      </c>
      <c r="N1975" t="s">
        <v>4900</v>
      </c>
      <c r="O1975" t="s">
        <v>4912</v>
      </c>
    </row>
    <row r="1976" spans="1:15" x14ac:dyDescent="0.35">
      <c r="A1976" t="s">
        <v>1957</v>
      </c>
      <c r="B1976">
        <v>31</v>
      </c>
      <c r="C1976" t="s">
        <v>4803</v>
      </c>
      <c r="D1976" t="s">
        <v>13</v>
      </c>
      <c r="E1976">
        <v>54</v>
      </c>
      <c r="F1976">
        <v>60</v>
      </c>
      <c r="G1976" t="s">
        <v>4798</v>
      </c>
      <c r="H1976" t="s">
        <v>4804</v>
      </c>
      <c r="I1976">
        <v>13.99</v>
      </c>
      <c r="J1976">
        <v>3</v>
      </c>
      <c r="K1976">
        <v>1.8</v>
      </c>
      <c r="L1976">
        <v>0</v>
      </c>
      <c r="M1976" t="s">
        <v>4810</v>
      </c>
      <c r="N1976" t="s">
        <v>4900</v>
      </c>
      <c r="O1976" t="s">
        <v>4912</v>
      </c>
    </row>
    <row r="1977" spans="1:15" x14ac:dyDescent="0.35">
      <c r="A1977" t="s">
        <v>1958</v>
      </c>
      <c r="B1977">
        <v>42</v>
      </c>
      <c r="C1977" t="s">
        <v>4803</v>
      </c>
      <c r="D1977" t="s">
        <v>13</v>
      </c>
      <c r="E1977">
        <v>79</v>
      </c>
      <c r="F1977">
        <v>12</v>
      </c>
      <c r="G1977" t="s">
        <v>4797</v>
      </c>
      <c r="H1977" t="s">
        <v>4805</v>
      </c>
      <c r="I1977">
        <v>13.99</v>
      </c>
      <c r="J1977">
        <v>1</v>
      </c>
      <c r="K1977">
        <v>2.63</v>
      </c>
      <c r="L1977">
        <v>0</v>
      </c>
      <c r="M1977" t="s">
        <v>4809</v>
      </c>
      <c r="N1977" t="s">
        <v>4900</v>
      </c>
      <c r="O1977" t="s">
        <v>4910</v>
      </c>
    </row>
    <row r="1978" spans="1:15" x14ac:dyDescent="0.35">
      <c r="A1978" t="s">
        <v>1959</v>
      </c>
      <c r="B1978">
        <v>36</v>
      </c>
      <c r="C1978" t="s">
        <v>4802</v>
      </c>
      <c r="D1978" t="s">
        <v>13</v>
      </c>
      <c r="E1978">
        <v>51</v>
      </c>
      <c r="F1978">
        <v>59</v>
      </c>
      <c r="G1978" t="s">
        <v>4798</v>
      </c>
      <c r="H1978" t="s">
        <v>4806</v>
      </c>
      <c r="I1978">
        <v>13.99</v>
      </c>
      <c r="J1978">
        <v>2</v>
      </c>
      <c r="K1978">
        <v>2.0299999999999998</v>
      </c>
      <c r="L1978">
        <v>0</v>
      </c>
      <c r="M1978" t="s">
        <v>4811</v>
      </c>
      <c r="N1978" t="s">
        <v>4900</v>
      </c>
      <c r="O1978" t="s">
        <v>4910</v>
      </c>
    </row>
    <row r="1979" spans="1:15" x14ac:dyDescent="0.35">
      <c r="A1979" t="s">
        <v>1960</v>
      </c>
      <c r="B1979">
        <v>45</v>
      </c>
      <c r="C1979" t="s">
        <v>4802</v>
      </c>
      <c r="D1979" t="s">
        <v>13</v>
      </c>
      <c r="E1979">
        <v>30</v>
      </c>
      <c r="F1979">
        <v>51</v>
      </c>
      <c r="G1979" t="s">
        <v>4797</v>
      </c>
      <c r="H1979" t="s">
        <v>4805</v>
      </c>
      <c r="I1979">
        <v>13.99</v>
      </c>
      <c r="J1979">
        <v>4</v>
      </c>
      <c r="K1979">
        <v>2.0299999999999998</v>
      </c>
      <c r="L1979">
        <v>0</v>
      </c>
      <c r="M1979" t="s">
        <v>4810</v>
      </c>
      <c r="N1979" t="s">
        <v>4900</v>
      </c>
      <c r="O1979" t="s">
        <v>4910</v>
      </c>
    </row>
    <row r="1980" spans="1:15" x14ac:dyDescent="0.35">
      <c r="A1980" t="s">
        <v>1961</v>
      </c>
      <c r="B1980">
        <v>64</v>
      </c>
      <c r="C1980" t="s">
        <v>4803</v>
      </c>
      <c r="D1980" t="s">
        <v>14</v>
      </c>
      <c r="E1980">
        <v>22</v>
      </c>
      <c r="F1980">
        <v>48</v>
      </c>
      <c r="G1980" t="s">
        <v>4797</v>
      </c>
      <c r="H1980" t="s">
        <v>4805</v>
      </c>
      <c r="I1980">
        <v>8.99</v>
      </c>
      <c r="J1980">
        <v>2</v>
      </c>
      <c r="K1980">
        <v>0.73</v>
      </c>
      <c r="L1980">
        <v>0</v>
      </c>
      <c r="M1980" t="s">
        <v>4810</v>
      </c>
      <c r="N1980" t="s">
        <v>4900</v>
      </c>
      <c r="O1980" t="s">
        <v>4911</v>
      </c>
    </row>
    <row r="1981" spans="1:15" x14ac:dyDescent="0.35">
      <c r="A1981" t="s">
        <v>1962</v>
      </c>
      <c r="B1981">
        <v>50</v>
      </c>
      <c r="C1981" t="s">
        <v>4802</v>
      </c>
      <c r="D1981" t="s">
        <v>13</v>
      </c>
      <c r="E1981">
        <v>42</v>
      </c>
      <c r="F1981">
        <v>14</v>
      </c>
      <c r="G1981" t="s">
        <v>4797</v>
      </c>
      <c r="H1981" t="s">
        <v>4804</v>
      </c>
      <c r="I1981">
        <v>13.99</v>
      </c>
      <c r="J1981">
        <v>3</v>
      </c>
      <c r="K1981">
        <v>1.4</v>
      </c>
      <c r="L1981">
        <v>0</v>
      </c>
      <c r="M1981" t="s">
        <v>4809</v>
      </c>
      <c r="N1981" t="s">
        <v>4900</v>
      </c>
      <c r="O1981" t="s">
        <v>4910</v>
      </c>
    </row>
    <row r="1982" spans="1:15" x14ac:dyDescent="0.35">
      <c r="A1982" t="s">
        <v>1963</v>
      </c>
      <c r="B1982">
        <v>57</v>
      </c>
      <c r="C1982" t="s">
        <v>4802</v>
      </c>
      <c r="D1982" t="s">
        <v>13</v>
      </c>
      <c r="E1982">
        <v>69</v>
      </c>
      <c r="F1982">
        <v>19</v>
      </c>
      <c r="G1982" t="s">
        <v>4797</v>
      </c>
      <c r="H1982" t="s">
        <v>4804</v>
      </c>
      <c r="I1982">
        <v>13.99</v>
      </c>
      <c r="J1982">
        <v>3</v>
      </c>
      <c r="K1982">
        <v>2.2999999999999998</v>
      </c>
      <c r="L1982">
        <v>0</v>
      </c>
      <c r="M1982" t="s">
        <v>4808</v>
      </c>
      <c r="N1982" t="s">
        <v>4900</v>
      </c>
      <c r="O1982" t="s">
        <v>4911</v>
      </c>
    </row>
    <row r="1983" spans="1:15" x14ac:dyDescent="0.35">
      <c r="A1983" t="s">
        <v>1964</v>
      </c>
      <c r="B1983">
        <v>28</v>
      </c>
      <c r="C1983" t="s">
        <v>4802</v>
      </c>
      <c r="D1983" t="s">
        <v>14</v>
      </c>
      <c r="E1983">
        <v>12</v>
      </c>
      <c r="F1983">
        <v>42</v>
      </c>
      <c r="G1983" t="s">
        <v>4798</v>
      </c>
      <c r="H1983" t="s">
        <v>4805</v>
      </c>
      <c r="I1983">
        <v>8.99</v>
      </c>
      <c r="J1983">
        <v>2</v>
      </c>
      <c r="K1983">
        <v>0.4</v>
      </c>
      <c r="L1983">
        <v>1</v>
      </c>
      <c r="M1983" t="s">
        <v>4811</v>
      </c>
      <c r="N1983" t="s">
        <v>4899</v>
      </c>
      <c r="O1983" t="s">
        <v>4912</v>
      </c>
    </row>
    <row r="1984" spans="1:15" x14ac:dyDescent="0.35">
      <c r="A1984" t="s">
        <v>1965</v>
      </c>
      <c r="B1984">
        <v>44</v>
      </c>
      <c r="C1984" t="s">
        <v>4802</v>
      </c>
      <c r="D1984" t="s">
        <v>13</v>
      </c>
      <c r="E1984">
        <v>61</v>
      </c>
      <c r="F1984">
        <v>10</v>
      </c>
      <c r="G1984" t="s">
        <v>4798</v>
      </c>
      <c r="H1984" t="s">
        <v>4806</v>
      </c>
      <c r="I1984">
        <v>13.99</v>
      </c>
      <c r="J1984">
        <v>1</v>
      </c>
      <c r="K1984">
        <v>5</v>
      </c>
      <c r="L1984">
        <v>0</v>
      </c>
      <c r="M1984" t="s">
        <v>4809</v>
      </c>
      <c r="N1984" t="s">
        <v>4900</v>
      </c>
      <c r="O1984" t="s">
        <v>4910</v>
      </c>
    </row>
    <row r="1985" spans="1:15" x14ac:dyDescent="0.35">
      <c r="A1985" t="s">
        <v>1966</v>
      </c>
      <c r="B1985">
        <v>59</v>
      </c>
      <c r="C1985" t="s">
        <v>4803</v>
      </c>
      <c r="D1985" t="s">
        <v>15</v>
      </c>
      <c r="E1985">
        <v>92</v>
      </c>
      <c r="F1985">
        <v>44</v>
      </c>
      <c r="G1985" t="s">
        <v>4799</v>
      </c>
      <c r="H1985" t="s">
        <v>4804</v>
      </c>
      <c r="I1985">
        <v>17.989999999999998</v>
      </c>
      <c r="J1985">
        <v>3</v>
      </c>
      <c r="K1985">
        <v>3.07</v>
      </c>
      <c r="L1985">
        <v>0</v>
      </c>
      <c r="M1985" t="s">
        <v>4810</v>
      </c>
      <c r="N1985" t="s">
        <v>4900</v>
      </c>
      <c r="O1985" t="s">
        <v>4911</v>
      </c>
    </row>
    <row r="1986" spans="1:15" x14ac:dyDescent="0.35">
      <c r="A1986" t="s">
        <v>1967</v>
      </c>
      <c r="B1986">
        <v>45</v>
      </c>
      <c r="C1986" t="s">
        <v>4803</v>
      </c>
      <c r="D1986" t="s">
        <v>14</v>
      </c>
      <c r="E1986">
        <v>15</v>
      </c>
      <c r="F1986">
        <v>15</v>
      </c>
      <c r="G1986" t="s">
        <v>4799</v>
      </c>
      <c r="H1986" t="s">
        <v>4804</v>
      </c>
      <c r="I1986">
        <v>8.99</v>
      </c>
      <c r="J1986">
        <v>2</v>
      </c>
      <c r="K1986">
        <v>0.5</v>
      </c>
      <c r="L1986">
        <v>0</v>
      </c>
      <c r="M1986" t="s">
        <v>4809</v>
      </c>
      <c r="N1986" t="s">
        <v>4900</v>
      </c>
      <c r="O1986" t="s">
        <v>4910</v>
      </c>
    </row>
    <row r="1987" spans="1:15" x14ac:dyDescent="0.35">
      <c r="A1987" t="s">
        <v>1968</v>
      </c>
      <c r="B1987">
        <v>24</v>
      </c>
      <c r="C1987" t="s">
        <v>4803</v>
      </c>
      <c r="D1987" t="s">
        <v>13</v>
      </c>
      <c r="E1987">
        <v>57</v>
      </c>
      <c r="F1987">
        <v>46</v>
      </c>
      <c r="G1987" t="s">
        <v>4798</v>
      </c>
      <c r="H1987" t="s">
        <v>4805</v>
      </c>
      <c r="I1987">
        <v>13.99</v>
      </c>
      <c r="J1987">
        <v>2</v>
      </c>
      <c r="K1987">
        <v>1.9</v>
      </c>
      <c r="L1987">
        <v>0</v>
      </c>
      <c r="M1987" t="s">
        <v>4808</v>
      </c>
      <c r="N1987" t="s">
        <v>4900</v>
      </c>
      <c r="O1987" t="s">
        <v>4912</v>
      </c>
    </row>
    <row r="1988" spans="1:15" x14ac:dyDescent="0.35">
      <c r="A1988" t="s">
        <v>1969</v>
      </c>
      <c r="B1988">
        <v>53</v>
      </c>
      <c r="C1988" t="s">
        <v>4803</v>
      </c>
      <c r="D1988" t="s">
        <v>15</v>
      </c>
      <c r="E1988">
        <v>81</v>
      </c>
      <c r="F1988">
        <v>21</v>
      </c>
      <c r="G1988" t="s">
        <v>4799</v>
      </c>
      <c r="H1988" t="s">
        <v>4805</v>
      </c>
      <c r="I1988">
        <v>17.989999999999998</v>
      </c>
      <c r="J1988">
        <v>4</v>
      </c>
      <c r="K1988">
        <v>2.7</v>
      </c>
      <c r="L1988">
        <v>0</v>
      </c>
      <c r="M1988" t="s">
        <v>4810</v>
      </c>
      <c r="N1988" t="s">
        <v>4900</v>
      </c>
      <c r="O1988" t="s">
        <v>4910</v>
      </c>
    </row>
    <row r="1989" spans="1:15" x14ac:dyDescent="0.35">
      <c r="A1989" t="s">
        <v>1970</v>
      </c>
      <c r="B1989">
        <v>50</v>
      </c>
      <c r="C1989" t="s">
        <v>4802</v>
      </c>
      <c r="D1989" t="s">
        <v>13</v>
      </c>
      <c r="E1989">
        <v>56</v>
      </c>
      <c r="F1989">
        <v>28</v>
      </c>
      <c r="G1989" t="s">
        <v>4799</v>
      </c>
      <c r="H1989" t="s">
        <v>4805</v>
      </c>
      <c r="I1989">
        <v>13.99</v>
      </c>
      <c r="J1989">
        <v>1</v>
      </c>
      <c r="K1989">
        <v>1.87</v>
      </c>
      <c r="L1989">
        <v>1</v>
      </c>
      <c r="M1989" t="s">
        <v>4812</v>
      </c>
      <c r="N1989" t="s">
        <v>4899</v>
      </c>
      <c r="O1989" t="s">
        <v>4910</v>
      </c>
    </row>
    <row r="1990" spans="1:15" x14ac:dyDescent="0.35">
      <c r="A1990" t="s">
        <v>1971</v>
      </c>
      <c r="B1990">
        <v>51</v>
      </c>
      <c r="C1990" t="s">
        <v>4802</v>
      </c>
      <c r="D1990" t="s">
        <v>15</v>
      </c>
      <c r="E1990">
        <v>110</v>
      </c>
      <c r="F1990">
        <v>38</v>
      </c>
      <c r="G1990" t="s">
        <v>4799</v>
      </c>
      <c r="H1990" t="s">
        <v>4804</v>
      </c>
      <c r="I1990">
        <v>17.989999999999998</v>
      </c>
      <c r="J1990">
        <v>5</v>
      </c>
      <c r="K1990">
        <v>3.67</v>
      </c>
      <c r="L1990">
        <v>0</v>
      </c>
      <c r="M1990" t="s">
        <v>4811</v>
      </c>
      <c r="N1990" t="s">
        <v>4900</v>
      </c>
      <c r="O1990" t="s">
        <v>4910</v>
      </c>
    </row>
    <row r="1991" spans="1:15" x14ac:dyDescent="0.35">
      <c r="A1991" t="s">
        <v>1972</v>
      </c>
      <c r="B1991">
        <v>39</v>
      </c>
      <c r="C1991" t="s">
        <v>4803</v>
      </c>
      <c r="D1991" t="s">
        <v>13</v>
      </c>
      <c r="E1991">
        <v>63</v>
      </c>
      <c r="F1991">
        <v>11</v>
      </c>
      <c r="G1991" t="s">
        <v>4798</v>
      </c>
      <c r="H1991" t="s">
        <v>4805</v>
      </c>
      <c r="I1991">
        <v>13.99</v>
      </c>
      <c r="J1991">
        <v>4</v>
      </c>
      <c r="K1991">
        <v>2.1</v>
      </c>
      <c r="L1991">
        <v>0</v>
      </c>
      <c r="M1991" t="s">
        <v>4808</v>
      </c>
      <c r="N1991" t="s">
        <v>4900</v>
      </c>
      <c r="O1991" t="s">
        <v>4910</v>
      </c>
    </row>
    <row r="1992" spans="1:15" x14ac:dyDescent="0.35">
      <c r="A1992" t="s">
        <v>1973</v>
      </c>
      <c r="B1992">
        <v>44</v>
      </c>
      <c r="C1992" t="s">
        <v>4803</v>
      </c>
      <c r="D1992" t="s">
        <v>15</v>
      </c>
      <c r="E1992">
        <v>87</v>
      </c>
      <c r="F1992">
        <v>24</v>
      </c>
      <c r="G1992" t="s">
        <v>4798</v>
      </c>
      <c r="H1992" t="s">
        <v>4805</v>
      </c>
      <c r="I1992">
        <v>17.989999999999998</v>
      </c>
      <c r="J1992">
        <v>5</v>
      </c>
      <c r="K1992">
        <v>2.9</v>
      </c>
      <c r="L1992">
        <v>0</v>
      </c>
      <c r="M1992" t="s">
        <v>4810</v>
      </c>
      <c r="N1992" t="s">
        <v>4900</v>
      </c>
      <c r="O1992" t="s">
        <v>4910</v>
      </c>
    </row>
    <row r="1993" spans="1:15" x14ac:dyDescent="0.35">
      <c r="A1993" t="s">
        <v>1974</v>
      </c>
      <c r="B1993">
        <v>57</v>
      </c>
      <c r="C1993" t="s">
        <v>4802</v>
      </c>
      <c r="D1993" t="s">
        <v>13</v>
      </c>
      <c r="E1993">
        <v>31</v>
      </c>
      <c r="F1993">
        <v>9</v>
      </c>
      <c r="G1993" t="s">
        <v>4799</v>
      </c>
      <c r="H1993" t="s">
        <v>4804</v>
      </c>
      <c r="I1993">
        <v>13.99</v>
      </c>
      <c r="J1993">
        <v>1</v>
      </c>
      <c r="K1993">
        <v>2.0299999999999998</v>
      </c>
      <c r="L1993">
        <v>1</v>
      </c>
      <c r="M1993" t="s">
        <v>4811</v>
      </c>
      <c r="N1993" t="s">
        <v>4899</v>
      </c>
      <c r="O1993" t="s">
        <v>4911</v>
      </c>
    </row>
    <row r="1994" spans="1:15" x14ac:dyDescent="0.35">
      <c r="A1994" t="s">
        <v>1975</v>
      </c>
      <c r="B1994">
        <v>28</v>
      </c>
      <c r="C1994" t="s">
        <v>4802</v>
      </c>
      <c r="D1994" t="s">
        <v>13</v>
      </c>
      <c r="E1994">
        <v>33</v>
      </c>
      <c r="F1994">
        <v>33</v>
      </c>
      <c r="G1994" t="s">
        <v>4800</v>
      </c>
      <c r="H1994" t="s">
        <v>4804</v>
      </c>
      <c r="I1994">
        <v>13.99</v>
      </c>
      <c r="J1994">
        <v>4</v>
      </c>
      <c r="K1994">
        <v>1.1000000000000001</v>
      </c>
      <c r="L1994">
        <v>0</v>
      </c>
      <c r="M1994" t="s">
        <v>4809</v>
      </c>
      <c r="N1994" t="s">
        <v>4900</v>
      </c>
      <c r="O1994" t="s">
        <v>4912</v>
      </c>
    </row>
    <row r="1995" spans="1:15" x14ac:dyDescent="0.35">
      <c r="A1995" t="s">
        <v>1976</v>
      </c>
      <c r="B1995">
        <v>28</v>
      </c>
      <c r="C1995" t="s">
        <v>4803</v>
      </c>
      <c r="D1995" t="s">
        <v>14</v>
      </c>
      <c r="E1995">
        <v>13</v>
      </c>
      <c r="F1995">
        <v>57</v>
      </c>
      <c r="G1995" t="s">
        <v>4798</v>
      </c>
      <c r="H1995" t="s">
        <v>4804</v>
      </c>
      <c r="I1995">
        <v>8.99</v>
      </c>
      <c r="J1995">
        <v>1</v>
      </c>
      <c r="K1995">
        <v>0.43</v>
      </c>
      <c r="L1995">
        <v>1</v>
      </c>
      <c r="M1995" t="s">
        <v>4812</v>
      </c>
      <c r="N1995" t="s">
        <v>4899</v>
      </c>
      <c r="O1995" t="s">
        <v>4912</v>
      </c>
    </row>
    <row r="1996" spans="1:15" x14ac:dyDescent="0.35">
      <c r="A1996" t="s">
        <v>1977</v>
      </c>
      <c r="B1996">
        <v>59</v>
      </c>
      <c r="C1996" t="s">
        <v>4803</v>
      </c>
      <c r="D1996" t="s">
        <v>13</v>
      </c>
      <c r="E1996">
        <v>77</v>
      </c>
      <c r="F1996">
        <v>53</v>
      </c>
      <c r="G1996" t="s">
        <v>4800</v>
      </c>
      <c r="H1996" t="s">
        <v>4806</v>
      </c>
      <c r="I1996">
        <v>13.99</v>
      </c>
      <c r="J1996">
        <v>4</v>
      </c>
      <c r="K1996">
        <v>2.57</v>
      </c>
      <c r="L1996">
        <v>1</v>
      </c>
      <c r="M1996" t="s">
        <v>4810</v>
      </c>
      <c r="N1996" t="s">
        <v>4899</v>
      </c>
      <c r="O1996" t="s">
        <v>4911</v>
      </c>
    </row>
    <row r="1997" spans="1:15" x14ac:dyDescent="0.35">
      <c r="A1997" t="s">
        <v>1978</v>
      </c>
      <c r="B1997">
        <v>47</v>
      </c>
      <c r="C1997" t="s">
        <v>4803</v>
      </c>
      <c r="D1997" t="s">
        <v>13</v>
      </c>
      <c r="E1997">
        <v>66</v>
      </c>
      <c r="F1997">
        <v>19</v>
      </c>
      <c r="G1997" t="s">
        <v>4798</v>
      </c>
      <c r="H1997" t="s">
        <v>4805</v>
      </c>
      <c r="I1997">
        <v>13.99</v>
      </c>
      <c r="J1997">
        <v>2</v>
      </c>
      <c r="K1997">
        <v>2.2000000000000002</v>
      </c>
      <c r="L1997">
        <v>0</v>
      </c>
      <c r="M1997" t="s">
        <v>4812</v>
      </c>
      <c r="N1997" t="s">
        <v>4900</v>
      </c>
      <c r="O1997" t="s">
        <v>4910</v>
      </c>
    </row>
    <row r="1998" spans="1:15" x14ac:dyDescent="0.35">
      <c r="A1998" t="s">
        <v>1979</v>
      </c>
      <c r="B1998">
        <v>24</v>
      </c>
      <c r="C1998" t="s">
        <v>4802</v>
      </c>
      <c r="D1998" t="s">
        <v>13</v>
      </c>
      <c r="E1998">
        <v>42</v>
      </c>
      <c r="F1998">
        <v>24</v>
      </c>
      <c r="G1998" t="s">
        <v>4799</v>
      </c>
      <c r="H1998" t="s">
        <v>4805</v>
      </c>
      <c r="I1998">
        <v>13.99</v>
      </c>
      <c r="J1998">
        <v>3</v>
      </c>
      <c r="K1998">
        <v>1.4</v>
      </c>
      <c r="L1998">
        <v>0</v>
      </c>
      <c r="M1998" t="s">
        <v>4812</v>
      </c>
      <c r="N1998" t="s">
        <v>4900</v>
      </c>
      <c r="O1998" t="s">
        <v>4912</v>
      </c>
    </row>
    <row r="1999" spans="1:15" x14ac:dyDescent="0.35">
      <c r="A1999" t="s">
        <v>1980</v>
      </c>
      <c r="B1999">
        <v>53</v>
      </c>
      <c r="C1999" t="s">
        <v>4802</v>
      </c>
      <c r="D1999" t="s">
        <v>13</v>
      </c>
      <c r="E1999">
        <v>39</v>
      </c>
      <c r="F1999">
        <v>6</v>
      </c>
      <c r="G1999" t="s">
        <v>4799</v>
      </c>
      <c r="H1999" t="s">
        <v>4805</v>
      </c>
      <c r="I1999">
        <v>13.99</v>
      </c>
      <c r="J1999">
        <v>2</v>
      </c>
      <c r="K1999">
        <v>1.3</v>
      </c>
      <c r="L1999">
        <v>0</v>
      </c>
      <c r="M1999" t="s">
        <v>4811</v>
      </c>
      <c r="N1999" t="s">
        <v>4900</v>
      </c>
      <c r="O1999" t="s">
        <v>4910</v>
      </c>
    </row>
    <row r="2000" spans="1:15" x14ac:dyDescent="0.35">
      <c r="A2000" t="s">
        <v>1981</v>
      </c>
      <c r="B2000">
        <v>21</v>
      </c>
      <c r="C2000" t="s">
        <v>4802</v>
      </c>
      <c r="D2000" t="s">
        <v>13</v>
      </c>
      <c r="E2000">
        <v>57</v>
      </c>
      <c r="F2000">
        <v>47</v>
      </c>
      <c r="G2000" t="s">
        <v>4799</v>
      </c>
      <c r="H2000" t="s">
        <v>4806</v>
      </c>
      <c r="I2000">
        <v>13.99</v>
      </c>
      <c r="J2000">
        <v>2</v>
      </c>
      <c r="K2000">
        <v>1.9</v>
      </c>
      <c r="L2000">
        <v>1</v>
      </c>
      <c r="M2000" t="s">
        <v>4811</v>
      </c>
      <c r="N2000" t="s">
        <v>4899</v>
      </c>
      <c r="O2000" t="s">
        <v>4912</v>
      </c>
    </row>
    <row r="2001" spans="1:15" x14ac:dyDescent="0.35">
      <c r="A2001" t="s">
        <v>1982</v>
      </c>
      <c r="B2001">
        <v>47</v>
      </c>
      <c r="C2001" t="s">
        <v>4803</v>
      </c>
      <c r="D2001" t="s">
        <v>13</v>
      </c>
      <c r="E2001">
        <v>58</v>
      </c>
      <c r="F2001">
        <v>9</v>
      </c>
      <c r="G2001" t="s">
        <v>4799</v>
      </c>
      <c r="H2001" t="s">
        <v>4804</v>
      </c>
      <c r="I2001">
        <v>13.99</v>
      </c>
      <c r="J2001">
        <v>3</v>
      </c>
      <c r="K2001">
        <v>1.93</v>
      </c>
      <c r="L2001">
        <v>0</v>
      </c>
      <c r="M2001" t="s">
        <v>4810</v>
      </c>
      <c r="N2001" t="s">
        <v>4900</v>
      </c>
      <c r="O2001" t="s">
        <v>4910</v>
      </c>
    </row>
    <row r="2002" spans="1:15" x14ac:dyDescent="0.35">
      <c r="A2002" t="s">
        <v>1983</v>
      </c>
      <c r="B2002">
        <v>41</v>
      </c>
      <c r="C2002" t="s">
        <v>4802</v>
      </c>
      <c r="D2002" t="s">
        <v>13</v>
      </c>
      <c r="E2002">
        <v>79</v>
      </c>
      <c r="F2002">
        <v>4</v>
      </c>
      <c r="G2002" t="s">
        <v>4797</v>
      </c>
      <c r="H2002" t="s">
        <v>4804</v>
      </c>
      <c r="I2002">
        <v>13.99</v>
      </c>
      <c r="J2002">
        <v>2</v>
      </c>
      <c r="K2002">
        <v>2.63</v>
      </c>
      <c r="L2002">
        <v>0</v>
      </c>
      <c r="M2002" t="s">
        <v>4810</v>
      </c>
      <c r="N2002" t="s">
        <v>4900</v>
      </c>
      <c r="O2002" t="s">
        <v>4910</v>
      </c>
    </row>
    <row r="2003" spans="1:15" x14ac:dyDescent="0.35">
      <c r="A2003" t="s">
        <v>1984</v>
      </c>
      <c r="B2003">
        <v>54</v>
      </c>
      <c r="C2003" t="s">
        <v>4802</v>
      </c>
      <c r="D2003" t="s">
        <v>13</v>
      </c>
      <c r="E2003">
        <v>62</v>
      </c>
      <c r="F2003">
        <v>34</v>
      </c>
      <c r="G2003" t="s">
        <v>4799</v>
      </c>
      <c r="H2003" t="s">
        <v>4805</v>
      </c>
      <c r="I2003">
        <v>13.99</v>
      </c>
      <c r="J2003">
        <v>1</v>
      </c>
      <c r="K2003">
        <v>2.0699999999999998</v>
      </c>
      <c r="L2003">
        <v>0</v>
      </c>
      <c r="M2003" t="s">
        <v>4812</v>
      </c>
      <c r="N2003" t="s">
        <v>4900</v>
      </c>
      <c r="O2003" t="s">
        <v>4910</v>
      </c>
    </row>
    <row r="2004" spans="1:15" x14ac:dyDescent="0.35">
      <c r="A2004" t="s">
        <v>1985</v>
      </c>
      <c r="B2004">
        <v>42</v>
      </c>
      <c r="C2004" t="s">
        <v>4802</v>
      </c>
      <c r="D2004" t="s">
        <v>15</v>
      </c>
      <c r="E2004">
        <v>79</v>
      </c>
      <c r="F2004">
        <v>13</v>
      </c>
      <c r="G2004" t="s">
        <v>4798</v>
      </c>
      <c r="H2004" t="s">
        <v>4804</v>
      </c>
      <c r="I2004">
        <v>17.989999999999998</v>
      </c>
      <c r="J2004">
        <v>5</v>
      </c>
      <c r="K2004">
        <v>2.0299999999999998</v>
      </c>
      <c r="L2004">
        <v>0</v>
      </c>
      <c r="M2004" t="s">
        <v>4811</v>
      </c>
      <c r="N2004" t="s">
        <v>4900</v>
      </c>
      <c r="O2004" t="s">
        <v>4910</v>
      </c>
    </row>
    <row r="2005" spans="1:15" x14ac:dyDescent="0.35">
      <c r="A2005" t="s">
        <v>1986</v>
      </c>
      <c r="B2005">
        <v>29</v>
      </c>
      <c r="C2005" t="s">
        <v>4802</v>
      </c>
      <c r="D2005" t="s">
        <v>13</v>
      </c>
      <c r="E2005">
        <v>63</v>
      </c>
      <c r="F2005">
        <v>30</v>
      </c>
      <c r="G2005" t="s">
        <v>4797</v>
      </c>
      <c r="H2005" t="s">
        <v>4807</v>
      </c>
      <c r="I2005">
        <v>13.99</v>
      </c>
      <c r="J2005">
        <v>1</v>
      </c>
      <c r="K2005">
        <v>2.1</v>
      </c>
      <c r="L2005">
        <v>0</v>
      </c>
      <c r="M2005" t="s">
        <v>4810</v>
      </c>
      <c r="N2005" t="s">
        <v>4900</v>
      </c>
      <c r="O2005" t="s">
        <v>4912</v>
      </c>
    </row>
    <row r="2006" spans="1:15" x14ac:dyDescent="0.35">
      <c r="A2006" t="s">
        <v>1987</v>
      </c>
      <c r="B2006">
        <v>31</v>
      </c>
      <c r="C2006" t="s">
        <v>4803</v>
      </c>
      <c r="D2006" t="s">
        <v>13</v>
      </c>
      <c r="E2006">
        <v>54</v>
      </c>
      <c r="F2006">
        <v>36</v>
      </c>
      <c r="G2006" t="s">
        <v>4798</v>
      </c>
      <c r="H2006" t="s">
        <v>4805</v>
      </c>
      <c r="I2006">
        <v>13.99</v>
      </c>
      <c r="J2006">
        <v>1</v>
      </c>
      <c r="K2006">
        <v>1.8</v>
      </c>
      <c r="L2006">
        <v>1</v>
      </c>
      <c r="M2006" t="s">
        <v>4808</v>
      </c>
      <c r="N2006" t="s">
        <v>4899</v>
      </c>
      <c r="O2006" t="s">
        <v>4912</v>
      </c>
    </row>
    <row r="2007" spans="1:15" x14ac:dyDescent="0.35">
      <c r="A2007" t="s">
        <v>1988</v>
      </c>
      <c r="B2007">
        <v>59</v>
      </c>
      <c r="C2007" t="s">
        <v>4802</v>
      </c>
      <c r="D2007" t="s">
        <v>15</v>
      </c>
      <c r="E2007">
        <v>99</v>
      </c>
      <c r="F2007">
        <v>46</v>
      </c>
      <c r="G2007" t="s">
        <v>4797</v>
      </c>
      <c r="H2007" t="s">
        <v>4805</v>
      </c>
      <c r="I2007">
        <v>17.989999999999998</v>
      </c>
      <c r="J2007">
        <v>4</v>
      </c>
      <c r="K2007">
        <v>2.0299999999999998</v>
      </c>
      <c r="L2007">
        <v>0</v>
      </c>
      <c r="M2007" t="s">
        <v>4810</v>
      </c>
      <c r="N2007" t="s">
        <v>4900</v>
      </c>
      <c r="O2007" t="s">
        <v>4911</v>
      </c>
    </row>
    <row r="2008" spans="1:15" x14ac:dyDescent="0.35">
      <c r="A2008" t="s">
        <v>1989</v>
      </c>
      <c r="B2008">
        <v>52</v>
      </c>
      <c r="C2008" t="s">
        <v>4803</v>
      </c>
      <c r="D2008" t="s">
        <v>13</v>
      </c>
      <c r="E2008">
        <v>61</v>
      </c>
      <c r="F2008">
        <v>42</v>
      </c>
      <c r="G2008" t="s">
        <v>4799</v>
      </c>
      <c r="H2008" t="s">
        <v>4805</v>
      </c>
      <c r="I2008">
        <v>13.99</v>
      </c>
      <c r="J2008">
        <v>2</v>
      </c>
      <c r="K2008">
        <v>5</v>
      </c>
      <c r="L2008">
        <v>1</v>
      </c>
      <c r="M2008" t="s">
        <v>4811</v>
      </c>
      <c r="N2008" t="s">
        <v>4899</v>
      </c>
      <c r="O2008" t="s">
        <v>4910</v>
      </c>
    </row>
    <row r="2009" spans="1:15" x14ac:dyDescent="0.35">
      <c r="A2009" t="s">
        <v>1990</v>
      </c>
      <c r="B2009">
        <v>51</v>
      </c>
      <c r="C2009" t="s">
        <v>4802</v>
      </c>
      <c r="D2009" t="s">
        <v>15</v>
      </c>
      <c r="E2009">
        <v>63</v>
      </c>
      <c r="F2009">
        <v>14</v>
      </c>
      <c r="G2009" t="s">
        <v>4799</v>
      </c>
      <c r="H2009" t="s">
        <v>4806</v>
      </c>
      <c r="I2009">
        <v>17.989999999999998</v>
      </c>
      <c r="J2009">
        <v>3</v>
      </c>
      <c r="K2009">
        <v>2.1</v>
      </c>
      <c r="L2009">
        <v>0</v>
      </c>
      <c r="M2009" t="s">
        <v>4808</v>
      </c>
      <c r="N2009" t="s">
        <v>4900</v>
      </c>
      <c r="O2009" t="s">
        <v>4910</v>
      </c>
    </row>
    <row r="2010" spans="1:15" x14ac:dyDescent="0.35">
      <c r="A2010" t="s">
        <v>1991</v>
      </c>
      <c r="B2010">
        <v>21</v>
      </c>
      <c r="C2010" t="s">
        <v>4803</v>
      </c>
      <c r="D2010" t="s">
        <v>13</v>
      </c>
      <c r="E2010">
        <v>55</v>
      </c>
      <c r="F2010">
        <v>58</v>
      </c>
      <c r="G2010" t="s">
        <v>4798</v>
      </c>
      <c r="H2010" t="s">
        <v>4804</v>
      </c>
      <c r="I2010">
        <v>13.99</v>
      </c>
      <c r="J2010">
        <v>3</v>
      </c>
      <c r="K2010">
        <v>1.83</v>
      </c>
      <c r="L2010">
        <v>0</v>
      </c>
      <c r="M2010" t="s">
        <v>4810</v>
      </c>
      <c r="N2010" t="s">
        <v>4900</v>
      </c>
      <c r="O2010" t="s">
        <v>4912</v>
      </c>
    </row>
    <row r="2011" spans="1:15" x14ac:dyDescent="0.35">
      <c r="A2011" t="s">
        <v>1992</v>
      </c>
      <c r="B2011">
        <v>18</v>
      </c>
      <c r="C2011" t="s">
        <v>4803</v>
      </c>
      <c r="D2011" t="s">
        <v>13</v>
      </c>
      <c r="E2011">
        <v>50</v>
      </c>
      <c r="F2011">
        <v>17</v>
      </c>
      <c r="G2011" t="s">
        <v>4797</v>
      </c>
      <c r="H2011" t="s">
        <v>4805</v>
      </c>
      <c r="I2011">
        <v>13.99</v>
      </c>
      <c r="J2011">
        <v>3</v>
      </c>
      <c r="K2011">
        <v>1.67</v>
      </c>
      <c r="L2011">
        <v>0</v>
      </c>
      <c r="M2011" t="s">
        <v>4812</v>
      </c>
      <c r="N2011" t="s">
        <v>4900</v>
      </c>
      <c r="O2011" t="s">
        <v>4912</v>
      </c>
    </row>
    <row r="2012" spans="1:15" x14ac:dyDescent="0.35">
      <c r="A2012" t="s">
        <v>1993</v>
      </c>
      <c r="B2012">
        <v>56</v>
      </c>
      <c r="C2012" t="s">
        <v>4803</v>
      </c>
      <c r="D2012" t="s">
        <v>13</v>
      </c>
      <c r="E2012">
        <v>72</v>
      </c>
      <c r="F2012">
        <v>26</v>
      </c>
      <c r="G2012" t="s">
        <v>4797</v>
      </c>
      <c r="H2012" t="s">
        <v>4806</v>
      </c>
      <c r="I2012">
        <v>13.99</v>
      </c>
      <c r="J2012">
        <v>2</v>
      </c>
      <c r="K2012">
        <v>2.4</v>
      </c>
      <c r="L2012">
        <v>0</v>
      </c>
      <c r="M2012" t="s">
        <v>4809</v>
      </c>
      <c r="N2012" t="s">
        <v>4900</v>
      </c>
      <c r="O2012" t="s">
        <v>4911</v>
      </c>
    </row>
    <row r="2013" spans="1:15" x14ac:dyDescent="0.35">
      <c r="A2013" t="s">
        <v>1994</v>
      </c>
      <c r="B2013">
        <v>53</v>
      </c>
      <c r="C2013" t="s">
        <v>4803</v>
      </c>
      <c r="D2013" t="s">
        <v>13</v>
      </c>
      <c r="E2013">
        <v>65</v>
      </c>
      <c r="F2013">
        <v>12</v>
      </c>
      <c r="G2013" t="s">
        <v>4799</v>
      </c>
      <c r="H2013" t="s">
        <v>4806</v>
      </c>
      <c r="I2013">
        <v>13.99</v>
      </c>
      <c r="J2013">
        <v>2</v>
      </c>
      <c r="K2013">
        <v>2.17</v>
      </c>
      <c r="L2013">
        <v>0</v>
      </c>
      <c r="M2013" t="s">
        <v>4808</v>
      </c>
      <c r="N2013" t="s">
        <v>4900</v>
      </c>
      <c r="O2013" t="s">
        <v>4910</v>
      </c>
    </row>
    <row r="2014" spans="1:15" x14ac:dyDescent="0.35">
      <c r="A2014" t="s">
        <v>1995</v>
      </c>
      <c r="B2014">
        <v>42</v>
      </c>
      <c r="C2014" t="s">
        <v>4802</v>
      </c>
      <c r="D2014" t="s">
        <v>13</v>
      </c>
      <c r="E2014">
        <v>38</v>
      </c>
      <c r="F2014">
        <v>1</v>
      </c>
      <c r="G2014" t="s">
        <v>4797</v>
      </c>
      <c r="H2014" t="s">
        <v>4804</v>
      </c>
      <c r="I2014">
        <v>13.99</v>
      </c>
      <c r="J2014">
        <v>2</v>
      </c>
      <c r="K2014">
        <v>1.27</v>
      </c>
      <c r="L2014">
        <v>0</v>
      </c>
      <c r="M2014" t="s">
        <v>4811</v>
      </c>
      <c r="N2014" t="s">
        <v>4900</v>
      </c>
      <c r="O2014" t="s">
        <v>4910</v>
      </c>
    </row>
    <row r="2015" spans="1:15" x14ac:dyDescent="0.35">
      <c r="A2015" t="s">
        <v>1996</v>
      </c>
      <c r="B2015">
        <v>37</v>
      </c>
      <c r="C2015" t="s">
        <v>4803</v>
      </c>
      <c r="D2015" t="s">
        <v>13</v>
      </c>
      <c r="E2015">
        <v>61</v>
      </c>
      <c r="F2015">
        <v>16</v>
      </c>
      <c r="G2015" t="s">
        <v>4798</v>
      </c>
      <c r="H2015" t="s">
        <v>4804</v>
      </c>
      <c r="I2015">
        <v>13.99</v>
      </c>
      <c r="J2015">
        <v>1</v>
      </c>
      <c r="K2015">
        <v>2.0299999999999998</v>
      </c>
      <c r="L2015">
        <v>0</v>
      </c>
      <c r="M2015" t="s">
        <v>4808</v>
      </c>
      <c r="N2015" t="s">
        <v>4900</v>
      </c>
      <c r="O2015" t="s">
        <v>4910</v>
      </c>
    </row>
    <row r="2016" spans="1:15" x14ac:dyDescent="0.35">
      <c r="A2016" t="s">
        <v>1997</v>
      </c>
      <c r="B2016">
        <v>26</v>
      </c>
      <c r="C2016" t="s">
        <v>4802</v>
      </c>
      <c r="D2016" t="s">
        <v>13</v>
      </c>
      <c r="E2016">
        <v>79</v>
      </c>
      <c r="F2016">
        <v>2</v>
      </c>
      <c r="G2016" t="s">
        <v>4800</v>
      </c>
      <c r="H2016" t="s">
        <v>4805</v>
      </c>
      <c r="I2016">
        <v>13.99</v>
      </c>
      <c r="J2016">
        <v>4</v>
      </c>
      <c r="K2016">
        <v>2.63</v>
      </c>
      <c r="L2016">
        <v>0</v>
      </c>
      <c r="M2016" t="s">
        <v>4811</v>
      </c>
      <c r="N2016" t="s">
        <v>4900</v>
      </c>
      <c r="O2016" t="s">
        <v>4912</v>
      </c>
    </row>
    <row r="2017" spans="1:15" x14ac:dyDescent="0.35">
      <c r="A2017" t="s">
        <v>1998</v>
      </c>
      <c r="B2017">
        <v>50</v>
      </c>
      <c r="C2017" t="s">
        <v>4802</v>
      </c>
      <c r="D2017" t="s">
        <v>13</v>
      </c>
      <c r="E2017">
        <v>67</v>
      </c>
      <c r="F2017">
        <v>32</v>
      </c>
      <c r="G2017" t="s">
        <v>4799</v>
      </c>
      <c r="H2017" t="s">
        <v>4804</v>
      </c>
      <c r="I2017">
        <v>13.99</v>
      </c>
      <c r="J2017">
        <v>3</v>
      </c>
      <c r="K2017">
        <v>2.23</v>
      </c>
      <c r="L2017">
        <v>0</v>
      </c>
      <c r="M2017" t="s">
        <v>4811</v>
      </c>
      <c r="N2017" t="s">
        <v>4900</v>
      </c>
      <c r="O2017" t="s">
        <v>4910</v>
      </c>
    </row>
    <row r="2018" spans="1:15" x14ac:dyDescent="0.35">
      <c r="A2018" t="s">
        <v>1999</v>
      </c>
      <c r="B2018">
        <v>30</v>
      </c>
      <c r="C2018" t="s">
        <v>4802</v>
      </c>
      <c r="D2018" t="s">
        <v>13</v>
      </c>
      <c r="E2018">
        <v>46</v>
      </c>
      <c r="F2018">
        <v>54</v>
      </c>
      <c r="G2018" t="s">
        <v>4799</v>
      </c>
      <c r="H2018" t="s">
        <v>4804</v>
      </c>
      <c r="I2018">
        <v>13.99</v>
      </c>
      <c r="J2018">
        <v>2</v>
      </c>
      <c r="K2018">
        <v>1.53</v>
      </c>
      <c r="L2018">
        <v>0</v>
      </c>
      <c r="M2018" t="s">
        <v>4812</v>
      </c>
      <c r="N2018" t="s">
        <v>4900</v>
      </c>
      <c r="O2018" t="s">
        <v>4912</v>
      </c>
    </row>
    <row r="2019" spans="1:15" x14ac:dyDescent="0.35">
      <c r="A2019" t="s">
        <v>2000</v>
      </c>
      <c r="B2019">
        <v>51</v>
      </c>
      <c r="C2019" t="s">
        <v>4803</v>
      </c>
      <c r="D2019" t="s">
        <v>14</v>
      </c>
      <c r="E2019">
        <v>25</v>
      </c>
      <c r="F2019">
        <v>9</v>
      </c>
      <c r="G2019" t="s">
        <v>4799</v>
      </c>
      <c r="H2019" t="s">
        <v>4804</v>
      </c>
      <c r="I2019">
        <v>8.99</v>
      </c>
      <c r="J2019">
        <v>2</v>
      </c>
      <c r="K2019">
        <v>0.83</v>
      </c>
      <c r="L2019">
        <v>0</v>
      </c>
      <c r="M2019" t="s">
        <v>4810</v>
      </c>
      <c r="N2019" t="s">
        <v>4900</v>
      </c>
      <c r="O2019" t="s">
        <v>4910</v>
      </c>
    </row>
    <row r="2020" spans="1:15" x14ac:dyDescent="0.35">
      <c r="A2020" t="s">
        <v>2001</v>
      </c>
      <c r="B2020">
        <v>18</v>
      </c>
      <c r="C2020" t="s">
        <v>4803</v>
      </c>
      <c r="D2020" t="s">
        <v>15</v>
      </c>
      <c r="E2020">
        <v>117</v>
      </c>
      <c r="F2020">
        <v>4</v>
      </c>
      <c r="G2020" t="s">
        <v>4800</v>
      </c>
      <c r="H2020" t="s">
        <v>4805</v>
      </c>
      <c r="I2020">
        <v>17.989999999999998</v>
      </c>
      <c r="J2020">
        <v>4</v>
      </c>
      <c r="K2020">
        <v>3.9</v>
      </c>
      <c r="L2020">
        <v>0</v>
      </c>
      <c r="M2020" t="s">
        <v>4808</v>
      </c>
      <c r="N2020" t="s">
        <v>4900</v>
      </c>
      <c r="O2020" t="s">
        <v>4912</v>
      </c>
    </row>
    <row r="2021" spans="1:15" x14ac:dyDescent="0.35">
      <c r="A2021" t="s">
        <v>2002</v>
      </c>
      <c r="B2021">
        <v>49</v>
      </c>
      <c r="C2021" t="s">
        <v>4803</v>
      </c>
      <c r="D2021" t="s">
        <v>13</v>
      </c>
      <c r="E2021">
        <v>53</v>
      </c>
      <c r="F2021">
        <v>27</v>
      </c>
      <c r="G2021" t="s">
        <v>4797</v>
      </c>
      <c r="H2021" t="s">
        <v>4806</v>
      </c>
      <c r="I2021">
        <v>13.99</v>
      </c>
      <c r="J2021">
        <v>3</v>
      </c>
      <c r="K2021">
        <v>1.77</v>
      </c>
      <c r="L2021">
        <v>1</v>
      </c>
      <c r="M2021" t="s">
        <v>4810</v>
      </c>
      <c r="N2021" t="s">
        <v>4899</v>
      </c>
      <c r="O2021" t="s">
        <v>4910</v>
      </c>
    </row>
    <row r="2022" spans="1:15" x14ac:dyDescent="0.35">
      <c r="A2022" t="s">
        <v>2003</v>
      </c>
      <c r="B2022">
        <v>36</v>
      </c>
      <c r="C2022" t="s">
        <v>4802</v>
      </c>
      <c r="D2022" t="s">
        <v>13</v>
      </c>
      <c r="E2022">
        <v>32</v>
      </c>
      <c r="F2022">
        <v>4</v>
      </c>
      <c r="G2022" t="s">
        <v>4798</v>
      </c>
      <c r="H2022" t="s">
        <v>4804</v>
      </c>
      <c r="I2022">
        <v>13.99</v>
      </c>
      <c r="J2022">
        <v>4</v>
      </c>
      <c r="K2022">
        <v>1.07</v>
      </c>
      <c r="L2022">
        <v>0</v>
      </c>
      <c r="M2022" t="s">
        <v>4808</v>
      </c>
      <c r="N2022" t="s">
        <v>4900</v>
      </c>
      <c r="O2022" t="s">
        <v>4910</v>
      </c>
    </row>
    <row r="2023" spans="1:15" x14ac:dyDescent="0.35">
      <c r="A2023" t="s">
        <v>2004</v>
      </c>
      <c r="B2023">
        <v>42</v>
      </c>
      <c r="C2023" t="s">
        <v>4803</v>
      </c>
      <c r="D2023" t="s">
        <v>14</v>
      </c>
      <c r="E2023">
        <v>41</v>
      </c>
      <c r="F2023">
        <v>23</v>
      </c>
      <c r="G2023" t="s">
        <v>4797</v>
      </c>
      <c r="H2023" t="s">
        <v>4807</v>
      </c>
      <c r="I2023">
        <v>8.99</v>
      </c>
      <c r="J2023">
        <v>2</v>
      </c>
      <c r="K2023">
        <v>1.37</v>
      </c>
      <c r="L2023">
        <v>0</v>
      </c>
      <c r="M2023" t="s">
        <v>4808</v>
      </c>
      <c r="N2023" t="s">
        <v>4900</v>
      </c>
      <c r="O2023" t="s">
        <v>4910</v>
      </c>
    </row>
    <row r="2024" spans="1:15" x14ac:dyDescent="0.35">
      <c r="A2024" t="s">
        <v>2005</v>
      </c>
      <c r="B2024">
        <v>50</v>
      </c>
      <c r="C2024" t="s">
        <v>4803</v>
      </c>
      <c r="D2024" t="s">
        <v>13</v>
      </c>
      <c r="E2024">
        <v>64</v>
      </c>
      <c r="F2024">
        <v>28</v>
      </c>
      <c r="G2024" t="s">
        <v>4797</v>
      </c>
      <c r="H2024" t="s">
        <v>4806</v>
      </c>
      <c r="I2024">
        <v>13.99</v>
      </c>
      <c r="J2024">
        <v>3</v>
      </c>
      <c r="K2024">
        <v>2.13</v>
      </c>
      <c r="L2024">
        <v>0</v>
      </c>
      <c r="M2024" t="s">
        <v>4811</v>
      </c>
      <c r="N2024" t="s">
        <v>4900</v>
      </c>
      <c r="O2024" t="s">
        <v>4910</v>
      </c>
    </row>
    <row r="2025" spans="1:15" x14ac:dyDescent="0.35">
      <c r="A2025" t="s">
        <v>2006</v>
      </c>
      <c r="B2025">
        <v>64</v>
      </c>
      <c r="C2025" t="s">
        <v>4802</v>
      </c>
      <c r="D2025" t="s">
        <v>13</v>
      </c>
      <c r="E2025">
        <v>64</v>
      </c>
      <c r="F2025">
        <v>18</v>
      </c>
      <c r="G2025" t="s">
        <v>4798</v>
      </c>
      <c r="H2025" t="s">
        <v>4805</v>
      </c>
      <c r="I2025">
        <v>13.99</v>
      </c>
      <c r="J2025">
        <v>2</v>
      </c>
      <c r="K2025">
        <v>2.13</v>
      </c>
      <c r="L2025">
        <v>0</v>
      </c>
      <c r="M2025" t="s">
        <v>4809</v>
      </c>
      <c r="N2025" t="s">
        <v>4900</v>
      </c>
      <c r="O2025" t="s">
        <v>4911</v>
      </c>
    </row>
    <row r="2026" spans="1:15" x14ac:dyDescent="0.35">
      <c r="A2026" t="s">
        <v>2007</v>
      </c>
      <c r="B2026">
        <v>44</v>
      </c>
      <c r="C2026" t="s">
        <v>4803</v>
      </c>
      <c r="D2026" t="s">
        <v>13</v>
      </c>
      <c r="E2026">
        <v>43</v>
      </c>
      <c r="F2026">
        <v>17</v>
      </c>
      <c r="G2026" t="s">
        <v>4797</v>
      </c>
      <c r="H2026" t="s">
        <v>4804</v>
      </c>
      <c r="I2026">
        <v>13.99</v>
      </c>
      <c r="J2026">
        <v>1</v>
      </c>
      <c r="K2026">
        <v>1.43</v>
      </c>
      <c r="L2026">
        <v>0</v>
      </c>
      <c r="M2026" t="s">
        <v>4808</v>
      </c>
      <c r="N2026" t="s">
        <v>4900</v>
      </c>
      <c r="O2026" t="s">
        <v>4910</v>
      </c>
    </row>
    <row r="2027" spans="1:15" x14ac:dyDescent="0.35">
      <c r="A2027" t="s">
        <v>2008</v>
      </c>
      <c r="B2027">
        <v>37</v>
      </c>
      <c r="C2027" t="s">
        <v>4802</v>
      </c>
      <c r="D2027" t="s">
        <v>13</v>
      </c>
      <c r="E2027">
        <v>66</v>
      </c>
      <c r="F2027">
        <v>44</v>
      </c>
      <c r="G2027" t="s">
        <v>4799</v>
      </c>
      <c r="H2027" t="s">
        <v>4805</v>
      </c>
      <c r="I2027">
        <v>13.99</v>
      </c>
      <c r="J2027">
        <v>1</v>
      </c>
      <c r="K2027">
        <v>2.2000000000000002</v>
      </c>
      <c r="L2027">
        <v>0</v>
      </c>
      <c r="M2027" t="s">
        <v>4810</v>
      </c>
      <c r="N2027" t="s">
        <v>4900</v>
      </c>
      <c r="O2027" t="s">
        <v>4910</v>
      </c>
    </row>
    <row r="2028" spans="1:15" x14ac:dyDescent="0.35">
      <c r="A2028" t="s">
        <v>2009</v>
      </c>
      <c r="B2028">
        <v>53</v>
      </c>
      <c r="C2028" t="s">
        <v>4803</v>
      </c>
      <c r="D2028" t="s">
        <v>15</v>
      </c>
      <c r="E2028">
        <v>103</v>
      </c>
      <c r="F2028">
        <v>17</v>
      </c>
      <c r="G2028" t="s">
        <v>4798</v>
      </c>
      <c r="H2028" t="s">
        <v>4806</v>
      </c>
      <c r="I2028">
        <v>17.989999999999998</v>
      </c>
      <c r="J2028">
        <v>2</v>
      </c>
      <c r="K2028">
        <v>3.43</v>
      </c>
      <c r="L2028">
        <v>0</v>
      </c>
      <c r="M2028" t="s">
        <v>4808</v>
      </c>
      <c r="N2028" t="s">
        <v>4900</v>
      </c>
      <c r="O2028" t="s">
        <v>4910</v>
      </c>
    </row>
    <row r="2029" spans="1:15" x14ac:dyDescent="0.35">
      <c r="A2029" t="s">
        <v>2010</v>
      </c>
      <c r="B2029">
        <v>62</v>
      </c>
      <c r="C2029" t="s">
        <v>4803</v>
      </c>
      <c r="D2029" t="s">
        <v>13</v>
      </c>
      <c r="E2029">
        <v>62</v>
      </c>
      <c r="F2029">
        <v>44</v>
      </c>
      <c r="G2029" t="s">
        <v>4797</v>
      </c>
      <c r="H2029" t="s">
        <v>4804</v>
      </c>
      <c r="I2029">
        <v>13.99</v>
      </c>
      <c r="J2029">
        <v>1</v>
      </c>
      <c r="K2029">
        <v>5</v>
      </c>
      <c r="L2029">
        <v>0</v>
      </c>
      <c r="M2029" t="s">
        <v>4811</v>
      </c>
      <c r="N2029" t="s">
        <v>4900</v>
      </c>
      <c r="O2029" t="s">
        <v>4911</v>
      </c>
    </row>
    <row r="2030" spans="1:15" x14ac:dyDescent="0.35">
      <c r="A2030" t="s">
        <v>2011</v>
      </c>
      <c r="B2030">
        <v>54</v>
      </c>
      <c r="C2030" t="s">
        <v>4803</v>
      </c>
      <c r="D2030" t="s">
        <v>13</v>
      </c>
      <c r="E2030">
        <v>74</v>
      </c>
      <c r="F2030">
        <v>16</v>
      </c>
      <c r="G2030" t="s">
        <v>4797</v>
      </c>
      <c r="H2030" t="s">
        <v>4804</v>
      </c>
      <c r="I2030">
        <v>13.99</v>
      </c>
      <c r="J2030">
        <v>1</v>
      </c>
      <c r="K2030">
        <v>2.4700000000000002</v>
      </c>
      <c r="L2030">
        <v>0</v>
      </c>
      <c r="M2030" t="s">
        <v>4809</v>
      </c>
      <c r="N2030" t="s">
        <v>4900</v>
      </c>
      <c r="O2030" t="s">
        <v>4910</v>
      </c>
    </row>
    <row r="2031" spans="1:15" x14ac:dyDescent="0.35">
      <c r="A2031" t="s">
        <v>2012</v>
      </c>
      <c r="B2031">
        <v>57</v>
      </c>
      <c r="C2031" t="s">
        <v>4803</v>
      </c>
      <c r="D2031" t="s">
        <v>13</v>
      </c>
      <c r="E2031">
        <v>39</v>
      </c>
      <c r="F2031">
        <v>56</v>
      </c>
      <c r="G2031" t="s">
        <v>4799</v>
      </c>
      <c r="H2031" t="s">
        <v>4805</v>
      </c>
      <c r="I2031">
        <v>13.99</v>
      </c>
      <c r="J2031">
        <v>4</v>
      </c>
      <c r="K2031">
        <v>1.3</v>
      </c>
      <c r="L2031">
        <v>0</v>
      </c>
      <c r="M2031" t="s">
        <v>4808</v>
      </c>
      <c r="N2031" t="s">
        <v>4900</v>
      </c>
      <c r="O2031" t="s">
        <v>4911</v>
      </c>
    </row>
    <row r="2032" spans="1:15" x14ac:dyDescent="0.35">
      <c r="A2032" t="s">
        <v>2013</v>
      </c>
      <c r="B2032">
        <v>18</v>
      </c>
      <c r="C2032" t="s">
        <v>4803</v>
      </c>
      <c r="D2032" t="s">
        <v>13</v>
      </c>
      <c r="E2032">
        <v>64</v>
      </c>
      <c r="F2032">
        <v>2</v>
      </c>
      <c r="G2032" t="s">
        <v>4799</v>
      </c>
      <c r="H2032" t="s">
        <v>4805</v>
      </c>
      <c r="I2032">
        <v>13.99</v>
      </c>
      <c r="J2032">
        <v>3</v>
      </c>
      <c r="K2032">
        <v>2.13</v>
      </c>
      <c r="L2032">
        <v>0</v>
      </c>
      <c r="M2032" t="s">
        <v>4812</v>
      </c>
      <c r="N2032" t="s">
        <v>4900</v>
      </c>
      <c r="O2032" t="s">
        <v>4912</v>
      </c>
    </row>
    <row r="2033" spans="1:15" x14ac:dyDescent="0.35">
      <c r="A2033" t="s">
        <v>2014</v>
      </c>
      <c r="B2033">
        <v>64</v>
      </c>
      <c r="C2033" t="s">
        <v>4803</v>
      </c>
      <c r="D2033" t="s">
        <v>15</v>
      </c>
      <c r="E2033">
        <v>116</v>
      </c>
      <c r="F2033">
        <v>54</v>
      </c>
      <c r="G2033" t="s">
        <v>4797</v>
      </c>
      <c r="H2033" t="s">
        <v>4804</v>
      </c>
      <c r="I2033">
        <v>17.989999999999998</v>
      </c>
      <c r="J2033">
        <v>3</v>
      </c>
      <c r="K2033">
        <v>3.87</v>
      </c>
      <c r="L2033">
        <v>0</v>
      </c>
      <c r="M2033" t="s">
        <v>4808</v>
      </c>
      <c r="N2033" t="s">
        <v>4900</v>
      </c>
      <c r="O2033" t="s">
        <v>4911</v>
      </c>
    </row>
    <row r="2034" spans="1:15" x14ac:dyDescent="0.35">
      <c r="A2034" t="s">
        <v>2015</v>
      </c>
      <c r="B2034">
        <v>25</v>
      </c>
      <c r="C2034" t="s">
        <v>4802</v>
      </c>
      <c r="D2034" t="s">
        <v>13</v>
      </c>
      <c r="E2034">
        <v>67</v>
      </c>
      <c r="F2034">
        <v>35</v>
      </c>
      <c r="G2034" t="s">
        <v>4798</v>
      </c>
      <c r="H2034" t="s">
        <v>4805</v>
      </c>
      <c r="I2034">
        <v>13.99</v>
      </c>
      <c r="J2034">
        <v>4</v>
      </c>
      <c r="K2034">
        <v>5</v>
      </c>
      <c r="L2034">
        <v>1</v>
      </c>
      <c r="M2034" t="s">
        <v>4808</v>
      </c>
      <c r="N2034" t="s">
        <v>4899</v>
      </c>
      <c r="O2034" t="s">
        <v>4912</v>
      </c>
    </row>
    <row r="2035" spans="1:15" x14ac:dyDescent="0.35">
      <c r="A2035" t="s">
        <v>2016</v>
      </c>
      <c r="B2035">
        <v>36</v>
      </c>
      <c r="C2035" t="s">
        <v>4802</v>
      </c>
      <c r="D2035" t="s">
        <v>13</v>
      </c>
      <c r="E2035">
        <v>42</v>
      </c>
      <c r="F2035">
        <v>20</v>
      </c>
      <c r="G2035" t="s">
        <v>4800</v>
      </c>
      <c r="H2035" t="s">
        <v>4805</v>
      </c>
      <c r="I2035">
        <v>13.99</v>
      </c>
      <c r="J2035">
        <v>1</v>
      </c>
      <c r="K2035">
        <v>1.4</v>
      </c>
      <c r="L2035">
        <v>0</v>
      </c>
      <c r="M2035" t="s">
        <v>4810</v>
      </c>
      <c r="N2035" t="s">
        <v>4900</v>
      </c>
      <c r="O2035" t="s">
        <v>4910</v>
      </c>
    </row>
    <row r="2036" spans="1:15" x14ac:dyDescent="0.35">
      <c r="A2036" t="s">
        <v>2017</v>
      </c>
      <c r="B2036">
        <v>60</v>
      </c>
      <c r="C2036" t="s">
        <v>4803</v>
      </c>
      <c r="D2036" t="s">
        <v>13</v>
      </c>
      <c r="E2036">
        <v>35</v>
      </c>
      <c r="F2036">
        <v>39</v>
      </c>
      <c r="G2036" t="s">
        <v>4798</v>
      </c>
      <c r="H2036" t="s">
        <v>4806</v>
      </c>
      <c r="I2036">
        <v>13.99</v>
      </c>
      <c r="J2036">
        <v>4</v>
      </c>
      <c r="K2036">
        <v>1.17</v>
      </c>
      <c r="L2036">
        <v>0</v>
      </c>
      <c r="M2036" t="s">
        <v>4809</v>
      </c>
      <c r="N2036" t="s">
        <v>4900</v>
      </c>
      <c r="O2036" t="s">
        <v>4911</v>
      </c>
    </row>
    <row r="2037" spans="1:15" x14ac:dyDescent="0.35">
      <c r="A2037" t="s">
        <v>2018</v>
      </c>
      <c r="B2037">
        <v>39</v>
      </c>
      <c r="C2037" t="s">
        <v>4803</v>
      </c>
      <c r="D2037" t="s">
        <v>13</v>
      </c>
      <c r="E2037">
        <v>67</v>
      </c>
      <c r="F2037">
        <v>43</v>
      </c>
      <c r="G2037" t="s">
        <v>4797</v>
      </c>
      <c r="H2037" t="s">
        <v>4805</v>
      </c>
      <c r="I2037">
        <v>13.99</v>
      </c>
      <c r="J2037">
        <v>1</v>
      </c>
      <c r="K2037">
        <v>2.23</v>
      </c>
      <c r="L2037">
        <v>0</v>
      </c>
      <c r="M2037" t="s">
        <v>4809</v>
      </c>
      <c r="N2037" t="s">
        <v>4900</v>
      </c>
      <c r="O2037" t="s">
        <v>4910</v>
      </c>
    </row>
    <row r="2038" spans="1:15" x14ac:dyDescent="0.35">
      <c r="A2038" t="s">
        <v>2019</v>
      </c>
      <c r="B2038">
        <v>23</v>
      </c>
      <c r="C2038" t="s">
        <v>4802</v>
      </c>
      <c r="D2038" t="s">
        <v>13</v>
      </c>
      <c r="E2038">
        <v>56</v>
      </c>
      <c r="F2038">
        <v>46</v>
      </c>
      <c r="G2038" t="s">
        <v>4798</v>
      </c>
      <c r="H2038" t="s">
        <v>4804</v>
      </c>
      <c r="I2038">
        <v>13.99</v>
      </c>
      <c r="J2038">
        <v>3</v>
      </c>
      <c r="K2038">
        <v>1.87</v>
      </c>
      <c r="L2038">
        <v>0</v>
      </c>
      <c r="M2038" t="s">
        <v>4812</v>
      </c>
      <c r="N2038" t="s">
        <v>4900</v>
      </c>
      <c r="O2038" t="s">
        <v>4912</v>
      </c>
    </row>
    <row r="2039" spans="1:15" x14ac:dyDescent="0.35">
      <c r="A2039" t="s">
        <v>2020</v>
      </c>
      <c r="B2039">
        <v>18</v>
      </c>
      <c r="C2039" t="s">
        <v>4803</v>
      </c>
      <c r="D2039" t="s">
        <v>13</v>
      </c>
      <c r="E2039">
        <v>58</v>
      </c>
      <c r="F2039">
        <v>50</v>
      </c>
      <c r="G2039" t="s">
        <v>4800</v>
      </c>
      <c r="H2039" t="s">
        <v>4805</v>
      </c>
      <c r="I2039">
        <v>13.99</v>
      </c>
      <c r="J2039">
        <v>2</v>
      </c>
      <c r="K2039">
        <v>1.93</v>
      </c>
      <c r="L2039">
        <v>1</v>
      </c>
      <c r="M2039" t="s">
        <v>4812</v>
      </c>
      <c r="N2039" t="s">
        <v>4899</v>
      </c>
      <c r="O2039" t="s">
        <v>4912</v>
      </c>
    </row>
    <row r="2040" spans="1:15" x14ac:dyDescent="0.35">
      <c r="A2040" t="s">
        <v>2021</v>
      </c>
      <c r="B2040">
        <v>29</v>
      </c>
      <c r="C2040" t="s">
        <v>4802</v>
      </c>
      <c r="D2040" t="s">
        <v>13</v>
      </c>
      <c r="E2040">
        <v>47</v>
      </c>
      <c r="F2040">
        <v>19</v>
      </c>
      <c r="G2040" t="s">
        <v>4798</v>
      </c>
      <c r="H2040" t="s">
        <v>4805</v>
      </c>
      <c r="I2040">
        <v>13.99</v>
      </c>
      <c r="J2040">
        <v>4</v>
      </c>
      <c r="K2040">
        <v>1.57</v>
      </c>
      <c r="L2040">
        <v>0</v>
      </c>
      <c r="M2040" t="s">
        <v>4812</v>
      </c>
      <c r="N2040" t="s">
        <v>4900</v>
      </c>
      <c r="O2040" t="s">
        <v>4912</v>
      </c>
    </row>
    <row r="2041" spans="1:15" x14ac:dyDescent="0.35">
      <c r="A2041" t="s">
        <v>2022</v>
      </c>
      <c r="B2041">
        <v>42</v>
      </c>
      <c r="C2041" t="s">
        <v>4803</v>
      </c>
      <c r="D2041" t="s">
        <v>15</v>
      </c>
      <c r="E2041">
        <v>93</v>
      </c>
      <c r="F2041">
        <v>6</v>
      </c>
      <c r="G2041" t="s">
        <v>4797</v>
      </c>
      <c r="H2041" t="s">
        <v>4807</v>
      </c>
      <c r="I2041">
        <v>17.989999999999998</v>
      </c>
      <c r="J2041">
        <v>3</v>
      </c>
      <c r="K2041">
        <v>3.1</v>
      </c>
      <c r="L2041">
        <v>0</v>
      </c>
      <c r="M2041" t="s">
        <v>4811</v>
      </c>
      <c r="N2041" t="s">
        <v>4900</v>
      </c>
      <c r="O2041" t="s">
        <v>4910</v>
      </c>
    </row>
    <row r="2042" spans="1:15" x14ac:dyDescent="0.35">
      <c r="A2042" t="s">
        <v>2023</v>
      </c>
      <c r="B2042">
        <v>39</v>
      </c>
      <c r="C2042" t="s">
        <v>4803</v>
      </c>
      <c r="D2042" t="s">
        <v>13</v>
      </c>
      <c r="E2042">
        <v>49</v>
      </c>
      <c r="F2042">
        <v>56</v>
      </c>
      <c r="G2042" t="s">
        <v>4800</v>
      </c>
      <c r="H2042" t="s">
        <v>4806</v>
      </c>
      <c r="I2042">
        <v>13.99</v>
      </c>
      <c r="J2042">
        <v>2</v>
      </c>
      <c r="K2042">
        <v>1.63</v>
      </c>
      <c r="L2042">
        <v>1</v>
      </c>
      <c r="M2042" t="s">
        <v>4809</v>
      </c>
      <c r="N2042" t="s">
        <v>4899</v>
      </c>
      <c r="O2042" t="s">
        <v>4910</v>
      </c>
    </row>
    <row r="2043" spans="1:15" x14ac:dyDescent="0.35">
      <c r="A2043" t="s">
        <v>2024</v>
      </c>
      <c r="B2043">
        <v>21</v>
      </c>
      <c r="C2043" t="s">
        <v>4802</v>
      </c>
      <c r="D2043" t="s">
        <v>13</v>
      </c>
      <c r="E2043">
        <v>64</v>
      </c>
      <c r="F2043">
        <v>35</v>
      </c>
      <c r="G2043" t="s">
        <v>4797</v>
      </c>
      <c r="H2043" t="s">
        <v>4804</v>
      </c>
      <c r="I2043">
        <v>13.99</v>
      </c>
      <c r="J2043">
        <v>1</v>
      </c>
      <c r="K2043">
        <v>2.13</v>
      </c>
      <c r="L2043">
        <v>0</v>
      </c>
      <c r="M2043" t="s">
        <v>4812</v>
      </c>
      <c r="N2043" t="s">
        <v>4900</v>
      </c>
      <c r="O2043" t="s">
        <v>4912</v>
      </c>
    </row>
    <row r="2044" spans="1:15" x14ac:dyDescent="0.35">
      <c r="A2044" t="s">
        <v>2025</v>
      </c>
      <c r="B2044">
        <v>63</v>
      </c>
      <c r="C2044" t="s">
        <v>4803</v>
      </c>
      <c r="D2044" t="s">
        <v>13</v>
      </c>
      <c r="E2044">
        <v>73</v>
      </c>
      <c r="F2044">
        <v>37</v>
      </c>
      <c r="G2044" t="s">
        <v>4797</v>
      </c>
      <c r="H2044" t="s">
        <v>4804</v>
      </c>
      <c r="I2044">
        <v>13.99</v>
      </c>
      <c r="J2044">
        <v>3</v>
      </c>
      <c r="K2044">
        <v>2.4300000000000002</v>
      </c>
      <c r="L2044">
        <v>0</v>
      </c>
      <c r="M2044" t="s">
        <v>4808</v>
      </c>
      <c r="N2044" t="s">
        <v>4900</v>
      </c>
      <c r="O2044" t="s">
        <v>4911</v>
      </c>
    </row>
    <row r="2045" spans="1:15" x14ac:dyDescent="0.35">
      <c r="A2045" t="s">
        <v>2026</v>
      </c>
      <c r="B2045">
        <v>42</v>
      </c>
      <c r="C2045" t="s">
        <v>4802</v>
      </c>
      <c r="D2045" t="s">
        <v>15</v>
      </c>
      <c r="E2045">
        <v>88</v>
      </c>
      <c r="F2045">
        <v>56</v>
      </c>
      <c r="G2045" t="s">
        <v>4797</v>
      </c>
      <c r="H2045" t="s">
        <v>4805</v>
      </c>
      <c r="I2045">
        <v>17.989999999999998</v>
      </c>
      <c r="J2045">
        <v>5</v>
      </c>
      <c r="K2045">
        <v>2.93</v>
      </c>
      <c r="L2045">
        <v>0</v>
      </c>
      <c r="M2045" t="s">
        <v>4809</v>
      </c>
      <c r="N2045" t="s">
        <v>4900</v>
      </c>
      <c r="O2045" t="s">
        <v>4910</v>
      </c>
    </row>
    <row r="2046" spans="1:15" x14ac:dyDescent="0.35">
      <c r="A2046" t="s">
        <v>2027</v>
      </c>
      <c r="B2046">
        <v>48</v>
      </c>
      <c r="C2046" t="s">
        <v>4802</v>
      </c>
      <c r="D2046" t="s">
        <v>13</v>
      </c>
      <c r="E2046">
        <v>45</v>
      </c>
      <c r="F2046">
        <v>16</v>
      </c>
      <c r="G2046" t="s">
        <v>4798</v>
      </c>
      <c r="H2046" t="s">
        <v>4805</v>
      </c>
      <c r="I2046">
        <v>13.99</v>
      </c>
      <c r="J2046">
        <v>4</v>
      </c>
      <c r="K2046">
        <v>1.5</v>
      </c>
      <c r="L2046">
        <v>0</v>
      </c>
      <c r="M2046" t="s">
        <v>4808</v>
      </c>
      <c r="N2046" t="s">
        <v>4900</v>
      </c>
      <c r="O2046" t="s">
        <v>4910</v>
      </c>
    </row>
    <row r="2047" spans="1:15" x14ac:dyDescent="0.35">
      <c r="A2047" t="s">
        <v>2028</v>
      </c>
      <c r="B2047">
        <v>51</v>
      </c>
      <c r="C2047" t="s">
        <v>4803</v>
      </c>
      <c r="D2047" t="s">
        <v>15</v>
      </c>
      <c r="E2047">
        <v>108</v>
      </c>
      <c r="F2047">
        <v>4</v>
      </c>
      <c r="G2047" t="s">
        <v>4798</v>
      </c>
      <c r="H2047" t="s">
        <v>4805</v>
      </c>
      <c r="I2047">
        <v>17.989999999999998</v>
      </c>
      <c r="J2047">
        <v>3</v>
      </c>
      <c r="K2047">
        <v>3.6</v>
      </c>
      <c r="L2047">
        <v>0</v>
      </c>
      <c r="M2047" t="s">
        <v>4811</v>
      </c>
      <c r="N2047" t="s">
        <v>4900</v>
      </c>
      <c r="O2047" t="s">
        <v>4910</v>
      </c>
    </row>
    <row r="2048" spans="1:15" x14ac:dyDescent="0.35">
      <c r="A2048" t="s">
        <v>2029</v>
      </c>
      <c r="B2048">
        <v>43</v>
      </c>
      <c r="C2048" t="s">
        <v>4802</v>
      </c>
      <c r="D2048" t="s">
        <v>13</v>
      </c>
      <c r="E2048">
        <v>70</v>
      </c>
      <c r="F2048">
        <v>29</v>
      </c>
      <c r="G2048" t="s">
        <v>4800</v>
      </c>
      <c r="H2048" t="s">
        <v>4806</v>
      </c>
      <c r="I2048">
        <v>13.99</v>
      </c>
      <c r="J2048">
        <v>1</v>
      </c>
      <c r="K2048">
        <v>2.33</v>
      </c>
      <c r="L2048">
        <v>0</v>
      </c>
      <c r="M2048" t="s">
        <v>4810</v>
      </c>
      <c r="N2048" t="s">
        <v>4900</v>
      </c>
      <c r="O2048" t="s">
        <v>4910</v>
      </c>
    </row>
    <row r="2049" spans="1:15" x14ac:dyDescent="0.35">
      <c r="A2049" t="s">
        <v>2030</v>
      </c>
      <c r="B2049">
        <v>60</v>
      </c>
      <c r="C2049" t="s">
        <v>4803</v>
      </c>
      <c r="D2049" t="s">
        <v>13</v>
      </c>
      <c r="E2049">
        <v>49</v>
      </c>
      <c r="F2049">
        <v>19</v>
      </c>
      <c r="G2049" t="s">
        <v>4797</v>
      </c>
      <c r="H2049" t="s">
        <v>4805</v>
      </c>
      <c r="I2049">
        <v>13.99</v>
      </c>
      <c r="J2049">
        <v>3</v>
      </c>
      <c r="K2049">
        <v>1.63</v>
      </c>
      <c r="L2049">
        <v>0</v>
      </c>
      <c r="M2049" t="s">
        <v>4811</v>
      </c>
      <c r="N2049" t="s">
        <v>4900</v>
      </c>
      <c r="O2049" t="s">
        <v>4911</v>
      </c>
    </row>
    <row r="2050" spans="1:15" x14ac:dyDescent="0.35">
      <c r="A2050" t="s">
        <v>2031</v>
      </c>
      <c r="B2050">
        <v>50</v>
      </c>
      <c r="C2050" t="s">
        <v>4803</v>
      </c>
      <c r="D2050" t="s">
        <v>13</v>
      </c>
      <c r="E2050">
        <v>64</v>
      </c>
      <c r="F2050">
        <v>2</v>
      </c>
      <c r="G2050" t="s">
        <v>4798</v>
      </c>
      <c r="H2050" t="s">
        <v>4805</v>
      </c>
      <c r="I2050">
        <v>13.99</v>
      </c>
      <c r="J2050">
        <v>2</v>
      </c>
      <c r="K2050">
        <v>2.13</v>
      </c>
      <c r="L2050">
        <v>0</v>
      </c>
      <c r="M2050" t="s">
        <v>4810</v>
      </c>
      <c r="N2050" t="s">
        <v>4900</v>
      </c>
      <c r="O2050" t="s">
        <v>4910</v>
      </c>
    </row>
    <row r="2051" spans="1:15" x14ac:dyDescent="0.35">
      <c r="A2051" t="s">
        <v>2032</v>
      </c>
      <c r="B2051">
        <v>42</v>
      </c>
      <c r="C2051" t="s">
        <v>4802</v>
      </c>
      <c r="D2051" t="s">
        <v>13</v>
      </c>
      <c r="E2051">
        <v>51</v>
      </c>
      <c r="F2051">
        <v>5</v>
      </c>
      <c r="G2051" t="s">
        <v>4797</v>
      </c>
      <c r="H2051" t="s">
        <v>4806</v>
      </c>
      <c r="I2051">
        <v>13.99</v>
      </c>
      <c r="J2051">
        <v>3</v>
      </c>
      <c r="K2051">
        <v>2.0299999999999998</v>
      </c>
      <c r="L2051">
        <v>0</v>
      </c>
      <c r="M2051" t="s">
        <v>4811</v>
      </c>
      <c r="N2051" t="s">
        <v>4900</v>
      </c>
      <c r="O2051" t="s">
        <v>4910</v>
      </c>
    </row>
    <row r="2052" spans="1:15" x14ac:dyDescent="0.35">
      <c r="A2052" t="s">
        <v>2033</v>
      </c>
      <c r="B2052">
        <v>60</v>
      </c>
      <c r="C2052" t="s">
        <v>4803</v>
      </c>
      <c r="D2052" t="s">
        <v>13</v>
      </c>
      <c r="E2052">
        <v>45</v>
      </c>
      <c r="F2052">
        <v>35</v>
      </c>
      <c r="G2052" t="s">
        <v>4797</v>
      </c>
      <c r="H2052" t="s">
        <v>4805</v>
      </c>
      <c r="I2052">
        <v>13.99</v>
      </c>
      <c r="J2052">
        <v>1</v>
      </c>
      <c r="K2052">
        <v>5</v>
      </c>
      <c r="L2052">
        <v>0</v>
      </c>
      <c r="M2052" t="s">
        <v>4808</v>
      </c>
      <c r="N2052" t="s">
        <v>4900</v>
      </c>
      <c r="O2052" t="s">
        <v>4911</v>
      </c>
    </row>
    <row r="2053" spans="1:15" x14ac:dyDescent="0.35">
      <c r="A2053" t="s">
        <v>2034</v>
      </c>
      <c r="B2053">
        <v>43</v>
      </c>
      <c r="C2053" t="s">
        <v>4802</v>
      </c>
      <c r="D2053" t="s">
        <v>13</v>
      </c>
      <c r="E2053">
        <v>53</v>
      </c>
      <c r="F2053">
        <v>10</v>
      </c>
      <c r="G2053" t="s">
        <v>4797</v>
      </c>
      <c r="H2053" t="s">
        <v>4804</v>
      </c>
      <c r="I2053">
        <v>13.99</v>
      </c>
      <c r="J2053">
        <v>4</v>
      </c>
      <c r="K2053">
        <v>1.77</v>
      </c>
      <c r="L2053">
        <v>0</v>
      </c>
      <c r="M2053" t="s">
        <v>4810</v>
      </c>
      <c r="N2053" t="s">
        <v>4900</v>
      </c>
      <c r="O2053" t="s">
        <v>4910</v>
      </c>
    </row>
    <row r="2054" spans="1:15" x14ac:dyDescent="0.35">
      <c r="A2054" t="s">
        <v>2035</v>
      </c>
      <c r="B2054">
        <v>41</v>
      </c>
      <c r="C2054" t="s">
        <v>4803</v>
      </c>
      <c r="D2054" t="s">
        <v>15</v>
      </c>
      <c r="E2054">
        <v>105</v>
      </c>
      <c r="F2054">
        <v>22</v>
      </c>
      <c r="G2054" t="s">
        <v>4800</v>
      </c>
      <c r="H2054" t="s">
        <v>4804</v>
      </c>
      <c r="I2054">
        <v>17.989999999999998</v>
      </c>
      <c r="J2054">
        <v>2</v>
      </c>
      <c r="K2054">
        <v>2.0299999999999998</v>
      </c>
      <c r="L2054">
        <v>0</v>
      </c>
      <c r="M2054" t="s">
        <v>4809</v>
      </c>
      <c r="N2054" t="s">
        <v>4900</v>
      </c>
      <c r="O2054" t="s">
        <v>4910</v>
      </c>
    </row>
    <row r="2055" spans="1:15" x14ac:dyDescent="0.35">
      <c r="A2055" t="s">
        <v>2036</v>
      </c>
      <c r="B2055">
        <v>47</v>
      </c>
      <c r="C2055" t="s">
        <v>4803</v>
      </c>
      <c r="D2055" t="s">
        <v>13</v>
      </c>
      <c r="E2055">
        <v>59</v>
      </c>
      <c r="F2055">
        <v>42</v>
      </c>
      <c r="G2055" t="s">
        <v>4798</v>
      </c>
      <c r="H2055" t="s">
        <v>4804</v>
      </c>
      <c r="I2055">
        <v>13.99</v>
      </c>
      <c r="J2055">
        <v>4</v>
      </c>
      <c r="K2055">
        <v>1.97</v>
      </c>
      <c r="L2055">
        <v>0</v>
      </c>
      <c r="M2055" t="s">
        <v>4809</v>
      </c>
      <c r="N2055" t="s">
        <v>4900</v>
      </c>
      <c r="O2055" t="s">
        <v>4910</v>
      </c>
    </row>
    <row r="2056" spans="1:15" x14ac:dyDescent="0.35">
      <c r="A2056" t="s">
        <v>2037</v>
      </c>
      <c r="B2056">
        <v>19</v>
      </c>
      <c r="C2056" t="s">
        <v>4802</v>
      </c>
      <c r="D2056" t="s">
        <v>13</v>
      </c>
      <c r="E2056">
        <v>65</v>
      </c>
      <c r="F2056">
        <v>36</v>
      </c>
      <c r="G2056" t="s">
        <v>4799</v>
      </c>
      <c r="H2056" t="s">
        <v>4805</v>
      </c>
      <c r="I2056">
        <v>13.99</v>
      </c>
      <c r="J2056">
        <v>3</v>
      </c>
      <c r="K2056">
        <v>2.17</v>
      </c>
      <c r="L2056">
        <v>0</v>
      </c>
      <c r="M2056" t="s">
        <v>4811</v>
      </c>
      <c r="N2056" t="s">
        <v>4900</v>
      </c>
      <c r="O2056" t="s">
        <v>4912</v>
      </c>
    </row>
    <row r="2057" spans="1:15" x14ac:dyDescent="0.35">
      <c r="A2057" t="s">
        <v>2038</v>
      </c>
      <c r="B2057">
        <v>47</v>
      </c>
      <c r="C2057" t="s">
        <v>4802</v>
      </c>
      <c r="D2057" t="s">
        <v>13</v>
      </c>
      <c r="E2057">
        <v>43</v>
      </c>
      <c r="F2057">
        <v>4</v>
      </c>
      <c r="G2057" t="s">
        <v>4799</v>
      </c>
      <c r="H2057" t="s">
        <v>4804</v>
      </c>
      <c r="I2057">
        <v>13.99</v>
      </c>
      <c r="J2057">
        <v>3</v>
      </c>
      <c r="K2057">
        <v>1.43</v>
      </c>
      <c r="L2057">
        <v>0</v>
      </c>
      <c r="M2057" t="s">
        <v>4810</v>
      </c>
      <c r="N2057" t="s">
        <v>4900</v>
      </c>
      <c r="O2057" t="s">
        <v>4910</v>
      </c>
    </row>
    <row r="2058" spans="1:15" x14ac:dyDescent="0.35">
      <c r="A2058" t="s">
        <v>2039</v>
      </c>
      <c r="B2058">
        <v>63</v>
      </c>
      <c r="C2058" t="s">
        <v>4803</v>
      </c>
      <c r="D2058" t="s">
        <v>14</v>
      </c>
      <c r="E2058">
        <v>13</v>
      </c>
      <c r="F2058">
        <v>13</v>
      </c>
      <c r="G2058" t="s">
        <v>4797</v>
      </c>
      <c r="H2058" t="s">
        <v>4804</v>
      </c>
      <c r="I2058">
        <v>8.99</v>
      </c>
      <c r="J2058">
        <v>1</v>
      </c>
      <c r="K2058">
        <v>0.43</v>
      </c>
      <c r="L2058">
        <v>1</v>
      </c>
      <c r="M2058" t="s">
        <v>4808</v>
      </c>
      <c r="N2058" t="s">
        <v>4899</v>
      </c>
      <c r="O2058" t="s">
        <v>4911</v>
      </c>
    </row>
    <row r="2059" spans="1:15" x14ac:dyDescent="0.35">
      <c r="A2059" t="s">
        <v>2040</v>
      </c>
      <c r="B2059">
        <v>20</v>
      </c>
      <c r="C2059" t="s">
        <v>4803</v>
      </c>
      <c r="D2059" t="s">
        <v>15</v>
      </c>
      <c r="E2059">
        <v>68</v>
      </c>
      <c r="F2059">
        <v>46</v>
      </c>
      <c r="G2059" t="s">
        <v>4799</v>
      </c>
      <c r="H2059" t="s">
        <v>4805</v>
      </c>
      <c r="I2059">
        <v>17.989999999999998</v>
      </c>
      <c r="J2059">
        <v>3</v>
      </c>
      <c r="K2059">
        <v>2.27</v>
      </c>
      <c r="L2059">
        <v>0</v>
      </c>
      <c r="M2059" t="s">
        <v>4809</v>
      </c>
      <c r="N2059" t="s">
        <v>4900</v>
      </c>
      <c r="O2059" t="s">
        <v>4912</v>
      </c>
    </row>
    <row r="2060" spans="1:15" x14ac:dyDescent="0.35">
      <c r="A2060" t="s">
        <v>2041</v>
      </c>
      <c r="B2060">
        <v>59</v>
      </c>
      <c r="C2060" t="s">
        <v>4803</v>
      </c>
      <c r="D2060" t="s">
        <v>15</v>
      </c>
      <c r="E2060">
        <v>109</v>
      </c>
      <c r="F2060">
        <v>1</v>
      </c>
      <c r="G2060" t="s">
        <v>4798</v>
      </c>
      <c r="H2060" t="s">
        <v>4806</v>
      </c>
      <c r="I2060">
        <v>17.989999999999998</v>
      </c>
      <c r="J2060">
        <v>2</v>
      </c>
      <c r="K2060">
        <v>2.0299999999999998</v>
      </c>
      <c r="L2060">
        <v>0</v>
      </c>
      <c r="M2060" t="s">
        <v>4809</v>
      </c>
      <c r="N2060" t="s">
        <v>4900</v>
      </c>
      <c r="O2060" t="s">
        <v>4911</v>
      </c>
    </row>
    <row r="2061" spans="1:15" x14ac:dyDescent="0.35">
      <c r="A2061" t="s">
        <v>2042</v>
      </c>
      <c r="B2061">
        <v>58</v>
      </c>
      <c r="C2061" t="s">
        <v>4803</v>
      </c>
      <c r="D2061" t="s">
        <v>13</v>
      </c>
      <c r="E2061">
        <v>33</v>
      </c>
      <c r="F2061">
        <v>36</v>
      </c>
      <c r="G2061" t="s">
        <v>4798</v>
      </c>
      <c r="H2061" t="s">
        <v>4806</v>
      </c>
      <c r="I2061">
        <v>13.99</v>
      </c>
      <c r="J2061">
        <v>2</v>
      </c>
      <c r="K2061">
        <v>1.1000000000000001</v>
      </c>
      <c r="L2061">
        <v>1</v>
      </c>
      <c r="M2061" t="s">
        <v>4809</v>
      </c>
      <c r="N2061" t="s">
        <v>4899</v>
      </c>
      <c r="O2061" t="s">
        <v>4911</v>
      </c>
    </row>
    <row r="2062" spans="1:15" x14ac:dyDescent="0.35">
      <c r="A2062" t="s">
        <v>2043</v>
      </c>
      <c r="B2062">
        <v>65</v>
      </c>
      <c r="C2062" t="s">
        <v>4802</v>
      </c>
      <c r="D2062" t="s">
        <v>13</v>
      </c>
      <c r="E2062">
        <v>64</v>
      </c>
      <c r="F2062">
        <v>9</v>
      </c>
      <c r="G2062" t="s">
        <v>4798</v>
      </c>
      <c r="H2062" t="s">
        <v>4804</v>
      </c>
      <c r="I2062">
        <v>13.99</v>
      </c>
      <c r="J2062">
        <v>4</v>
      </c>
      <c r="K2062">
        <v>2.13</v>
      </c>
      <c r="L2062">
        <v>0</v>
      </c>
      <c r="M2062" t="s">
        <v>4809</v>
      </c>
      <c r="N2062" t="s">
        <v>4900</v>
      </c>
      <c r="O2062" t="s">
        <v>4911</v>
      </c>
    </row>
    <row r="2063" spans="1:15" x14ac:dyDescent="0.35">
      <c r="A2063" t="s">
        <v>2044</v>
      </c>
      <c r="B2063">
        <v>55</v>
      </c>
      <c r="C2063" t="s">
        <v>4802</v>
      </c>
      <c r="D2063" t="s">
        <v>13</v>
      </c>
      <c r="E2063">
        <v>72</v>
      </c>
      <c r="F2063" t="s">
        <v>4814</v>
      </c>
      <c r="G2063" t="s">
        <v>4799</v>
      </c>
      <c r="H2063" t="s">
        <v>4805</v>
      </c>
      <c r="I2063">
        <v>13.99</v>
      </c>
      <c r="J2063">
        <v>1</v>
      </c>
      <c r="K2063">
        <v>2.4</v>
      </c>
      <c r="L2063">
        <v>0</v>
      </c>
      <c r="M2063" t="s">
        <v>4809</v>
      </c>
      <c r="N2063" t="s">
        <v>4900</v>
      </c>
      <c r="O2063" t="s">
        <v>4911</v>
      </c>
    </row>
    <row r="2064" spans="1:15" x14ac:dyDescent="0.35">
      <c r="A2064" t="s">
        <v>2045</v>
      </c>
      <c r="B2064">
        <v>23</v>
      </c>
      <c r="C2064" t="s">
        <v>4802</v>
      </c>
      <c r="D2064" t="s">
        <v>13</v>
      </c>
      <c r="E2064">
        <v>31</v>
      </c>
      <c r="F2064">
        <v>56</v>
      </c>
      <c r="G2064" t="s">
        <v>4798</v>
      </c>
      <c r="H2064" t="s">
        <v>4804</v>
      </c>
      <c r="I2064">
        <v>13.99</v>
      </c>
      <c r="J2064">
        <v>4</v>
      </c>
      <c r="K2064">
        <v>1.03</v>
      </c>
      <c r="L2064">
        <v>0</v>
      </c>
      <c r="M2064" t="s">
        <v>4809</v>
      </c>
      <c r="N2064" t="s">
        <v>4900</v>
      </c>
      <c r="O2064" t="s">
        <v>4912</v>
      </c>
    </row>
    <row r="2065" spans="1:15" x14ac:dyDescent="0.35">
      <c r="A2065" t="s">
        <v>2046</v>
      </c>
      <c r="B2065">
        <v>56</v>
      </c>
      <c r="C2065" t="s">
        <v>4803</v>
      </c>
      <c r="D2065" t="s">
        <v>14</v>
      </c>
      <c r="E2065">
        <v>15</v>
      </c>
      <c r="F2065">
        <v>33</v>
      </c>
      <c r="G2065" t="s">
        <v>4798</v>
      </c>
      <c r="H2065" t="s">
        <v>4806</v>
      </c>
      <c r="I2065">
        <v>8.99</v>
      </c>
      <c r="J2065">
        <v>2</v>
      </c>
      <c r="K2065">
        <v>0.5</v>
      </c>
      <c r="L2065">
        <v>0</v>
      </c>
      <c r="M2065" t="s">
        <v>4810</v>
      </c>
      <c r="N2065" t="s">
        <v>4900</v>
      </c>
      <c r="O2065" t="s">
        <v>4911</v>
      </c>
    </row>
    <row r="2066" spans="1:15" x14ac:dyDescent="0.35">
      <c r="A2066" t="s">
        <v>2047</v>
      </c>
      <c r="B2066">
        <v>19</v>
      </c>
      <c r="C2066" t="s">
        <v>4802</v>
      </c>
      <c r="D2066" t="s">
        <v>15</v>
      </c>
      <c r="E2066">
        <v>117</v>
      </c>
      <c r="F2066">
        <v>54</v>
      </c>
      <c r="G2066" t="s">
        <v>4799</v>
      </c>
      <c r="H2066" t="s">
        <v>4804</v>
      </c>
      <c r="I2066">
        <v>17.989999999999998</v>
      </c>
      <c r="J2066">
        <v>2</v>
      </c>
      <c r="K2066">
        <v>3.9</v>
      </c>
      <c r="L2066">
        <v>0</v>
      </c>
      <c r="M2066" t="s">
        <v>4811</v>
      </c>
      <c r="N2066" t="s">
        <v>4900</v>
      </c>
      <c r="O2066" t="s">
        <v>4912</v>
      </c>
    </row>
    <row r="2067" spans="1:15" x14ac:dyDescent="0.35">
      <c r="A2067" t="s">
        <v>2048</v>
      </c>
      <c r="B2067">
        <v>41</v>
      </c>
      <c r="C2067" t="s">
        <v>4802</v>
      </c>
      <c r="D2067" t="s">
        <v>15</v>
      </c>
      <c r="E2067">
        <v>118</v>
      </c>
      <c r="F2067">
        <v>51</v>
      </c>
      <c r="G2067" t="s">
        <v>4798</v>
      </c>
      <c r="H2067" t="s">
        <v>4805</v>
      </c>
      <c r="I2067">
        <v>17.989999999999998</v>
      </c>
      <c r="J2067">
        <v>2</v>
      </c>
      <c r="K2067">
        <v>3.93</v>
      </c>
      <c r="L2067">
        <v>0</v>
      </c>
      <c r="M2067" t="s">
        <v>4809</v>
      </c>
      <c r="N2067" t="s">
        <v>4900</v>
      </c>
      <c r="O2067" t="s">
        <v>4910</v>
      </c>
    </row>
    <row r="2068" spans="1:15" x14ac:dyDescent="0.35">
      <c r="A2068" t="s">
        <v>2049</v>
      </c>
      <c r="B2068">
        <v>19</v>
      </c>
      <c r="C2068" t="s">
        <v>4802</v>
      </c>
      <c r="D2068" t="s">
        <v>14</v>
      </c>
      <c r="E2068">
        <v>64</v>
      </c>
      <c r="F2068">
        <v>44</v>
      </c>
      <c r="G2068" t="s">
        <v>4799</v>
      </c>
      <c r="H2068" t="s">
        <v>4804</v>
      </c>
      <c r="I2068">
        <v>8.99</v>
      </c>
      <c r="J2068">
        <v>4</v>
      </c>
      <c r="K2068">
        <v>2.13</v>
      </c>
      <c r="L2068">
        <v>0</v>
      </c>
      <c r="M2068" t="s">
        <v>4812</v>
      </c>
      <c r="N2068" t="s">
        <v>4900</v>
      </c>
      <c r="O2068" t="s">
        <v>4912</v>
      </c>
    </row>
    <row r="2069" spans="1:15" x14ac:dyDescent="0.35">
      <c r="A2069" t="s">
        <v>2050</v>
      </c>
      <c r="B2069">
        <v>21</v>
      </c>
      <c r="C2069" t="s">
        <v>4802</v>
      </c>
      <c r="D2069" t="s">
        <v>13</v>
      </c>
      <c r="E2069">
        <v>50</v>
      </c>
      <c r="F2069">
        <v>999</v>
      </c>
      <c r="G2069" t="s">
        <v>4798</v>
      </c>
      <c r="H2069" t="s">
        <v>4804</v>
      </c>
      <c r="I2069">
        <v>13.99</v>
      </c>
      <c r="J2069">
        <v>2</v>
      </c>
      <c r="K2069">
        <v>1.67</v>
      </c>
      <c r="L2069">
        <v>0</v>
      </c>
      <c r="M2069" t="s">
        <v>4812</v>
      </c>
      <c r="N2069" t="s">
        <v>4900</v>
      </c>
      <c r="O2069" t="s">
        <v>4912</v>
      </c>
    </row>
    <row r="2070" spans="1:15" x14ac:dyDescent="0.35">
      <c r="A2070" t="s">
        <v>2051</v>
      </c>
      <c r="B2070">
        <v>36</v>
      </c>
      <c r="C2070" t="s">
        <v>4803</v>
      </c>
      <c r="D2070" t="s">
        <v>15</v>
      </c>
      <c r="E2070">
        <v>81</v>
      </c>
      <c r="F2070">
        <v>54</v>
      </c>
      <c r="G2070" t="s">
        <v>4798</v>
      </c>
      <c r="H2070" t="s">
        <v>4804</v>
      </c>
      <c r="I2070">
        <v>17.989999999999998</v>
      </c>
      <c r="J2070">
        <v>4</v>
      </c>
      <c r="K2070">
        <v>2.7</v>
      </c>
      <c r="L2070">
        <v>1</v>
      </c>
      <c r="M2070" t="s">
        <v>4809</v>
      </c>
      <c r="N2070" t="s">
        <v>4899</v>
      </c>
      <c r="O2070" t="s">
        <v>4910</v>
      </c>
    </row>
    <row r="2071" spans="1:15" x14ac:dyDescent="0.35">
      <c r="A2071" t="s">
        <v>2052</v>
      </c>
      <c r="B2071">
        <v>43</v>
      </c>
      <c r="C2071" t="s">
        <v>4802</v>
      </c>
      <c r="D2071" t="s">
        <v>14</v>
      </c>
      <c r="E2071">
        <v>31</v>
      </c>
      <c r="F2071">
        <v>42</v>
      </c>
      <c r="G2071" t="s">
        <v>4798</v>
      </c>
      <c r="H2071" t="s">
        <v>4804</v>
      </c>
      <c r="I2071">
        <v>8.99</v>
      </c>
      <c r="J2071">
        <v>2</v>
      </c>
      <c r="K2071">
        <v>1.03</v>
      </c>
      <c r="L2071">
        <v>0</v>
      </c>
      <c r="M2071" t="s">
        <v>4810</v>
      </c>
      <c r="N2071" t="s">
        <v>4900</v>
      </c>
      <c r="O2071" t="s">
        <v>4910</v>
      </c>
    </row>
    <row r="2072" spans="1:15" x14ac:dyDescent="0.35">
      <c r="A2072" t="s">
        <v>2053</v>
      </c>
      <c r="B2072">
        <v>21</v>
      </c>
      <c r="C2072" t="s">
        <v>4803</v>
      </c>
      <c r="D2072" t="s">
        <v>13</v>
      </c>
      <c r="E2072">
        <v>42</v>
      </c>
      <c r="F2072">
        <v>43</v>
      </c>
      <c r="G2072" t="s">
        <v>4797</v>
      </c>
      <c r="H2072" t="s">
        <v>4804</v>
      </c>
      <c r="I2072">
        <v>13.99</v>
      </c>
      <c r="J2072">
        <v>2</v>
      </c>
      <c r="K2072">
        <v>1.4</v>
      </c>
      <c r="L2072">
        <v>0</v>
      </c>
      <c r="M2072" t="s">
        <v>4808</v>
      </c>
      <c r="N2072" t="s">
        <v>4900</v>
      </c>
      <c r="O2072" t="s">
        <v>4912</v>
      </c>
    </row>
    <row r="2073" spans="1:15" x14ac:dyDescent="0.35">
      <c r="A2073" t="s">
        <v>2054</v>
      </c>
      <c r="B2073">
        <v>44</v>
      </c>
      <c r="C2073" t="s">
        <v>4802</v>
      </c>
      <c r="D2073" t="s">
        <v>13</v>
      </c>
      <c r="E2073">
        <v>30</v>
      </c>
      <c r="F2073">
        <v>54</v>
      </c>
      <c r="G2073" t="s">
        <v>4797</v>
      </c>
      <c r="H2073" t="s">
        <v>4805</v>
      </c>
      <c r="I2073">
        <v>13.99</v>
      </c>
      <c r="J2073">
        <v>3</v>
      </c>
      <c r="K2073">
        <v>1</v>
      </c>
      <c r="L2073">
        <v>1</v>
      </c>
      <c r="M2073" t="s">
        <v>4808</v>
      </c>
      <c r="N2073" t="s">
        <v>4899</v>
      </c>
      <c r="O2073" t="s">
        <v>4910</v>
      </c>
    </row>
    <row r="2074" spans="1:15" x14ac:dyDescent="0.35">
      <c r="A2074" t="s">
        <v>2055</v>
      </c>
      <c r="B2074">
        <v>36</v>
      </c>
      <c r="C2074" t="s">
        <v>4802</v>
      </c>
      <c r="D2074" t="s">
        <v>13</v>
      </c>
      <c r="E2074">
        <v>67</v>
      </c>
      <c r="F2074">
        <v>44</v>
      </c>
      <c r="G2074" t="s">
        <v>4798</v>
      </c>
      <c r="H2074" t="s">
        <v>4806</v>
      </c>
      <c r="I2074">
        <v>13.99</v>
      </c>
      <c r="J2074">
        <v>3</v>
      </c>
      <c r="K2074">
        <v>2.23</v>
      </c>
      <c r="L2074">
        <v>0</v>
      </c>
      <c r="M2074" t="s">
        <v>4808</v>
      </c>
      <c r="N2074" t="s">
        <v>4900</v>
      </c>
      <c r="O2074" t="s">
        <v>4910</v>
      </c>
    </row>
    <row r="2075" spans="1:15" x14ac:dyDescent="0.35">
      <c r="A2075" t="s">
        <v>2056</v>
      </c>
      <c r="B2075">
        <v>20</v>
      </c>
      <c r="C2075" t="s">
        <v>4803</v>
      </c>
      <c r="D2075" t="s">
        <v>13</v>
      </c>
      <c r="E2075">
        <v>42</v>
      </c>
      <c r="F2075">
        <v>36</v>
      </c>
      <c r="G2075" t="s">
        <v>4798</v>
      </c>
      <c r="H2075" t="s">
        <v>4805</v>
      </c>
      <c r="I2075">
        <v>13.99</v>
      </c>
      <c r="J2075">
        <v>4</v>
      </c>
      <c r="K2075">
        <v>1.4</v>
      </c>
      <c r="L2075">
        <v>0</v>
      </c>
      <c r="M2075" t="s">
        <v>4812</v>
      </c>
      <c r="N2075" t="s">
        <v>4900</v>
      </c>
      <c r="O2075" t="s">
        <v>4912</v>
      </c>
    </row>
    <row r="2076" spans="1:15" x14ac:dyDescent="0.35">
      <c r="A2076" t="s">
        <v>2057</v>
      </c>
      <c r="B2076">
        <v>30</v>
      </c>
      <c r="C2076" t="s">
        <v>4802</v>
      </c>
      <c r="D2076" t="s">
        <v>13</v>
      </c>
      <c r="E2076">
        <v>71</v>
      </c>
      <c r="F2076">
        <v>28</v>
      </c>
      <c r="G2076" t="s">
        <v>4798</v>
      </c>
      <c r="H2076" t="s">
        <v>4806</v>
      </c>
      <c r="I2076">
        <v>13.99</v>
      </c>
      <c r="J2076">
        <v>4</v>
      </c>
      <c r="K2076">
        <v>2.37</v>
      </c>
      <c r="L2076">
        <v>1</v>
      </c>
      <c r="M2076" t="s">
        <v>4811</v>
      </c>
      <c r="N2076" t="s">
        <v>4899</v>
      </c>
      <c r="O2076" t="s">
        <v>4912</v>
      </c>
    </row>
    <row r="2077" spans="1:15" x14ac:dyDescent="0.35">
      <c r="A2077" t="s">
        <v>2058</v>
      </c>
      <c r="B2077">
        <v>26</v>
      </c>
      <c r="C2077" t="s">
        <v>4802</v>
      </c>
      <c r="D2077" t="s">
        <v>13</v>
      </c>
      <c r="E2077">
        <v>45</v>
      </c>
      <c r="F2077">
        <v>50</v>
      </c>
      <c r="G2077" t="s">
        <v>4797</v>
      </c>
      <c r="H2077" t="s">
        <v>4806</v>
      </c>
      <c r="I2077">
        <v>13.99</v>
      </c>
      <c r="J2077">
        <v>1</v>
      </c>
      <c r="K2077">
        <v>1.5</v>
      </c>
      <c r="L2077">
        <v>0</v>
      </c>
      <c r="M2077" t="s">
        <v>4811</v>
      </c>
      <c r="N2077" t="s">
        <v>4900</v>
      </c>
      <c r="O2077" t="s">
        <v>4912</v>
      </c>
    </row>
    <row r="2078" spans="1:15" x14ac:dyDescent="0.35">
      <c r="A2078" t="s">
        <v>2059</v>
      </c>
      <c r="B2078">
        <v>65</v>
      </c>
      <c r="C2078" t="s">
        <v>4802</v>
      </c>
      <c r="D2078" t="s">
        <v>15</v>
      </c>
      <c r="E2078">
        <v>43</v>
      </c>
      <c r="F2078">
        <v>50</v>
      </c>
      <c r="G2078" t="s">
        <v>4798</v>
      </c>
      <c r="H2078" t="s">
        <v>4805</v>
      </c>
      <c r="I2078">
        <v>17.989999999999998</v>
      </c>
      <c r="J2078">
        <v>2</v>
      </c>
      <c r="K2078">
        <v>1.43</v>
      </c>
      <c r="L2078">
        <v>0</v>
      </c>
      <c r="M2078" t="s">
        <v>4811</v>
      </c>
      <c r="N2078" t="s">
        <v>4900</v>
      </c>
      <c r="O2078" t="s">
        <v>4911</v>
      </c>
    </row>
    <row r="2079" spans="1:15" x14ac:dyDescent="0.35">
      <c r="A2079" t="s">
        <v>2060</v>
      </c>
      <c r="B2079">
        <v>42</v>
      </c>
      <c r="C2079" t="s">
        <v>4803</v>
      </c>
      <c r="D2079" t="s">
        <v>13</v>
      </c>
      <c r="E2079">
        <v>36</v>
      </c>
      <c r="F2079">
        <v>54</v>
      </c>
      <c r="G2079" t="s">
        <v>4800</v>
      </c>
      <c r="H2079" t="s">
        <v>4805</v>
      </c>
      <c r="I2079">
        <v>13.99</v>
      </c>
      <c r="J2079">
        <v>3</v>
      </c>
      <c r="K2079">
        <v>1.2</v>
      </c>
      <c r="L2079">
        <v>1</v>
      </c>
      <c r="M2079" t="s">
        <v>4809</v>
      </c>
      <c r="N2079" t="s">
        <v>4899</v>
      </c>
      <c r="O2079" t="s">
        <v>4910</v>
      </c>
    </row>
    <row r="2080" spans="1:15" x14ac:dyDescent="0.35">
      <c r="A2080" t="s">
        <v>2061</v>
      </c>
      <c r="B2080">
        <v>32</v>
      </c>
      <c r="C2080" t="s">
        <v>4802</v>
      </c>
      <c r="D2080" t="s">
        <v>13</v>
      </c>
      <c r="E2080">
        <v>40</v>
      </c>
      <c r="F2080">
        <v>9</v>
      </c>
      <c r="G2080" t="s">
        <v>4797</v>
      </c>
      <c r="H2080" t="s">
        <v>4804</v>
      </c>
      <c r="I2080">
        <v>13.99</v>
      </c>
      <c r="J2080">
        <v>4</v>
      </c>
      <c r="K2080">
        <v>1.33</v>
      </c>
      <c r="L2080">
        <v>0</v>
      </c>
      <c r="M2080" t="s">
        <v>4808</v>
      </c>
      <c r="N2080" t="s">
        <v>4900</v>
      </c>
      <c r="O2080" t="s">
        <v>4912</v>
      </c>
    </row>
    <row r="2081" spans="1:15" x14ac:dyDescent="0.35">
      <c r="A2081" t="s">
        <v>2062</v>
      </c>
      <c r="B2081">
        <v>27</v>
      </c>
      <c r="C2081" t="s">
        <v>4802</v>
      </c>
      <c r="D2081" t="s">
        <v>13</v>
      </c>
      <c r="E2081">
        <v>57</v>
      </c>
      <c r="F2081">
        <v>24</v>
      </c>
      <c r="G2081" t="s">
        <v>4798</v>
      </c>
      <c r="H2081" t="s">
        <v>4806</v>
      </c>
      <c r="I2081">
        <v>13.99</v>
      </c>
      <c r="J2081">
        <v>2</v>
      </c>
      <c r="K2081">
        <v>1.9</v>
      </c>
      <c r="L2081">
        <v>0</v>
      </c>
      <c r="M2081" t="s">
        <v>4811</v>
      </c>
      <c r="N2081" t="s">
        <v>4900</v>
      </c>
      <c r="O2081" t="s">
        <v>4912</v>
      </c>
    </row>
    <row r="2082" spans="1:15" x14ac:dyDescent="0.35">
      <c r="A2082" t="s">
        <v>2063</v>
      </c>
      <c r="B2082">
        <v>46</v>
      </c>
      <c r="C2082" t="s">
        <v>4803</v>
      </c>
      <c r="D2082" t="s">
        <v>13</v>
      </c>
      <c r="E2082">
        <v>40</v>
      </c>
      <c r="F2082">
        <v>52</v>
      </c>
      <c r="G2082" t="s">
        <v>4797</v>
      </c>
      <c r="H2082" t="s">
        <v>4805</v>
      </c>
      <c r="I2082">
        <v>13.99</v>
      </c>
      <c r="J2082">
        <v>3</v>
      </c>
      <c r="K2082">
        <v>1.33</v>
      </c>
      <c r="L2082">
        <v>1</v>
      </c>
      <c r="M2082" t="s">
        <v>4810</v>
      </c>
      <c r="N2082" t="s">
        <v>4899</v>
      </c>
      <c r="O2082" t="s">
        <v>4910</v>
      </c>
    </row>
    <row r="2083" spans="1:15" x14ac:dyDescent="0.35">
      <c r="A2083" t="s">
        <v>2064</v>
      </c>
      <c r="B2083">
        <v>32</v>
      </c>
      <c r="C2083" t="s">
        <v>4803</v>
      </c>
      <c r="D2083" t="s">
        <v>13</v>
      </c>
      <c r="E2083">
        <v>36</v>
      </c>
      <c r="F2083">
        <v>999</v>
      </c>
      <c r="G2083" t="s">
        <v>4799</v>
      </c>
      <c r="H2083" t="s">
        <v>4805</v>
      </c>
      <c r="I2083">
        <v>13.99</v>
      </c>
      <c r="J2083">
        <v>2</v>
      </c>
      <c r="K2083">
        <v>2.0299999999999998</v>
      </c>
      <c r="L2083">
        <v>0</v>
      </c>
      <c r="M2083" t="s">
        <v>4811</v>
      </c>
      <c r="N2083" t="s">
        <v>4900</v>
      </c>
      <c r="O2083" t="s">
        <v>4912</v>
      </c>
    </row>
    <row r="2084" spans="1:15" x14ac:dyDescent="0.35">
      <c r="A2084" t="s">
        <v>2065</v>
      </c>
      <c r="B2084">
        <v>39</v>
      </c>
      <c r="C2084" t="s">
        <v>4802</v>
      </c>
      <c r="D2084" t="s">
        <v>13</v>
      </c>
      <c r="E2084">
        <v>41</v>
      </c>
      <c r="F2084">
        <v>29</v>
      </c>
      <c r="G2084" t="s">
        <v>4797</v>
      </c>
      <c r="H2084" t="s">
        <v>4805</v>
      </c>
      <c r="I2084">
        <v>13.99</v>
      </c>
      <c r="J2084">
        <v>4</v>
      </c>
      <c r="K2084">
        <v>1.37</v>
      </c>
      <c r="L2084">
        <v>1</v>
      </c>
      <c r="M2084" t="s">
        <v>4810</v>
      </c>
      <c r="N2084" t="s">
        <v>4899</v>
      </c>
      <c r="O2084" t="s">
        <v>4910</v>
      </c>
    </row>
    <row r="2085" spans="1:15" x14ac:dyDescent="0.35">
      <c r="A2085" t="s">
        <v>2066</v>
      </c>
      <c r="B2085">
        <v>65</v>
      </c>
      <c r="C2085" t="s">
        <v>4803</v>
      </c>
      <c r="D2085" t="s">
        <v>15</v>
      </c>
      <c r="E2085">
        <v>58</v>
      </c>
      <c r="F2085">
        <v>15</v>
      </c>
      <c r="G2085" t="s">
        <v>4798</v>
      </c>
      <c r="H2085" t="s">
        <v>4805</v>
      </c>
      <c r="I2085">
        <v>17.989999999999998</v>
      </c>
      <c r="J2085">
        <v>2</v>
      </c>
      <c r="K2085">
        <v>1.93</v>
      </c>
      <c r="L2085">
        <v>0</v>
      </c>
      <c r="M2085" t="s">
        <v>4809</v>
      </c>
      <c r="N2085" t="s">
        <v>4900</v>
      </c>
      <c r="O2085" t="s">
        <v>4911</v>
      </c>
    </row>
    <row r="2086" spans="1:15" x14ac:dyDescent="0.35">
      <c r="A2086" t="s">
        <v>2067</v>
      </c>
      <c r="B2086">
        <v>55</v>
      </c>
      <c r="C2086" t="s">
        <v>4803</v>
      </c>
      <c r="D2086" t="s">
        <v>15</v>
      </c>
      <c r="E2086">
        <v>53</v>
      </c>
      <c r="F2086">
        <v>20</v>
      </c>
      <c r="G2086" t="s">
        <v>4798</v>
      </c>
      <c r="H2086" t="s">
        <v>4806</v>
      </c>
      <c r="I2086">
        <v>17.989999999999998</v>
      </c>
      <c r="J2086">
        <v>2</v>
      </c>
      <c r="K2086">
        <v>1.77</v>
      </c>
      <c r="L2086">
        <v>0</v>
      </c>
      <c r="M2086" t="s">
        <v>4811</v>
      </c>
      <c r="N2086" t="s">
        <v>4900</v>
      </c>
      <c r="O2086" t="s">
        <v>4911</v>
      </c>
    </row>
    <row r="2087" spans="1:15" x14ac:dyDescent="0.35">
      <c r="A2087" t="s">
        <v>2068</v>
      </c>
      <c r="B2087">
        <v>43</v>
      </c>
      <c r="C2087" t="s">
        <v>4803</v>
      </c>
      <c r="D2087" t="s">
        <v>13</v>
      </c>
      <c r="E2087">
        <v>74</v>
      </c>
      <c r="F2087">
        <v>8</v>
      </c>
      <c r="G2087" t="s">
        <v>4797</v>
      </c>
      <c r="H2087" t="s">
        <v>4805</v>
      </c>
      <c r="I2087">
        <v>13.99</v>
      </c>
      <c r="J2087">
        <v>3</v>
      </c>
      <c r="K2087">
        <v>2.4700000000000002</v>
      </c>
      <c r="L2087">
        <v>0</v>
      </c>
      <c r="M2087" t="s">
        <v>4811</v>
      </c>
      <c r="N2087" t="s">
        <v>4900</v>
      </c>
      <c r="O2087" t="s">
        <v>4910</v>
      </c>
    </row>
    <row r="2088" spans="1:15" x14ac:dyDescent="0.35">
      <c r="A2088" t="s">
        <v>2069</v>
      </c>
      <c r="B2088">
        <v>26</v>
      </c>
      <c r="C2088" t="s">
        <v>4802</v>
      </c>
      <c r="D2088" t="s">
        <v>13</v>
      </c>
      <c r="E2088">
        <v>39</v>
      </c>
      <c r="F2088">
        <v>0</v>
      </c>
      <c r="G2088" t="s">
        <v>4798</v>
      </c>
      <c r="H2088" t="s">
        <v>4804</v>
      </c>
      <c r="I2088">
        <v>13.99</v>
      </c>
      <c r="J2088">
        <v>2</v>
      </c>
      <c r="K2088">
        <v>1.3</v>
      </c>
      <c r="L2088">
        <v>0</v>
      </c>
      <c r="M2088" t="s">
        <v>4809</v>
      </c>
      <c r="N2088" t="s">
        <v>4900</v>
      </c>
      <c r="O2088" t="s">
        <v>4912</v>
      </c>
    </row>
    <row r="2089" spans="1:15" x14ac:dyDescent="0.35">
      <c r="A2089" t="s">
        <v>2070</v>
      </c>
      <c r="B2089">
        <v>31</v>
      </c>
      <c r="C2089" t="s">
        <v>4803</v>
      </c>
      <c r="D2089" t="s">
        <v>13</v>
      </c>
      <c r="E2089">
        <v>53</v>
      </c>
      <c r="F2089">
        <v>16</v>
      </c>
      <c r="G2089" t="s">
        <v>4799</v>
      </c>
      <c r="H2089" t="s">
        <v>4804</v>
      </c>
      <c r="I2089">
        <v>13.99</v>
      </c>
      <c r="J2089">
        <v>2</v>
      </c>
      <c r="K2089">
        <v>1.77</v>
      </c>
      <c r="L2089">
        <v>0</v>
      </c>
      <c r="M2089" t="s">
        <v>4810</v>
      </c>
      <c r="N2089" t="s">
        <v>4900</v>
      </c>
      <c r="O2089" t="s">
        <v>4912</v>
      </c>
    </row>
    <row r="2090" spans="1:15" x14ac:dyDescent="0.35">
      <c r="A2090" t="s">
        <v>4829</v>
      </c>
      <c r="B2090">
        <v>36</v>
      </c>
      <c r="C2090" t="s">
        <v>4802</v>
      </c>
      <c r="D2090" t="s">
        <v>14</v>
      </c>
      <c r="E2090">
        <v>24</v>
      </c>
      <c r="F2090">
        <v>49</v>
      </c>
      <c r="G2090" t="s">
        <v>4797</v>
      </c>
      <c r="H2090" t="s">
        <v>4804</v>
      </c>
      <c r="I2090">
        <v>8.99</v>
      </c>
      <c r="J2090">
        <v>1</v>
      </c>
      <c r="K2090">
        <v>0.8</v>
      </c>
      <c r="L2090">
        <v>0</v>
      </c>
      <c r="M2090" t="s">
        <v>4812</v>
      </c>
      <c r="N2090" t="s">
        <v>4900</v>
      </c>
      <c r="O2090" t="s">
        <v>4910</v>
      </c>
    </row>
    <row r="2091" spans="1:15" x14ac:dyDescent="0.35">
      <c r="A2091" t="s">
        <v>2071</v>
      </c>
      <c r="B2091">
        <v>36</v>
      </c>
      <c r="C2091" t="s">
        <v>4802</v>
      </c>
      <c r="D2091" t="s">
        <v>13</v>
      </c>
      <c r="E2091">
        <v>65</v>
      </c>
      <c r="F2091">
        <v>999</v>
      </c>
      <c r="G2091" t="s">
        <v>4798</v>
      </c>
      <c r="H2091" t="s">
        <v>4805</v>
      </c>
      <c r="I2091">
        <v>13.99</v>
      </c>
      <c r="J2091">
        <v>4</v>
      </c>
      <c r="K2091">
        <v>2.17</v>
      </c>
      <c r="L2091">
        <v>0</v>
      </c>
      <c r="M2091" t="s">
        <v>4811</v>
      </c>
      <c r="N2091" t="s">
        <v>4900</v>
      </c>
      <c r="O2091" t="s">
        <v>4910</v>
      </c>
    </row>
    <row r="2092" spans="1:15" x14ac:dyDescent="0.35">
      <c r="A2092" t="s">
        <v>2072</v>
      </c>
      <c r="B2092">
        <v>19</v>
      </c>
      <c r="C2092" t="s">
        <v>4802</v>
      </c>
      <c r="D2092" t="s">
        <v>13</v>
      </c>
      <c r="E2092">
        <v>39</v>
      </c>
      <c r="F2092">
        <v>40</v>
      </c>
      <c r="G2092" t="s">
        <v>4798</v>
      </c>
      <c r="H2092" t="s">
        <v>4806</v>
      </c>
      <c r="I2092">
        <v>13.99</v>
      </c>
      <c r="J2092">
        <v>4</v>
      </c>
      <c r="K2092">
        <v>5</v>
      </c>
      <c r="L2092">
        <v>0</v>
      </c>
      <c r="M2092" t="s">
        <v>4808</v>
      </c>
      <c r="N2092" t="s">
        <v>4900</v>
      </c>
      <c r="O2092" t="s">
        <v>4912</v>
      </c>
    </row>
    <row r="2093" spans="1:15" x14ac:dyDescent="0.35">
      <c r="A2093" t="s">
        <v>2073</v>
      </c>
      <c r="B2093">
        <v>56</v>
      </c>
      <c r="C2093" t="s">
        <v>4803</v>
      </c>
      <c r="D2093" t="s">
        <v>13</v>
      </c>
      <c r="E2093">
        <v>52</v>
      </c>
      <c r="F2093">
        <v>32</v>
      </c>
      <c r="G2093" t="s">
        <v>4798</v>
      </c>
      <c r="H2093" t="s">
        <v>4805</v>
      </c>
      <c r="I2093">
        <v>13.99</v>
      </c>
      <c r="J2093">
        <v>2</v>
      </c>
      <c r="K2093">
        <v>1.73</v>
      </c>
      <c r="L2093">
        <v>0</v>
      </c>
      <c r="M2093" t="s">
        <v>4810</v>
      </c>
      <c r="N2093" t="s">
        <v>4900</v>
      </c>
      <c r="O2093" t="s">
        <v>4911</v>
      </c>
    </row>
    <row r="2094" spans="1:15" x14ac:dyDescent="0.35">
      <c r="A2094" t="s">
        <v>2074</v>
      </c>
      <c r="B2094">
        <v>20</v>
      </c>
      <c r="C2094" t="s">
        <v>4803</v>
      </c>
      <c r="D2094" t="s">
        <v>13</v>
      </c>
      <c r="E2094">
        <v>45</v>
      </c>
      <c r="F2094">
        <v>25</v>
      </c>
      <c r="G2094" t="s">
        <v>4798</v>
      </c>
      <c r="H2094" t="s">
        <v>4805</v>
      </c>
      <c r="I2094">
        <v>13.99</v>
      </c>
      <c r="J2094">
        <v>4</v>
      </c>
      <c r="K2094">
        <v>1.5</v>
      </c>
      <c r="L2094">
        <v>0</v>
      </c>
      <c r="M2094" t="s">
        <v>4812</v>
      </c>
      <c r="N2094" t="s">
        <v>4900</v>
      </c>
      <c r="O2094" t="s">
        <v>4912</v>
      </c>
    </row>
    <row r="2095" spans="1:15" x14ac:dyDescent="0.35">
      <c r="A2095" t="s">
        <v>2075</v>
      </c>
      <c r="B2095">
        <v>20</v>
      </c>
      <c r="C2095" t="s">
        <v>4803</v>
      </c>
      <c r="D2095" t="s">
        <v>15</v>
      </c>
      <c r="E2095">
        <v>72</v>
      </c>
      <c r="F2095">
        <v>57</v>
      </c>
      <c r="G2095" t="s">
        <v>4799</v>
      </c>
      <c r="H2095" t="s">
        <v>4805</v>
      </c>
      <c r="I2095">
        <v>17.989999999999998</v>
      </c>
      <c r="J2095">
        <v>2</v>
      </c>
      <c r="K2095">
        <v>2.4</v>
      </c>
      <c r="L2095">
        <v>0</v>
      </c>
      <c r="M2095" t="s">
        <v>4809</v>
      </c>
      <c r="N2095" t="s">
        <v>4900</v>
      </c>
      <c r="O2095" t="s">
        <v>4912</v>
      </c>
    </row>
    <row r="2096" spans="1:15" x14ac:dyDescent="0.35">
      <c r="A2096" t="s">
        <v>2076</v>
      </c>
      <c r="B2096">
        <v>19</v>
      </c>
      <c r="C2096" t="s">
        <v>4803</v>
      </c>
      <c r="D2096" t="s">
        <v>15</v>
      </c>
      <c r="E2096">
        <v>58</v>
      </c>
      <c r="F2096">
        <v>60</v>
      </c>
      <c r="G2096" t="s">
        <v>4798</v>
      </c>
      <c r="H2096" t="s">
        <v>4806</v>
      </c>
      <c r="I2096">
        <v>17.989999999999998</v>
      </c>
      <c r="J2096">
        <v>5</v>
      </c>
      <c r="K2096">
        <v>2.0299999999999998</v>
      </c>
      <c r="L2096">
        <v>1</v>
      </c>
      <c r="M2096" t="s">
        <v>4808</v>
      </c>
      <c r="N2096" t="s">
        <v>4899</v>
      </c>
      <c r="O2096" t="s">
        <v>4912</v>
      </c>
    </row>
    <row r="2097" spans="1:15" x14ac:dyDescent="0.35">
      <c r="A2097" t="s">
        <v>2077</v>
      </c>
      <c r="B2097">
        <v>43</v>
      </c>
      <c r="C2097" t="s">
        <v>4803</v>
      </c>
      <c r="D2097" t="s">
        <v>13</v>
      </c>
      <c r="E2097">
        <v>70</v>
      </c>
      <c r="F2097">
        <v>44</v>
      </c>
      <c r="G2097" t="s">
        <v>4798</v>
      </c>
      <c r="H2097" t="s">
        <v>4805</v>
      </c>
      <c r="I2097">
        <v>13.99</v>
      </c>
      <c r="J2097">
        <v>2</v>
      </c>
      <c r="K2097">
        <v>2.33</v>
      </c>
      <c r="L2097">
        <v>0</v>
      </c>
      <c r="M2097" t="s">
        <v>4808</v>
      </c>
      <c r="N2097" t="s">
        <v>4900</v>
      </c>
      <c r="O2097" t="s">
        <v>4910</v>
      </c>
    </row>
    <row r="2098" spans="1:15" x14ac:dyDescent="0.35">
      <c r="A2098" t="s">
        <v>2078</v>
      </c>
      <c r="B2098">
        <v>19</v>
      </c>
      <c r="C2098" t="s">
        <v>4803</v>
      </c>
      <c r="D2098" t="s">
        <v>13</v>
      </c>
      <c r="E2098">
        <v>70</v>
      </c>
      <c r="F2098">
        <v>39</v>
      </c>
      <c r="G2098" t="s">
        <v>4797</v>
      </c>
      <c r="H2098" t="s">
        <v>4806</v>
      </c>
      <c r="I2098">
        <v>13.99</v>
      </c>
      <c r="J2098">
        <v>2</v>
      </c>
      <c r="K2098">
        <v>2.33</v>
      </c>
      <c r="L2098">
        <v>0</v>
      </c>
      <c r="M2098" t="s">
        <v>4810</v>
      </c>
      <c r="N2098" t="s">
        <v>4900</v>
      </c>
      <c r="O2098" t="s">
        <v>4912</v>
      </c>
    </row>
    <row r="2099" spans="1:15" x14ac:dyDescent="0.35">
      <c r="A2099" t="s">
        <v>2079</v>
      </c>
      <c r="B2099">
        <v>31</v>
      </c>
      <c r="C2099" t="s">
        <v>4803</v>
      </c>
      <c r="D2099" t="s">
        <v>13</v>
      </c>
      <c r="E2099">
        <v>77</v>
      </c>
      <c r="F2099">
        <v>38</v>
      </c>
      <c r="G2099" t="s">
        <v>4799</v>
      </c>
      <c r="H2099" t="s">
        <v>4805</v>
      </c>
      <c r="I2099">
        <v>13.99</v>
      </c>
      <c r="J2099">
        <v>2</v>
      </c>
      <c r="K2099">
        <v>2.57</v>
      </c>
      <c r="L2099">
        <v>0</v>
      </c>
      <c r="M2099" t="s">
        <v>4810</v>
      </c>
      <c r="N2099" t="s">
        <v>4900</v>
      </c>
      <c r="O2099" t="s">
        <v>4912</v>
      </c>
    </row>
    <row r="2100" spans="1:15" x14ac:dyDescent="0.35">
      <c r="A2100" t="s">
        <v>2080</v>
      </c>
      <c r="B2100">
        <v>26</v>
      </c>
      <c r="C2100" t="s">
        <v>4803</v>
      </c>
      <c r="D2100" t="s">
        <v>15</v>
      </c>
      <c r="E2100">
        <v>54</v>
      </c>
      <c r="F2100">
        <v>6</v>
      </c>
      <c r="G2100" t="s">
        <v>4800</v>
      </c>
      <c r="H2100" t="s">
        <v>4805</v>
      </c>
      <c r="I2100">
        <v>17.989999999999998</v>
      </c>
      <c r="J2100">
        <v>4</v>
      </c>
      <c r="K2100">
        <v>2.0299999999999998</v>
      </c>
      <c r="L2100">
        <v>0</v>
      </c>
      <c r="M2100" t="s">
        <v>4810</v>
      </c>
      <c r="N2100" t="s">
        <v>4900</v>
      </c>
      <c r="O2100" t="s">
        <v>4912</v>
      </c>
    </row>
    <row r="2101" spans="1:15" x14ac:dyDescent="0.35">
      <c r="A2101" t="s">
        <v>2081</v>
      </c>
      <c r="B2101">
        <v>46</v>
      </c>
      <c r="C2101" t="s">
        <v>4803</v>
      </c>
      <c r="D2101" t="s">
        <v>13</v>
      </c>
      <c r="E2101">
        <v>50</v>
      </c>
      <c r="F2101">
        <v>35</v>
      </c>
      <c r="G2101" t="s">
        <v>4798</v>
      </c>
      <c r="H2101" t="s">
        <v>4805</v>
      </c>
      <c r="I2101">
        <v>13.99</v>
      </c>
      <c r="J2101">
        <v>2</v>
      </c>
      <c r="K2101">
        <v>1.67</v>
      </c>
      <c r="L2101">
        <v>0</v>
      </c>
      <c r="M2101" t="s">
        <v>4812</v>
      </c>
      <c r="N2101" t="s">
        <v>4900</v>
      </c>
      <c r="O2101" t="s">
        <v>4910</v>
      </c>
    </row>
    <row r="2102" spans="1:15" x14ac:dyDescent="0.35">
      <c r="A2102" t="s">
        <v>2082</v>
      </c>
      <c r="B2102">
        <v>45</v>
      </c>
      <c r="C2102" t="s">
        <v>4803</v>
      </c>
      <c r="D2102" t="s">
        <v>14</v>
      </c>
      <c r="E2102">
        <v>46</v>
      </c>
      <c r="F2102">
        <v>18</v>
      </c>
      <c r="G2102" t="s">
        <v>4798</v>
      </c>
      <c r="H2102" t="s">
        <v>4807</v>
      </c>
      <c r="I2102">
        <v>8.99</v>
      </c>
      <c r="J2102">
        <v>1</v>
      </c>
      <c r="K2102">
        <v>1.53</v>
      </c>
      <c r="L2102">
        <v>0</v>
      </c>
      <c r="M2102" t="s">
        <v>4812</v>
      </c>
      <c r="N2102" t="s">
        <v>4900</v>
      </c>
      <c r="O2102" t="s">
        <v>4910</v>
      </c>
    </row>
    <row r="2103" spans="1:15" x14ac:dyDescent="0.35">
      <c r="A2103" t="s">
        <v>2083</v>
      </c>
      <c r="B2103">
        <v>53</v>
      </c>
      <c r="C2103" t="s">
        <v>4803</v>
      </c>
      <c r="D2103" t="s">
        <v>13</v>
      </c>
      <c r="E2103">
        <v>79</v>
      </c>
      <c r="F2103">
        <v>1</v>
      </c>
      <c r="G2103" t="s">
        <v>4797</v>
      </c>
      <c r="H2103" t="s">
        <v>4807</v>
      </c>
      <c r="I2103">
        <v>13.99</v>
      </c>
      <c r="J2103">
        <v>3</v>
      </c>
      <c r="K2103">
        <v>2.63</v>
      </c>
      <c r="L2103">
        <v>0</v>
      </c>
      <c r="M2103" t="s">
        <v>4810</v>
      </c>
      <c r="N2103" t="s">
        <v>4900</v>
      </c>
      <c r="O2103" t="s">
        <v>4910</v>
      </c>
    </row>
    <row r="2104" spans="1:15" x14ac:dyDescent="0.35">
      <c r="A2104" t="s">
        <v>2084</v>
      </c>
      <c r="B2104">
        <v>57</v>
      </c>
      <c r="C2104" t="s">
        <v>4802</v>
      </c>
      <c r="D2104" t="s">
        <v>15</v>
      </c>
      <c r="E2104">
        <v>111</v>
      </c>
      <c r="F2104">
        <v>9</v>
      </c>
      <c r="G2104" t="s">
        <v>4798</v>
      </c>
      <c r="H2104" t="s">
        <v>4806</v>
      </c>
      <c r="I2104">
        <v>17.989999999999998</v>
      </c>
      <c r="J2104">
        <v>2</v>
      </c>
      <c r="K2104">
        <v>5</v>
      </c>
      <c r="L2104">
        <v>0</v>
      </c>
      <c r="M2104" t="s">
        <v>4810</v>
      </c>
      <c r="N2104" t="s">
        <v>4900</v>
      </c>
      <c r="O2104" t="s">
        <v>4911</v>
      </c>
    </row>
    <row r="2105" spans="1:15" x14ac:dyDescent="0.35">
      <c r="A2105" t="s">
        <v>2085</v>
      </c>
      <c r="B2105">
        <v>19</v>
      </c>
      <c r="C2105" t="s">
        <v>4802</v>
      </c>
      <c r="D2105" t="s">
        <v>13</v>
      </c>
      <c r="E2105">
        <v>79</v>
      </c>
      <c r="F2105">
        <v>5</v>
      </c>
      <c r="G2105" t="s">
        <v>4797</v>
      </c>
      <c r="H2105" t="s">
        <v>4806</v>
      </c>
      <c r="I2105">
        <v>13.99</v>
      </c>
      <c r="J2105">
        <v>3</v>
      </c>
      <c r="K2105">
        <v>2.63</v>
      </c>
      <c r="L2105">
        <v>0</v>
      </c>
      <c r="M2105" t="s">
        <v>4810</v>
      </c>
      <c r="N2105" t="s">
        <v>4900</v>
      </c>
      <c r="O2105" t="s">
        <v>4912</v>
      </c>
    </row>
    <row r="2106" spans="1:15" x14ac:dyDescent="0.35">
      <c r="A2106" t="s">
        <v>2086</v>
      </c>
      <c r="B2106">
        <v>63</v>
      </c>
      <c r="C2106" t="s">
        <v>4803</v>
      </c>
      <c r="D2106" t="s">
        <v>15</v>
      </c>
      <c r="E2106">
        <v>62</v>
      </c>
      <c r="F2106">
        <v>42</v>
      </c>
      <c r="G2106" t="s">
        <v>4797</v>
      </c>
      <c r="H2106" t="s">
        <v>4805</v>
      </c>
      <c r="I2106">
        <v>17.989999999999998</v>
      </c>
      <c r="J2106">
        <v>4</v>
      </c>
      <c r="K2106">
        <v>2.0699999999999998</v>
      </c>
      <c r="L2106">
        <v>0</v>
      </c>
      <c r="M2106" t="s">
        <v>4810</v>
      </c>
      <c r="N2106" t="s">
        <v>4900</v>
      </c>
      <c r="O2106" t="s">
        <v>4911</v>
      </c>
    </row>
    <row r="2107" spans="1:15" x14ac:dyDescent="0.35">
      <c r="A2107" t="s">
        <v>2087</v>
      </c>
      <c r="B2107">
        <v>48</v>
      </c>
      <c r="C2107" t="s">
        <v>4803</v>
      </c>
      <c r="D2107" t="s">
        <v>14</v>
      </c>
      <c r="E2107">
        <v>32</v>
      </c>
      <c r="F2107">
        <v>52</v>
      </c>
      <c r="G2107" t="s">
        <v>4798</v>
      </c>
      <c r="H2107" t="s">
        <v>4805</v>
      </c>
      <c r="I2107">
        <v>8.99</v>
      </c>
      <c r="J2107">
        <v>1</v>
      </c>
      <c r="K2107">
        <v>1.07</v>
      </c>
      <c r="L2107">
        <v>0</v>
      </c>
      <c r="M2107" t="s">
        <v>4808</v>
      </c>
      <c r="N2107" t="s">
        <v>4900</v>
      </c>
      <c r="O2107" t="s">
        <v>4910</v>
      </c>
    </row>
    <row r="2108" spans="1:15" x14ac:dyDescent="0.35">
      <c r="A2108" t="s">
        <v>2088</v>
      </c>
      <c r="B2108">
        <v>19</v>
      </c>
      <c r="C2108" t="s">
        <v>4802</v>
      </c>
      <c r="D2108" t="s">
        <v>15</v>
      </c>
      <c r="E2108">
        <v>63</v>
      </c>
      <c r="F2108">
        <v>13</v>
      </c>
      <c r="G2108" t="s">
        <v>4797</v>
      </c>
      <c r="H2108" t="s">
        <v>4804</v>
      </c>
      <c r="I2108">
        <v>17.989999999999998</v>
      </c>
      <c r="J2108">
        <v>5</v>
      </c>
      <c r="K2108">
        <v>2.1</v>
      </c>
      <c r="L2108">
        <v>0</v>
      </c>
      <c r="M2108" t="s">
        <v>4809</v>
      </c>
      <c r="N2108" t="s">
        <v>4900</v>
      </c>
      <c r="O2108" t="s">
        <v>4912</v>
      </c>
    </row>
    <row r="2109" spans="1:15" x14ac:dyDescent="0.35">
      <c r="A2109" t="s">
        <v>2089</v>
      </c>
      <c r="B2109">
        <v>31</v>
      </c>
      <c r="C2109" t="s">
        <v>4803</v>
      </c>
      <c r="D2109" t="s">
        <v>15</v>
      </c>
      <c r="E2109">
        <v>50</v>
      </c>
      <c r="F2109">
        <v>5</v>
      </c>
      <c r="G2109" t="s">
        <v>4800</v>
      </c>
      <c r="H2109" t="s">
        <v>4807</v>
      </c>
      <c r="I2109">
        <v>17.989999999999998</v>
      </c>
      <c r="J2109">
        <v>5</v>
      </c>
      <c r="K2109">
        <v>1.67</v>
      </c>
      <c r="L2109">
        <v>0</v>
      </c>
      <c r="M2109" t="s">
        <v>4810</v>
      </c>
      <c r="N2109" t="s">
        <v>4900</v>
      </c>
      <c r="O2109" t="s">
        <v>4912</v>
      </c>
    </row>
    <row r="2110" spans="1:15" x14ac:dyDescent="0.35">
      <c r="A2110" t="s">
        <v>2090</v>
      </c>
      <c r="B2110">
        <v>53</v>
      </c>
      <c r="C2110" t="s">
        <v>4803</v>
      </c>
      <c r="D2110" t="s">
        <v>13</v>
      </c>
      <c r="E2110">
        <v>39</v>
      </c>
      <c r="F2110">
        <v>3</v>
      </c>
      <c r="G2110" t="s">
        <v>4798</v>
      </c>
      <c r="H2110" t="s">
        <v>4804</v>
      </c>
      <c r="I2110">
        <v>13.99</v>
      </c>
      <c r="J2110">
        <v>3</v>
      </c>
      <c r="K2110">
        <v>1.3</v>
      </c>
      <c r="L2110">
        <v>0</v>
      </c>
      <c r="M2110" t="s">
        <v>4810</v>
      </c>
      <c r="N2110" t="s">
        <v>4900</v>
      </c>
      <c r="O2110" t="s">
        <v>4910</v>
      </c>
    </row>
    <row r="2111" spans="1:15" x14ac:dyDescent="0.35">
      <c r="A2111" t="s">
        <v>2091</v>
      </c>
      <c r="B2111">
        <v>65</v>
      </c>
      <c r="C2111" t="s">
        <v>4803</v>
      </c>
      <c r="D2111" t="s">
        <v>14</v>
      </c>
      <c r="E2111">
        <v>36</v>
      </c>
      <c r="F2111">
        <v>6</v>
      </c>
      <c r="G2111" t="s">
        <v>4798</v>
      </c>
      <c r="H2111" t="s">
        <v>4804</v>
      </c>
      <c r="I2111">
        <v>8.99</v>
      </c>
      <c r="J2111">
        <v>1</v>
      </c>
      <c r="K2111">
        <v>1.2</v>
      </c>
      <c r="L2111">
        <v>0</v>
      </c>
      <c r="M2111" t="s">
        <v>4811</v>
      </c>
      <c r="N2111" t="s">
        <v>4900</v>
      </c>
      <c r="O2111" t="s">
        <v>4911</v>
      </c>
    </row>
    <row r="2112" spans="1:15" x14ac:dyDescent="0.35">
      <c r="A2112" t="s">
        <v>2092</v>
      </c>
      <c r="B2112">
        <v>50</v>
      </c>
      <c r="C2112" t="s">
        <v>4803</v>
      </c>
      <c r="D2112" t="s">
        <v>13</v>
      </c>
      <c r="E2112">
        <v>43</v>
      </c>
      <c r="F2112">
        <v>44</v>
      </c>
      <c r="G2112" t="s">
        <v>4799</v>
      </c>
      <c r="H2112" t="s">
        <v>4804</v>
      </c>
      <c r="I2112">
        <v>13.99</v>
      </c>
      <c r="J2112">
        <v>4</v>
      </c>
      <c r="K2112">
        <v>1.43</v>
      </c>
      <c r="L2112">
        <v>0</v>
      </c>
      <c r="M2112" t="s">
        <v>4809</v>
      </c>
      <c r="N2112" t="s">
        <v>4900</v>
      </c>
      <c r="O2112" t="s">
        <v>4910</v>
      </c>
    </row>
    <row r="2113" spans="1:15" x14ac:dyDescent="0.35">
      <c r="A2113" t="s">
        <v>2093</v>
      </c>
      <c r="B2113">
        <v>63</v>
      </c>
      <c r="C2113" t="s">
        <v>4802</v>
      </c>
      <c r="D2113" t="s">
        <v>15</v>
      </c>
      <c r="E2113">
        <v>50</v>
      </c>
      <c r="F2113">
        <v>26</v>
      </c>
      <c r="G2113" t="s">
        <v>4799</v>
      </c>
      <c r="H2113" t="s">
        <v>4806</v>
      </c>
      <c r="I2113">
        <v>17.989999999999998</v>
      </c>
      <c r="J2113">
        <v>3</v>
      </c>
      <c r="K2113">
        <v>1.67</v>
      </c>
      <c r="L2113">
        <v>0</v>
      </c>
      <c r="M2113" t="s">
        <v>4811</v>
      </c>
      <c r="N2113" t="s">
        <v>4900</v>
      </c>
      <c r="O2113" t="s">
        <v>4911</v>
      </c>
    </row>
    <row r="2114" spans="1:15" x14ac:dyDescent="0.35">
      <c r="A2114" t="s">
        <v>2094</v>
      </c>
      <c r="B2114">
        <v>63</v>
      </c>
      <c r="C2114" t="s">
        <v>4803</v>
      </c>
      <c r="D2114" t="s">
        <v>15</v>
      </c>
      <c r="E2114">
        <v>93</v>
      </c>
      <c r="F2114">
        <v>22</v>
      </c>
      <c r="G2114" t="s">
        <v>4798</v>
      </c>
      <c r="H2114" t="s">
        <v>4804</v>
      </c>
      <c r="I2114">
        <v>17.989999999999998</v>
      </c>
      <c r="J2114">
        <v>5</v>
      </c>
      <c r="K2114">
        <v>3.1</v>
      </c>
      <c r="L2114">
        <v>0</v>
      </c>
      <c r="M2114" t="s">
        <v>4808</v>
      </c>
      <c r="N2114" t="s">
        <v>4900</v>
      </c>
      <c r="O2114" t="s">
        <v>4911</v>
      </c>
    </row>
    <row r="2115" spans="1:15" x14ac:dyDescent="0.35">
      <c r="A2115" t="s">
        <v>2095</v>
      </c>
      <c r="B2115">
        <v>30</v>
      </c>
      <c r="C2115" t="s">
        <v>4803</v>
      </c>
      <c r="D2115" t="s">
        <v>13</v>
      </c>
      <c r="E2115">
        <v>30</v>
      </c>
      <c r="F2115">
        <v>19</v>
      </c>
      <c r="G2115" t="s">
        <v>4799</v>
      </c>
      <c r="H2115" t="s">
        <v>4804</v>
      </c>
      <c r="I2115">
        <v>13.99</v>
      </c>
      <c r="J2115">
        <v>2</v>
      </c>
      <c r="K2115">
        <v>1</v>
      </c>
      <c r="L2115">
        <v>0</v>
      </c>
      <c r="M2115" t="s">
        <v>4809</v>
      </c>
      <c r="N2115" t="s">
        <v>4900</v>
      </c>
      <c r="O2115" t="s">
        <v>4912</v>
      </c>
    </row>
    <row r="2116" spans="1:15" x14ac:dyDescent="0.35">
      <c r="A2116" t="s">
        <v>2096</v>
      </c>
      <c r="B2116">
        <v>43</v>
      </c>
      <c r="C2116" t="s">
        <v>4803</v>
      </c>
      <c r="D2116" t="s">
        <v>13</v>
      </c>
      <c r="E2116">
        <v>67</v>
      </c>
      <c r="F2116">
        <v>33</v>
      </c>
      <c r="G2116" t="s">
        <v>4798</v>
      </c>
      <c r="H2116" t="s">
        <v>4805</v>
      </c>
      <c r="I2116">
        <v>13.99</v>
      </c>
      <c r="J2116">
        <v>1</v>
      </c>
      <c r="K2116">
        <v>2.23</v>
      </c>
      <c r="L2116">
        <v>0</v>
      </c>
      <c r="M2116" t="s">
        <v>4812</v>
      </c>
      <c r="N2116" t="s">
        <v>4900</v>
      </c>
      <c r="O2116" t="s">
        <v>4910</v>
      </c>
    </row>
    <row r="2117" spans="1:15" x14ac:dyDescent="0.35">
      <c r="A2117" t="s">
        <v>2097</v>
      </c>
      <c r="B2117">
        <v>65</v>
      </c>
      <c r="C2117" t="s">
        <v>4803</v>
      </c>
      <c r="D2117" t="s">
        <v>13</v>
      </c>
      <c r="E2117">
        <v>62</v>
      </c>
      <c r="F2117">
        <v>2</v>
      </c>
      <c r="G2117" t="s">
        <v>4799</v>
      </c>
      <c r="H2117" t="s">
        <v>4806</v>
      </c>
      <c r="I2117">
        <v>13.99</v>
      </c>
      <c r="J2117">
        <v>2</v>
      </c>
      <c r="K2117">
        <v>2.0699999999999998</v>
      </c>
      <c r="L2117">
        <v>0</v>
      </c>
      <c r="M2117" t="s">
        <v>4810</v>
      </c>
      <c r="N2117" t="s">
        <v>4900</v>
      </c>
      <c r="O2117" t="s">
        <v>4911</v>
      </c>
    </row>
    <row r="2118" spans="1:15" x14ac:dyDescent="0.35">
      <c r="A2118" t="s">
        <v>2098</v>
      </c>
      <c r="B2118">
        <v>53</v>
      </c>
      <c r="C2118" t="s">
        <v>4802</v>
      </c>
      <c r="D2118" t="s">
        <v>13</v>
      </c>
      <c r="E2118">
        <v>78</v>
      </c>
      <c r="F2118">
        <v>43</v>
      </c>
      <c r="G2118" t="s">
        <v>4798</v>
      </c>
      <c r="H2118" t="s">
        <v>4804</v>
      </c>
      <c r="I2118">
        <v>13.99</v>
      </c>
      <c r="J2118">
        <v>1</v>
      </c>
      <c r="K2118">
        <v>2.6</v>
      </c>
      <c r="L2118">
        <v>1</v>
      </c>
      <c r="M2118" t="s">
        <v>4808</v>
      </c>
      <c r="N2118" t="s">
        <v>4899</v>
      </c>
      <c r="O2118" t="s">
        <v>4910</v>
      </c>
    </row>
    <row r="2119" spans="1:15" x14ac:dyDescent="0.35">
      <c r="A2119" t="s">
        <v>2099</v>
      </c>
      <c r="B2119">
        <v>57</v>
      </c>
      <c r="C2119" t="s">
        <v>4803</v>
      </c>
      <c r="D2119" t="s">
        <v>13</v>
      </c>
      <c r="E2119">
        <v>32</v>
      </c>
      <c r="F2119">
        <v>11</v>
      </c>
      <c r="G2119" t="s">
        <v>4800</v>
      </c>
      <c r="H2119" t="s">
        <v>4805</v>
      </c>
      <c r="I2119">
        <v>13.99</v>
      </c>
      <c r="J2119">
        <v>4</v>
      </c>
      <c r="K2119">
        <v>2.0299999999999998</v>
      </c>
      <c r="L2119">
        <v>0</v>
      </c>
      <c r="M2119" t="s">
        <v>4808</v>
      </c>
      <c r="N2119" t="s">
        <v>4900</v>
      </c>
      <c r="O2119" t="s">
        <v>4911</v>
      </c>
    </row>
    <row r="2120" spans="1:15" x14ac:dyDescent="0.35">
      <c r="A2120" t="s">
        <v>2100</v>
      </c>
      <c r="B2120">
        <v>25</v>
      </c>
      <c r="C2120" t="s">
        <v>4803</v>
      </c>
      <c r="D2120" t="s">
        <v>13</v>
      </c>
      <c r="E2120">
        <v>42</v>
      </c>
      <c r="F2120">
        <v>59</v>
      </c>
      <c r="G2120" t="s">
        <v>4799</v>
      </c>
      <c r="H2120" t="s">
        <v>4805</v>
      </c>
      <c r="I2120">
        <v>13.99</v>
      </c>
      <c r="J2120">
        <v>1</v>
      </c>
      <c r="K2120">
        <v>1.4</v>
      </c>
      <c r="L2120">
        <v>0</v>
      </c>
      <c r="M2120" t="s">
        <v>4809</v>
      </c>
      <c r="N2120" t="s">
        <v>4900</v>
      </c>
      <c r="O2120" t="s">
        <v>4912</v>
      </c>
    </row>
    <row r="2121" spans="1:15" x14ac:dyDescent="0.35">
      <c r="A2121" t="s">
        <v>2101</v>
      </c>
      <c r="B2121">
        <v>59</v>
      </c>
      <c r="C2121" t="s">
        <v>4802</v>
      </c>
      <c r="D2121" t="s">
        <v>13</v>
      </c>
      <c r="E2121">
        <v>31</v>
      </c>
      <c r="F2121">
        <v>0</v>
      </c>
      <c r="G2121" t="s">
        <v>4799</v>
      </c>
      <c r="H2121" t="s">
        <v>4805</v>
      </c>
      <c r="I2121">
        <v>13.99</v>
      </c>
      <c r="J2121">
        <v>3</v>
      </c>
      <c r="K2121">
        <v>1.03</v>
      </c>
      <c r="L2121">
        <v>0</v>
      </c>
      <c r="M2121" t="s">
        <v>4811</v>
      </c>
      <c r="N2121" t="s">
        <v>4900</v>
      </c>
      <c r="O2121" t="s">
        <v>4911</v>
      </c>
    </row>
    <row r="2122" spans="1:15" x14ac:dyDescent="0.35">
      <c r="A2122" t="s">
        <v>2102</v>
      </c>
      <c r="B2122">
        <v>60</v>
      </c>
      <c r="C2122" t="s">
        <v>4802</v>
      </c>
      <c r="D2122" t="s">
        <v>13</v>
      </c>
      <c r="E2122">
        <v>47</v>
      </c>
      <c r="F2122">
        <v>8</v>
      </c>
      <c r="G2122" t="s">
        <v>4797</v>
      </c>
      <c r="H2122" t="s">
        <v>4804</v>
      </c>
      <c r="I2122">
        <v>13.99</v>
      </c>
      <c r="J2122">
        <v>1</v>
      </c>
      <c r="K2122">
        <v>1.57</v>
      </c>
      <c r="L2122">
        <v>0</v>
      </c>
      <c r="M2122" t="s">
        <v>4809</v>
      </c>
      <c r="N2122" t="s">
        <v>4900</v>
      </c>
      <c r="O2122" t="s">
        <v>4911</v>
      </c>
    </row>
    <row r="2123" spans="1:15" x14ac:dyDescent="0.35">
      <c r="A2123" t="s">
        <v>2103</v>
      </c>
      <c r="B2123">
        <v>18</v>
      </c>
      <c r="C2123" t="s">
        <v>4802</v>
      </c>
      <c r="D2123" t="s">
        <v>13</v>
      </c>
      <c r="E2123">
        <v>75</v>
      </c>
      <c r="F2123">
        <v>46</v>
      </c>
      <c r="G2123" t="s">
        <v>4798</v>
      </c>
      <c r="H2123" t="s">
        <v>4806</v>
      </c>
      <c r="I2123">
        <v>13.99</v>
      </c>
      <c r="J2123">
        <v>2</v>
      </c>
      <c r="K2123">
        <v>2.5</v>
      </c>
      <c r="L2123">
        <v>0</v>
      </c>
      <c r="M2123" t="s">
        <v>4810</v>
      </c>
      <c r="N2123" t="s">
        <v>4900</v>
      </c>
      <c r="O2123" t="s">
        <v>4912</v>
      </c>
    </row>
    <row r="2124" spans="1:15" x14ac:dyDescent="0.35">
      <c r="A2124" t="s">
        <v>2104</v>
      </c>
      <c r="B2124">
        <v>62</v>
      </c>
      <c r="C2124" t="s">
        <v>4803</v>
      </c>
      <c r="D2124" t="s">
        <v>15</v>
      </c>
      <c r="E2124">
        <v>113</v>
      </c>
      <c r="F2124">
        <v>10</v>
      </c>
      <c r="G2124" t="s">
        <v>4798</v>
      </c>
      <c r="H2124" t="s">
        <v>4806</v>
      </c>
      <c r="I2124">
        <v>17.989999999999998</v>
      </c>
      <c r="J2124">
        <v>3</v>
      </c>
      <c r="K2124">
        <v>3.77</v>
      </c>
      <c r="L2124">
        <v>0</v>
      </c>
      <c r="M2124" t="s">
        <v>4809</v>
      </c>
      <c r="N2124" t="s">
        <v>4900</v>
      </c>
      <c r="O2124" t="s">
        <v>4911</v>
      </c>
    </row>
    <row r="2125" spans="1:15" x14ac:dyDescent="0.35">
      <c r="A2125" t="s">
        <v>2105</v>
      </c>
      <c r="B2125">
        <v>20</v>
      </c>
      <c r="C2125" t="s">
        <v>4803</v>
      </c>
      <c r="D2125" t="s">
        <v>15</v>
      </c>
      <c r="E2125">
        <v>92</v>
      </c>
      <c r="F2125">
        <v>999</v>
      </c>
      <c r="G2125" t="s">
        <v>4799</v>
      </c>
      <c r="H2125" t="s">
        <v>4805</v>
      </c>
      <c r="I2125">
        <v>17.989999999999998</v>
      </c>
      <c r="J2125">
        <v>2</v>
      </c>
      <c r="K2125">
        <v>3.07</v>
      </c>
      <c r="L2125">
        <v>0</v>
      </c>
      <c r="M2125" t="s">
        <v>4812</v>
      </c>
      <c r="N2125" t="s">
        <v>4900</v>
      </c>
      <c r="O2125" t="s">
        <v>4912</v>
      </c>
    </row>
    <row r="2126" spans="1:15" x14ac:dyDescent="0.35">
      <c r="A2126" t="s">
        <v>2106</v>
      </c>
      <c r="B2126">
        <v>45</v>
      </c>
      <c r="C2126" t="s">
        <v>4803</v>
      </c>
      <c r="D2126" t="s">
        <v>13</v>
      </c>
      <c r="E2126">
        <v>61</v>
      </c>
      <c r="F2126">
        <v>4</v>
      </c>
      <c r="G2126" t="s">
        <v>4798</v>
      </c>
      <c r="H2126" t="s">
        <v>4807</v>
      </c>
      <c r="I2126">
        <v>13.99</v>
      </c>
      <c r="J2126">
        <v>2</v>
      </c>
      <c r="K2126">
        <v>2.0299999999999998</v>
      </c>
      <c r="L2126">
        <v>0</v>
      </c>
      <c r="M2126" t="s">
        <v>4812</v>
      </c>
      <c r="N2126" t="s">
        <v>4900</v>
      </c>
      <c r="O2126" t="s">
        <v>4910</v>
      </c>
    </row>
    <row r="2127" spans="1:15" x14ac:dyDescent="0.35">
      <c r="A2127" t="s">
        <v>2107</v>
      </c>
      <c r="B2127">
        <v>48</v>
      </c>
      <c r="C2127" t="s">
        <v>4803</v>
      </c>
      <c r="D2127" t="s">
        <v>15</v>
      </c>
      <c r="E2127">
        <v>70</v>
      </c>
      <c r="F2127">
        <v>47</v>
      </c>
      <c r="G2127" t="s">
        <v>4797</v>
      </c>
      <c r="H2127" t="s">
        <v>4806</v>
      </c>
      <c r="I2127">
        <v>17.989999999999998</v>
      </c>
      <c r="J2127">
        <v>4</v>
      </c>
      <c r="K2127">
        <v>2.33</v>
      </c>
      <c r="L2127">
        <v>0</v>
      </c>
      <c r="M2127" t="s">
        <v>4808</v>
      </c>
      <c r="N2127" t="s">
        <v>4900</v>
      </c>
      <c r="O2127" t="s">
        <v>4910</v>
      </c>
    </row>
    <row r="2128" spans="1:15" x14ac:dyDescent="0.35">
      <c r="A2128" t="s">
        <v>2108</v>
      </c>
      <c r="B2128">
        <v>40</v>
      </c>
      <c r="C2128" t="s">
        <v>4803</v>
      </c>
      <c r="D2128" t="s">
        <v>13</v>
      </c>
      <c r="E2128">
        <v>50</v>
      </c>
      <c r="F2128">
        <v>36</v>
      </c>
      <c r="G2128" t="s">
        <v>4799</v>
      </c>
      <c r="H2128" t="s">
        <v>4804</v>
      </c>
      <c r="I2128">
        <v>13.99</v>
      </c>
      <c r="J2128">
        <v>1</v>
      </c>
      <c r="K2128">
        <v>5</v>
      </c>
      <c r="L2128">
        <v>1</v>
      </c>
      <c r="M2128" t="s">
        <v>4810</v>
      </c>
      <c r="N2128" t="s">
        <v>4899</v>
      </c>
      <c r="O2128" t="s">
        <v>4910</v>
      </c>
    </row>
    <row r="2129" spans="1:15" x14ac:dyDescent="0.35">
      <c r="A2129" t="s">
        <v>2109</v>
      </c>
      <c r="B2129">
        <v>35</v>
      </c>
      <c r="C2129" t="s">
        <v>4802</v>
      </c>
      <c r="D2129" t="s">
        <v>13</v>
      </c>
      <c r="E2129">
        <v>40</v>
      </c>
      <c r="F2129">
        <v>9</v>
      </c>
      <c r="G2129" t="s">
        <v>4798</v>
      </c>
      <c r="H2129" t="s">
        <v>4806</v>
      </c>
      <c r="I2129">
        <v>13.99</v>
      </c>
      <c r="J2129">
        <v>3</v>
      </c>
      <c r="K2129">
        <v>1.33</v>
      </c>
      <c r="L2129">
        <v>0</v>
      </c>
      <c r="M2129" t="s">
        <v>4810</v>
      </c>
      <c r="N2129" t="s">
        <v>4900</v>
      </c>
      <c r="O2129" t="s">
        <v>4910</v>
      </c>
    </row>
    <row r="2130" spans="1:15" x14ac:dyDescent="0.35">
      <c r="A2130" t="s">
        <v>2110</v>
      </c>
      <c r="B2130">
        <v>55</v>
      </c>
      <c r="C2130" t="s">
        <v>4803</v>
      </c>
      <c r="D2130" t="s">
        <v>13</v>
      </c>
      <c r="E2130">
        <v>53</v>
      </c>
      <c r="F2130">
        <v>57</v>
      </c>
      <c r="G2130" t="s">
        <v>4799</v>
      </c>
      <c r="H2130" t="s">
        <v>4806</v>
      </c>
      <c r="I2130">
        <v>13.99</v>
      </c>
      <c r="J2130">
        <v>2</v>
      </c>
      <c r="K2130">
        <v>1.77</v>
      </c>
      <c r="L2130">
        <v>0</v>
      </c>
      <c r="M2130" t="s">
        <v>4808</v>
      </c>
      <c r="N2130" t="s">
        <v>4900</v>
      </c>
      <c r="O2130" t="s">
        <v>4911</v>
      </c>
    </row>
    <row r="2131" spans="1:15" x14ac:dyDescent="0.35">
      <c r="A2131" t="s">
        <v>2111</v>
      </c>
      <c r="B2131">
        <v>53</v>
      </c>
      <c r="C2131" t="s">
        <v>4803</v>
      </c>
      <c r="D2131" t="s">
        <v>13</v>
      </c>
      <c r="E2131">
        <v>37</v>
      </c>
      <c r="F2131">
        <v>13</v>
      </c>
      <c r="G2131" t="s">
        <v>4799</v>
      </c>
      <c r="H2131" t="s">
        <v>4805</v>
      </c>
      <c r="I2131">
        <v>13.99</v>
      </c>
      <c r="J2131">
        <v>3</v>
      </c>
      <c r="K2131">
        <v>1.23</v>
      </c>
      <c r="L2131">
        <v>0</v>
      </c>
      <c r="M2131" t="s">
        <v>4811</v>
      </c>
      <c r="N2131" t="s">
        <v>4900</v>
      </c>
      <c r="O2131" t="s">
        <v>4910</v>
      </c>
    </row>
    <row r="2132" spans="1:15" x14ac:dyDescent="0.35">
      <c r="A2132" t="s">
        <v>2112</v>
      </c>
      <c r="B2132">
        <v>64</v>
      </c>
      <c r="C2132" t="s">
        <v>4802</v>
      </c>
      <c r="D2132" t="s">
        <v>15</v>
      </c>
      <c r="E2132">
        <v>90</v>
      </c>
      <c r="F2132">
        <v>10</v>
      </c>
      <c r="G2132" t="s">
        <v>4797</v>
      </c>
      <c r="H2132" t="s">
        <v>4804</v>
      </c>
      <c r="I2132">
        <v>17.989999999999998</v>
      </c>
      <c r="J2132">
        <v>4</v>
      </c>
      <c r="K2132">
        <v>3</v>
      </c>
      <c r="L2132">
        <v>0</v>
      </c>
      <c r="M2132" t="s">
        <v>4809</v>
      </c>
      <c r="N2132" t="s">
        <v>4900</v>
      </c>
      <c r="O2132" t="s">
        <v>4911</v>
      </c>
    </row>
    <row r="2133" spans="1:15" x14ac:dyDescent="0.35">
      <c r="A2133" t="s">
        <v>2113</v>
      </c>
      <c r="B2133">
        <v>58</v>
      </c>
      <c r="C2133" t="s">
        <v>4803</v>
      </c>
      <c r="D2133" t="s">
        <v>13</v>
      </c>
      <c r="E2133">
        <v>50</v>
      </c>
      <c r="F2133">
        <v>49</v>
      </c>
      <c r="G2133" t="s">
        <v>4799</v>
      </c>
      <c r="H2133" t="s">
        <v>4804</v>
      </c>
      <c r="I2133">
        <v>13.99</v>
      </c>
      <c r="J2133">
        <v>3</v>
      </c>
      <c r="K2133">
        <v>1.67</v>
      </c>
      <c r="L2133">
        <v>0</v>
      </c>
      <c r="M2133" t="s">
        <v>4812</v>
      </c>
      <c r="N2133" t="s">
        <v>4900</v>
      </c>
      <c r="O2133" t="s">
        <v>4911</v>
      </c>
    </row>
    <row r="2134" spans="1:15" x14ac:dyDescent="0.35">
      <c r="A2134" t="s">
        <v>2114</v>
      </c>
      <c r="B2134">
        <v>64</v>
      </c>
      <c r="C2134" t="s">
        <v>4803</v>
      </c>
      <c r="D2134" t="s">
        <v>13</v>
      </c>
      <c r="E2134">
        <v>74</v>
      </c>
      <c r="F2134">
        <v>4</v>
      </c>
      <c r="G2134" t="s">
        <v>4797</v>
      </c>
      <c r="H2134" t="s">
        <v>4806</v>
      </c>
      <c r="I2134">
        <v>13.99</v>
      </c>
      <c r="J2134">
        <v>4</v>
      </c>
      <c r="K2134">
        <v>2.4700000000000002</v>
      </c>
      <c r="L2134">
        <v>0</v>
      </c>
      <c r="M2134" t="s">
        <v>4810</v>
      </c>
      <c r="N2134" t="s">
        <v>4900</v>
      </c>
      <c r="O2134" t="s">
        <v>4911</v>
      </c>
    </row>
    <row r="2135" spans="1:15" x14ac:dyDescent="0.35">
      <c r="A2135" t="s">
        <v>2115</v>
      </c>
      <c r="B2135">
        <v>26</v>
      </c>
      <c r="C2135" t="s">
        <v>4803</v>
      </c>
      <c r="D2135" t="s">
        <v>15</v>
      </c>
      <c r="E2135">
        <v>84</v>
      </c>
      <c r="F2135">
        <v>19</v>
      </c>
      <c r="G2135" t="s">
        <v>4799</v>
      </c>
      <c r="H2135" t="s">
        <v>4806</v>
      </c>
      <c r="I2135">
        <v>17.989999999999998</v>
      </c>
      <c r="J2135">
        <v>3</v>
      </c>
      <c r="K2135">
        <v>2.8</v>
      </c>
      <c r="L2135">
        <v>0</v>
      </c>
      <c r="M2135" t="s">
        <v>4809</v>
      </c>
      <c r="N2135" t="s">
        <v>4900</v>
      </c>
      <c r="O2135" t="s">
        <v>4912</v>
      </c>
    </row>
    <row r="2136" spans="1:15" x14ac:dyDescent="0.35">
      <c r="A2136" t="s">
        <v>2116</v>
      </c>
      <c r="B2136">
        <v>38</v>
      </c>
      <c r="C2136" t="s">
        <v>4803</v>
      </c>
      <c r="D2136" t="s">
        <v>13</v>
      </c>
      <c r="E2136">
        <v>43</v>
      </c>
      <c r="F2136">
        <v>34</v>
      </c>
      <c r="G2136" t="s">
        <v>4798</v>
      </c>
      <c r="H2136" t="s">
        <v>4805</v>
      </c>
      <c r="I2136">
        <v>13.99</v>
      </c>
      <c r="J2136">
        <v>2</v>
      </c>
      <c r="K2136">
        <v>1.43</v>
      </c>
      <c r="L2136">
        <v>1</v>
      </c>
      <c r="M2136" t="s">
        <v>4811</v>
      </c>
      <c r="N2136" t="s">
        <v>4899</v>
      </c>
      <c r="O2136" t="s">
        <v>4910</v>
      </c>
    </row>
    <row r="2137" spans="1:15" x14ac:dyDescent="0.35">
      <c r="A2137" t="s">
        <v>2117</v>
      </c>
      <c r="B2137">
        <v>56</v>
      </c>
      <c r="C2137" t="s">
        <v>4803</v>
      </c>
      <c r="D2137" t="s">
        <v>15</v>
      </c>
      <c r="E2137">
        <v>74</v>
      </c>
      <c r="F2137">
        <v>60</v>
      </c>
      <c r="G2137" t="s">
        <v>4798</v>
      </c>
      <c r="H2137" t="s">
        <v>4806</v>
      </c>
      <c r="I2137">
        <v>17.989999999999998</v>
      </c>
      <c r="J2137">
        <v>5</v>
      </c>
      <c r="K2137">
        <v>2.0299999999999998</v>
      </c>
      <c r="L2137">
        <v>1</v>
      </c>
      <c r="M2137" t="s">
        <v>4810</v>
      </c>
      <c r="N2137" t="s">
        <v>4899</v>
      </c>
      <c r="O2137" t="s">
        <v>4911</v>
      </c>
    </row>
    <row r="2138" spans="1:15" x14ac:dyDescent="0.35">
      <c r="A2138" t="s">
        <v>2118</v>
      </c>
      <c r="B2138">
        <v>24</v>
      </c>
      <c r="C2138" t="s">
        <v>4802</v>
      </c>
      <c r="D2138" t="s">
        <v>15</v>
      </c>
      <c r="E2138">
        <v>91</v>
      </c>
      <c r="F2138">
        <v>14</v>
      </c>
      <c r="G2138" t="s">
        <v>4797</v>
      </c>
      <c r="H2138" t="s">
        <v>4804</v>
      </c>
      <c r="I2138">
        <v>17.989999999999998</v>
      </c>
      <c r="J2138">
        <v>2</v>
      </c>
      <c r="K2138">
        <v>3.03</v>
      </c>
      <c r="L2138">
        <v>0</v>
      </c>
      <c r="M2138" t="s">
        <v>4808</v>
      </c>
      <c r="N2138" t="s">
        <v>4900</v>
      </c>
      <c r="O2138" t="s">
        <v>4912</v>
      </c>
    </row>
    <row r="2139" spans="1:15" x14ac:dyDescent="0.35">
      <c r="A2139" t="s">
        <v>2119</v>
      </c>
      <c r="B2139">
        <v>23</v>
      </c>
      <c r="C2139" t="s">
        <v>4803</v>
      </c>
      <c r="D2139" t="s">
        <v>13</v>
      </c>
      <c r="E2139">
        <v>72</v>
      </c>
      <c r="F2139">
        <v>12</v>
      </c>
      <c r="G2139" t="s">
        <v>4797</v>
      </c>
      <c r="H2139" t="s">
        <v>4805</v>
      </c>
      <c r="I2139">
        <v>13.99</v>
      </c>
      <c r="J2139">
        <v>4</v>
      </c>
      <c r="K2139">
        <v>2.4</v>
      </c>
      <c r="L2139">
        <v>0</v>
      </c>
      <c r="M2139" t="s">
        <v>4811</v>
      </c>
      <c r="N2139" t="s">
        <v>4900</v>
      </c>
      <c r="O2139" t="s">
        <v>4912</v>
      </c>
    </row>
    <row r="2140" spans="1:15" x14ac:dyDescent="0.35">
      <c r="A2140" t="s">
        <v>2120</v>
      </c>
      <c r="B2140">
        <v>22</v>
      </c>
      <c r="C2140" t="s">
        <v>4802</v>
      </c>
      <c r="D2140" t="s">
        <v>13</v>
      </c>
      <c r="E2140">
        <v>38</v>
      </c>
      <c r="F2140">
        <v>5</v>
      </c>
      <c r="G2140" t="s">
        <v>4799</v>
      </c>
      <c r="H2140" t="s">
        <v>4804</v>
      </c>
      <c r="I2140">
        <v>13.99</v>
      </c>
      <c r="J2140">
        <v>1</v>
      </c>
      <c r="K2140">
        <v>2.0299999999999998</v>
      </c>
      <c r="L2140">
        <v>0</v>
      </c>
      <c r="M2140" t="s">
        <v>4808</v>
      </c>
      <c r="N2140" t="s">
        <v>4900</v>
      </c>
      <c r="O2140" t="s">
        <v>4912</v>
      </c>
    </row>
    <row r="2141" spans="1:15" x14ac:dyDescent="0.35">
      <c r="A2141" t="s">
        <v>2121</v>
      </c>
      <c r="B2141">
        <v>65</v>
      </c>
      <c r="C2141" t="s">
        <v>4802</v>
      </c>
      <c r="D2141" t="s">
        <v>13</v>
      </c>
      <c r="E2141">
        <v>68</v>
      </c>
      <c r="F2141">
        <v>22</v>
      </c>
      <c r="G2141" t="s">
        <v>4798</v>
      </c>
      <c r="H2141" t="s">
        <v>4806</v>
      </c>
      <c r="I2141">
        <v>13.99</v>
      </c>
      <c r="J2141">
        <v>4</v>
      </c>
      <c r="K2141">
        <v>2.27</v>
      </c>
      <c r="L2141">
        <v>1</v>
      </c>
      <c r="M2141" t="s">
        <v>4810</v>
      </c>
      <c r="N2141" t="s">
        <v>4899</v>
      </c>
      <c r="O2141" t="s">
        <v>4911</v>
      </c>
    </row>
    <row r="2142" spans="1:15" x14ac:dyDescent="0.35">
      <c r="A2142" t="s">
        <v>2122</v>
      </c>
      <c r="B2142">
        <v>24</v>
      </c>
      <c r="C2142" t="s">
        <v>4802</v>
      </c>
      <c r="D2142" t="s">
        <v>13</v>
      </c>
      <c r="E2142">
        <v>31</v>
      </c>
      <c r="F2142">
        <v>55</v>
      </c>
      <c r="G2142" t="s">
        <v>4798</v>
      </c>
      <c r="H2142" t="s">
        <v>4805</v>
      </c>
      <c r="I2142">
        <v>13.99</v>
      </c>
      <c r="J2142">
        <v>3</v>
      </c>
      <c r="K2142">
        <v>1.03</v>
      </c>
      <c r="L2142">
        <v>1</v>
      </c>
      <c r="M2142" t="s">
        <v>4811</v>
      </c>
      <c r="N2142" t="s">
        <v>4899</v>
      </c>
      <c r="O2142" t="s">
        <v>4912</v>
      </c>
    </row>
    <row r="2143" spans="1:15" x14ac:dyDescent="0.35">
      <c r="A2143" t="s">
        <v>2123</v>
      </c>
      <c r="B2143">
        <v>64</v>
      </c>
      <c r="C2143" t="s">
        <v>4803</v>
      </c>
      <c r="D2143" t="s">
        <v>13</v>
      </c>
      <c r="E2143">
        <v>48</v>
      </c>
      <c r="F2143">
        <v>9</v>
      </c>
      <c r="G2143" t="s">
        <v>4798</v>
      </c>
      <c r="H2143" t="s">
        <v>4805</v>
      </c>
      <c r="I2143">
        <v>13.99</v>
      </c>
      <c r="J2143">
        <v>1</v>
      </c>
      <c r="K2143">
        <v>1.6</v>
      </c>
      <c r="L2143">
        <v>0</v>
      </c>
      <c r="M2143" t="s">
        <v>4808</v>
      </c>
      <c r="N2143" t="s">
        <v>4900</v>
      </c>
      <c r="O2143" t="s">
        <v>4911</v>
      </c>
    </row>
    <row r="2144" spans="1:15" x14ac:dyDescent="0.35">
      <c r="A2144" t="s">
        <v>2124</v>
      </c>
      <c r="B2144">
        <v>59</v>
      </c>
      <c r="C2144" t="s">
        <v>4803</v>
      </c>
      <c r="D2144" t="s">
        <v>13</v>
      </c>
      <c r="E2144">
        <v>35</v>
      </c>
      <c r="F2144">
        <v>51</v>
      </c>
      <c r="G2144" t="s">
        <v>4798</v>
      </c>
      <c r="H2144" t="s">
        <v>4805</v>
      </c>
      <c r="I2144">
        <v>13.99</v>
      </c>
      <c r="J2144">
        <v>3</v>
      </c>
      <c r="K2144">
        <v>1.17</v>
      </c>
      <c r="L2144">
        <v>0</v>
      </c>
      <c r="M2144" t="s">
        <v>4811</v>
      </c>
      <c r="N2144" t="s">
        <v>4900</v>
      </c>
      <c r="O2144" t="s">
        <v>4911</v>
      </c>
    </row>
    <row r="2145" spans="1:15" x14ac:dyDescent="0.35">
      <c r="A2145" t="s">
        <v>2125</v>
      </c>
      <c r="B2145">
        <v>58</v>
      </c>
      <c r="C2145" t="s">
        <v>4803</v>
      </c>
      <c r="D2145" t="s">
        <v>15</v>
      </c>
      <c r="E2145">
        <v>63</v>
      </c>
      <c r="F2145">
        <v>32</v>
      </c>
      <c r="G2145" t="s">
        <v>4799</v>
      </c>
      <c r="H2145" t="s">
        <v>4804</v>
      </c>
      <c r="I2145">
        <v>17.989999999999998</v>
      </c>
      <c r="J2145">
        <v>4</v>
      </c>
      <c r="K2145">
        <v>2.1</v>
      </c>
      <c r="L2145">
        <v>0</v>
      </c>
      <c r="M2145" t="s">
        <v>4809</v>
      </c>
      <c r="N2145" t="s">
        <v>4900</v>
      </c>
      <c r="O2145" t="s">
        <v>4911</v>
      </c>
    </row>
    <row r="2146" spans="1:15" x14ac:dyDescent="0.35">
      <c r="A2146" t="s">
        <v>2126</v>
      </c>
      <c r="B2146">
        <v>48</v>
      </c>
      <c r="C2146" t="s">
        <v>4802</v>
      </c>
      <c r="D2146" t="s">
        <v>14</v>
      </c>
      <c r="E2146">
        <v>70</v>
      </c>
      <c r="F2146">
        <v>35</v>
      </c>
      <c r="G2146" t="s">
        <v>4798</v>
      </c>
      <c r="H2146" t="s">
        <v>4805</v>
      </c>
      <c r="I2146">
        <v>8.99</v>
      </c>
      <c r="J2146">
        <v>1</v>
      </c>
      <c r="K2146">
        <v>2.33</v>
      </c>
      <c r="L2146">
        <v>0</v>
      </c>
      <c r="M2146" t="s">
        <v>4811</v>
      </c>
      <c r="N2146" t="s">
        <v>4900</v>
      </c>
      <c r="O2146" t="s">
        <v>4910</v>
      </c>
    </row>
    <row r="2147" spans="1:15" x14ac:dyDescent="0.35">
      <c r="A2147" t="s">
        <v>2127</v>
      </c>
      <c r="B2147">
        <v>52</v>
      </c>
      <c r="C2147" t="s">
        <v>4802</v>
      </c>
      <c r="D2147" t="s">
        <v>13</v>
      </c>
      <c r="E2147">
        <v>74</v>
      </c>
      <c r="F2147">
        <v>1</v>
      </c>
      <c r="G2147" t="s">
        <v>4797</v>
      </c>
      <c r="H2147" t="s">
        <v>4806</v>
      </c>
      <c r="I2147">
        <v>13.99</v>
      </c>
      <c r="J2147">
        <v>4</v>
      </c>
      <c r="K2147">
        <v>2.4700000000000002</v>
      </c>
      <c r="L2147">
        <v>0</v>
      </c>
      <c r="M2147" t="s">
        <v>4808</v>
      </c>
      <c r="N2147" t="s">
        <v>4900</v>
      </c>
      <c r="O2147" t="s">
        <v>4910</v>
      </c>
    </row>
    <row r="2148" spans="1:15" x14ac:dyDescent="0.35">
      <c r="A2148" t="s">
        <v>2128</v>
      </c>
      <c r="B2148">
        <v>27</v>
      </c>
      <c r="C2148" t="s">
        <v>4803</v>
      </c>
      <c r="D2148" t="s">
        <v>13</v>
      </c>
      <c r="E2148">
        <v>63</v>
      </c>
      <c r="F2148">
        <v>21</v>
      </c>
      <c r="G2148" t="s">
        <v>4797</v>
      </c>
      <c r="H2148" t="s">
        <v>4806</v>
      </c>
      <c r="I2148">
        <v>13.99</v>
      </c>
      <c r="J2148">
        <v>4</v>
      </c>
      <c r="K2148">
        <v>2.1</v>
      </c>
      <c r="L2148">
        <v>0</v>
      </c>
      <c r="M2148" t="s">
        <v>4808</v>
      </c>
      <c r="N2148" t="s">
        <v>4900</v>
      </c>
      <c r="O2148" t="s">
        <v>4912</v>
      </c>
    </row>
    <row r="2149" spans="1:15" x14ac:dyDescent="0.35">
      <c r="A2149" t="s">
        <v>2129</v>
      </c>
      <c r="B2149">
        <v>47</v>
      </c>
      <c r="C2149" t="s">
        <v>4803</v>
      </c>
      <c r="D2149" t="s">
        <v>13</v>
      </c>
      <c r="E2149">
        <v>59</v>
      </c>
      <c r="F2149">
        <v>49</v>
      </c>
      <c r="G2149" t="s">
        <v>4798</v>
      </c>
      <c r="H2149" t="s">
        <v>4804</v>
      </c>
      <c r="I2149">
        <v>13.99</v>
      </c>
      <c r="J2149">
        <v>1</v>
      </c>
      <c r="K2149">
        <v>1.97</v>
      </c>
      <c r="L2149">
        <v>0</v>
      </c>
      <c r="M2149" t="s">
        <v>4808</v>
      </c>
      <c r="N2149" t="s">
        <v>4900</v>
      </c>
      <c r="O2149" t="s">
        <v>4910</v>
      </c>
    </row>
    <row r="2150" spans="1:15" x14ac:dyDescent="0.35">
      <c r="A2150" t="s">
        <v>2130</v>
      </c>
      <c r="B2150">
        <v>57</v>
      </c>
      <c r="C2150" t="s">
        <v>4803</v>
      </c>
      <c r="D2150" t="s">
        <v>15</v>
      </c>
      <c r="E2150">
        <v>59</v>
      </c>
      <c r="F2150">
        <v>31</v>
      </c>
      <c r="G2150" t="s">
        <v>4798</v>
      </c>
      <c r="H2150" t="s">
        <v>4806</v>
      </c>
      <c r="I2150">
        <v>17.989999999999998</v>
      </c>
      <c r="J2150">
        <v>2</v>
      </c>
      <c r="K2150">
        <v>2.0299999999999998</v>
      </c>
      <c r="L2150">
        <v>0</v>
      </c>
      <c r="M2150" t="s">
        <v>4810</v>
      </c>
      <c r="N2150" t="s">
        <v>4900</v>
      </c>
      <c r="O2150" t="s">
        <v>4911</v>
      </c>
    </row>
    <row r="2151" spans="1:15" x14ac:dyDescent="0.35">
      <c r="A2151" t="s">
        <v>4830</v>
      </c>
      <c r="B2151">
        <v>41</v>
      </c>
      <c r="C2151" t="s">
        <v>4803</v>
      </c>
      <c r="D2151" t="s">
        <v>15</v>
      </c>
      <c r="E2151">
        <v>75</v>
      </c>
      <c r="F2151">
        <v>39</v>
      </c>
      <c r="G2151" t="s">
        <v>4797</v>
      </c>
      <c r="H2151" t="s">
        <v>4805</v>
      </c>
      <c r="I2151">
        <v>17.989999999999998</v>
      </c>
      <c r="J2151">
        <v>4</v>
      </c>
      <c r="K2151">
        <v>2.5</v>
      </c>
      <c r="L2151">
        <v>0</v>
      </c>
      <c r="M2151" t="s">
        <v>4809</v>
      </c>
      <c r="N2151" t="s">
        <v>4900</v>
      </c>
      <c r="O2151" t="s">
        <v>4910</v>
      </c>
    </row>
    <row r="2152" spans="1:15" x14ac:dyDescent="0.35">
      <c r="A2152" t="s">
        <v>2131</v>
      </c>
      <c r="B2152">
        <v>24</v>
      </c>
      <c r="C2152" t="s">
        <v>4803</v>
      </c>
      <c r="D2152" t="s">
        <v>15</v>
      </c>
      <c r="E2152">
        <v>119</v>
      </c>
      <c r="F2152">
        <v>43</v>
      </c>
      <c r="G2152" t="s">
        <v>4799</v>
      </c>
      <c r="H2152" t="s">
        <v>4806</v>
      </c>
      <c r="I2152">
        <v>17.989999999999998</v>
      </c>
      <c r="J2152">
        <v>4</v>
      </c>
      <c r="K2152">
        <v>3.97</v>
      </c>
      <c r="L2152">
        <v>0</v>
      </c>
      <c r="M2152" t="s">
        <v>4809</v>
      </c>
      <c r="N2152" t="s">
        <v>4900</v>
      </c>
      <c r="O2152" t="s">
        <v>4912</v>
      </c>
    </row>
    <row r="2153" spans="1:15" x14ac:dyDescent="0.35">
      <c r="A2153" t="s">
        <v>2132</v>
      </c>
      <c r="B2153">
        <v>24</v>
      </c>
      <c r="C2153" t="s">
        <v>4803</v>
      </c>
      <c r="D2153" t="s">
        <v>13</v>
      </c>
      <c r="E2153">
        <v>34</v>
      </c>
      <c r="F2153">
        <v>22</v>
      </c>
      <c r="G2153" t="s">
        <v>4797</v>
      </c>
      <c r="H2153" t="s">
        <v>4806</v>
      </c>
      <c r="I2153">
        <v>13.99</v>
      </c>
      <c r="J2153">
        <v>3</v>
      </c>
      <c r="K2153">
        <v>1.1299999999999999</v>
      </c>
      <c r="L2153">
        <v>0</v>
      </c>
      <c r="M2153" t="s">
        <v>4812</v>
      </c>
      <c r="N2153" t="s">
        <v>4900</v>
      </c>
      <c r="O2153" t="s">
        <v>4912</v>
      </c>
    </row>
    <row r="2154" spans="1:15" x14ac:dyDescent="0.35">
      <c r="A2154" t="s">
        <v>2133</v>
      </c>
      <c r="B2154">
        <v>23</v>
      </c>
      <c r="C2154" t="s">
        <v>4802</v>
      </c>
      <c r="D2154" t="s">
        <v>13</v>
      </c>
      <c r="E2154">
        <v>69</v>
      </c>
      <c r="F2154">
        <v>26</v>
      </c>
      <c r="G2154" t="s">
        <v>4799</v>
      </c>
      <c r="H2154" t="s">
        <v>4806</v>
      </c>
      <c r="I2154">
        <v>13.99</v>
      </c>
      <c r="J2154">
        <v>4</v>
      </c>
      <c r="K2154">
        <v>2.2999999999999998</v>
      </c>
      <c r="L2154">
        <v>1</v>
      </c>
      <c r="M2154" t="s">
        <v>4808</v>
      </c>
      <c r="N2154" t="s">
        <v>4899</v>
      </c>
      <c r="O2154" t="s">
        <v>4912</v>
      </c>
    </row>
    <row r="2155" spans="1:15" x14ac:dyDescent="0.35">
      <c r="A2155" t="s">
        <v>2134</v>
      </c>
      <c r="B2155">
        <v>25</v>
      </c>
      <c r="C2155" t="s">
        <v>4803</v>
      </c>
      <c r="D2155" t="s">
        <v>13</v>
      </c>
      <c r="E2155">
        <v>77</v>
      </c>
      <c r="F2155">
        <v>46</v>
      </c>
      <c r="G2155" t="s">
        <v>4800</v>
      </c>
      <c r="H2155" t="s">
        <v>4804</v>
      </c>
      <c r="I2155">
        <v>13.99</v>
      </c>
      <c r="J2155">
        <v>1</v>
      </c>
      <c r="K2155">
        <v>2.0299999999999998</v>
      </c>
      <c r="L2155">
        <v>0</v>
      </c>
      <c r="M2155" t="s">
        <v>4811</v>
      </c>
      <c r="N2155" t="s">
        <v>4900</v>
      </c>
      <c r="O2155" t="s">
        <v>4912</v>
      </c>
    </row>
    <row r="2156" spans="1:15" x14ac:dyDescent="0.35">
      <c r="A2156" t="s">
        <v>2135</v>
      </c>
      <c r="B2156">
        <v>33</v>
      </c>
      <c r="C2156" t="s">
        <v>4803</v>
      </c>
      <c r="D2156" t="s">
        <v>14</v>
      </c>
      <c r="E2156">
        <v>70</v>
      </c>
      <c r="F2156">
        <v>48</v>
      </c>
      <c r="G2156" t="s">
        <v>4799</v>
      </c>
      <c r="H2156" t="s">
        <v>4806</v>
      </c>
      <c r="I2156">
        <v>8.99</v>
      </c>
      <c r="J2156">
        <v>4</v>
      </c>
      <c r="K2156">
        <v>2.0299999999999998</v>
      </c>
      <c r="L2156">
        <v>0</v>
      </c>
      <c r="M2156" t="s">
        <v>4812</v>
      </c>
      <c r="N2156" t="s">
        <v>4900</v>
      </c>
      <c r="O2156" t="s">
        <v>4912</v>
      </c>
    </row>
    <row r="2157" spans="1:15" x14ac:dyDescent="0.35">
      <c r="A2157" t="s">
        <v>2136</v>
      </c>
      <c r="B2157">
        <v>57</v>
      </c>
      <c r="C2157" t="s">
        <v>4803</v>
      </c>
      <c r="D2157" t="s">
        <v>13</v>
      </c>
      <c r="E2157">
        <v>52</v>
      </c>
      <c r="F2157">
        <v>17</v>
      </c>
      <c r="G2157" t="s">
        <v>4798</v>
      </c>
      <c r="H2157" t="s">
        <v>4804</v>
      </c>
      <c r="I2157">
        <v>13.99</v>
      </c>
      <c r="J2157">
        <v>3</v>
      </c>
      <c r="K2157">
        <v>1.73</v>
      </c>
      <c r="L2157">
        <v>1</v>
      </c>
      <c r="M2157" t="s">
        <v>4811</v>
      </c>
      <c r="N2157" t="s">
        <v>4899</v>
      </c>
      <c r="O2157" t="s">
        <v>4911</v>
      </c>
    </row>
    <row r="2158" spans="1:15" x14ac:dyDescent="0.35">
      <c r="A2158" t="s">
        <v>2137</v>
      </c>
      <c r="B2158">
        <v>26</v>
      </c>
      <c r="C2158" t="s">
        <v>4802</v>
      </c>
      <c r="D2158" t="s">
        <v>13</v>
      </c>
      <c r="E2158">
        <v>36</v>
      </c>
      <c r="F2158">
        <v>999</v>
      </c>
      <c r="G2158" t="s">
        <v>4798</v>
      </c>
      <c r="H2158" t="s">
        <v>4806</v>
      </c>
      <c r="I2158">
        <v>13.99</v>
      </c>
      <c r="J2158">
        <v>4</v>
      </c>
      <c r="K2158">
        <v>2.0299999999999998</v>
      </c>
      <c r="L2158">
        <v>0</v>
      </c>
      <c r="M2158" t="s">
        <v>4811</v>
      </c>
      <c r="N2158" t="s">
        <v>4900</v>
      </c>
      <c r="O2158" t="s">
        <v>4912</v>
      </c>
    </row>
    <row r="2159" spans="1:15" x14ac:dyDescent="0.35">
      <c r="A2159" t="s">
        <v>2138</v>
      </c>
      <c r="B2159">
        <v>55</v>
      </c>
      <c r="C2159" t="s">
        <v>4802</v>
      </c>
      <c r="D2159" t="s">
        <v>13</v>
      </c>
      <c r="E2159">
        <v>34</v>
      </c>
      <c r="F2159">
        <v>52</v>
      </c>
      <c r="G2159" t="s">
        <v>4800</v>
      </c>
      <c r="H2159" t="s">
        <v>4805</v>
      </c>
      <c r="I2159">
        <v>13.99</v>
      </c>
      <c r="J2159">
        <v>2</v>
      </c>
      <c r="K2159">
        <v>1.1299999999999999</v>
      </c>
      <c r="L2159">
        <v>1</v>
      </c>
      <c r="M2159" t="s">
        <v>4811</v>
      </c>
      <c r="N2159" t="s">
        <v>4899</v>
      </c>
      <c r="O2159" t="s">
        <v>4911</v>
      </c>
    </row>
    <row r="2160" spans="1:15" x14ac:dyDescent="0.35">
      <c r="A2160" t="s">
        <v>2139</v>
      </c>
      <c r="B2160">
        <v>63</v>
      </c>
      <c r="C2160" t="s">
        <v>4802</v>
      </c>
      <c r="D2160" t="s">
        <v>13</v>
      </c>
      <c r="E2160">
        <v>34</v>
      </c>
      <c r="F2160">
        <v>12</v>
      </c>
      <c r="G2160" t="s">
        <v>4799</v>
      </c>
      <c r="H2160" t="s">
        <v>4805</v>
      </c>
      <c r="I2160">
        <v>13.99</v>
      </c>
      <c r="J2160">
        <v>1</v>
      </c>
      <c r="K2160">
        <v>1.1299999999999999</v>
      </c>
      <c r="L2160">
        <v>0</v>
      </c>
      <c r="M2160" t="s">
        <v>4809</v>
      </c>
      <c r="N2160" t="s">
        <v>4900</v>
      </c>
      <c r="O2160" t="s">
        <v>4911</v>
      </c>
    </row>
    <row r="2161" spans="1:15" x14ac:dyDescent="0.35">
      <c r="A2161" t="s">
        <v>2140</v>
      </c>
      <c r="B2161">
        <v>60</v>
      </c>
      <c r="C2161" t="s">
        <v>4802</v>
      </c>
      <c r="D2161" t="s">
        <v>13</v>
      </c>
      <c r="E2161">
        <v>34</v>
      </c>
      <c r="F2161">
        <v>5</v>
      </c>
      <c r="G2161" t="s">
        <v>4798</v>
      </c>
      <c r="H2161" t="s">
        <v>4805</v>
      </c>
      <c r="I2161">
        <v>13.99</v>
      </c>
      <c r="J2161">
        <v>3</v>
      </c>
      <c r="K2161">
        <v>1.1299999999999999</v>
      </c>
      <c r="L2161">
        <v>0</v>
      </c>
      <c r="M2161" t="s">
        <v>4809</v>
      </c>
      <c r="N2161" t="s">
        <v>4900</v>
      </c>
      <c r="O2161" t="s">
        <v>4911</v>
      </c>
    </row>
    <row r="2162" spans="1:15" x14ac:dyDescent="0.35">
      <c r="A2162" t="s">
        <v>2141</v>
      </c>
      <c r="B2162">
        <v>59</v>
      </c>
      <c r="C2162" t="s">
        <v>4802</v>
      </c>
      <c r="D2162" t="s">
        <v>15</v>
      </c>
      <c r="E2162">
        <v>99</v>
      </c>
      <c r="F2162">
        <v>11</v>
      </c>
      <c r="G2162" t="s">
        <v>4799</v>
      </c>
      <c r="H2162" t="s">
        <v>4806</v>
      </c>
      <c r="I2162">
        <v>17.989999999999998</v>
      </c>
      <c r="J2162">
        <v>4</v>
      </c>
      <c r="K2162">
        <v>3.3</v>
      </c>
      <c r="L2162">
        <v>0</v>
      </c>
      <c r="M2162" t="s">
        <v>4808</v>
      </c>
      <c r="N2162" t="s">
        <v>4900</v>
      </c>
      <c r="O2162" t="s">
        <v>4911</v>
      </c>
    </row>
    <row r="2163" spans="1:15" x14ac:dyDescent="0.35">
      <c r="A2163" t="s">
        <v>2142</v>
      </c>
      <c r="B2163">
        <v>62</v>
      </c>
      <c r="C2163" t="s">
        <v>4802</v>
      </c>
      <c r="D2163" t="s">
        <v>13</v>
      </c>
      <c r="E2163">
        <v>30</v>
      </c>
      <c r="F2163">
        <v>48</v>
      </c>
      <c r="G2163" t="s">
        <v>4797</v>
      </c>
      <c r="H2163" t="s">
        <v>4806</v>
      </c>
      <c r="I2163">
        <v>13.99</v>
      </c>
      <c r="J2163">
        <v>2</v>
      </c>
      <c r="K2163">
        <v>1</v>
      </c>
      <c r="L2163">
        <v>1</v>
      </c>
      <c r="M2163" t="s">
        <v>4809</v>
      </c>
      <c r="N2163" t="s">
        <v>4899</v>
      </c>
      <c r="O2163" t="s">
        <v>4911</v>
      </c>
    </row>
    <row r="2164" spans="1:15" x14ac:dyDescent="0.35">
      <c r="A2164" t="s">
        <v>2143</v>
      </c>
      <c r="B2164">
        <v>28</v>
      </c>
      <c r="C2164" t="s">
        <v>4803</v>
      </c>
      <c r="D2164" t="s">
        <v>13</v>
      </c>
      <c r="E2164">
        <v>70</v>
      </c>
      <c r="F2164">
        <v>49</v>
      </c>
      <c r="G2164" t="s">
        <v>4797</v>
      </c>
      <c r="H2164" t="s">
        <v>4805</v>
      </c>
      <c r="I2164">
        <v>13.99</v>
      </c>
      <c r="J2164">
        <v>3</v>
      </c>
      <c r="K2164">
        <v>2.33</v>
      </c>
      <c r="L2164">
        <v>0</v>
      </c>
      <c r="M2164" t="s">
        <v>4808</v>
      </c>
      <c r="N2164" t="s">
        <v>4900</v>
      </c>
      <c r="O2164" t="s">
        <v>4912</v>
      </c>
    </row>
    <row r="2165" spans="1:15" x14ac:dyDescent="0.35">
      <c r="A2165" t="s">
        <v>2144</v>
      </c>
      <c r="B2165">
        <v>31</v>
      </c>
      <c r="C2165" t="s">
        <v>4803</v>
      </c>
      <c r="D2165" t="s">
        <v>15</v>
      </c>
      <c r="E2165">
        <v>70</v>
      </c>
      <c r="F2165">
        <v>37</v>
      </c>
      <c r="G2165" t="s">
        <v>4797</v>
      </c>
      <c r="H2165" t="s">
        <v>4805</v>
      </c>
      <c r="I2165">
        <v>17.989999999999998</v>
      </c>
      <c r="J2165">
        <v>4</v>
      </c>
      <c r="K2165">
        <v>2.33</v>
      </c>
      <c r="L2165">
        <v>0</v>
      </c>
      <c r="M2165" t="s">
        <v>4808</v>
      </c>
      <c r="N2165" t="s">
        <v>4900</v>
      </c>
      <c r="O2165" t="s">
        <v>4912</v>
      </c>
    </row>
    <row r="2166" spans="1:15" x14ac:dyDescent="0.35">
      <c r="A2166" t="s">
        <v>2145</v>
      </c>
      <c r="B2166">
        <v>25</v>
      </c>
      <c r="C2166" t="s">
        <v>4803</v>
      </c>
      <c r="D2166" t="s">
        <v>15</v>
      </c>
      <c r="E2166">
        <v>63</v>
      </c>
      <c r="F2166">
        <v>5</v>
      </c>
      <c r="G2166" t="s">
        <v>4799</v>
      </c>
      <c r="H2166" t="s">
        <v>4805</v>
      </c>
      <c r="I2166">
        <v>17.989999999999998</v>
      </c>
      <c r="J2166">
        <v>4</v>
      </c>
      <c r="K2166">
        <v>2.1</v>
      </c>
      <c r="L2166">
        <v>0</v>
      </c>
      <c r="M2166" t="s">
        <v>4812</v>
      </c>
      <c r="N2166" t="s">
        <v>4900</v>
      </c>
      <c r="O2166" t="s">
        <v>4912</v>
      </c>
    </row>
    <row r="2167" spans="1:15" x14ac:dyDescent="0.35">
      <c r="A2167" t="s">
        <v>2146</v>
      </c>
      <c r="B2167">
        <v>46</v>
      </c>
      <c r="C2167" t="s">
        <v>4802</v>
      </c>
      <c r="D2167" t="s">
        <v>13</v>
      </c>
      <c r="E2167">
        <v>74</v>
      </c>
      <c r="F2167">
        <v>56</v>
      </c>
      <c r="G2167" t="s">
        <v>4799</v>
      </c>
      <c r="H2167" t="s">
        <v>4805</v>
      </c>
      <c r="I2167">
        <v>13.99</v>
      </c>
      <c r="J2167">
        <v>3</v>
      </c>
      <c r="K2167">
        <v>2.4700000000000002</v>
      </c>
      <c r="L2167">
        <v>1</v>
      </c>
      <c r="M2167" t="s">
        <v>4812</v>
      </c>
      <c r="N2167" t="s">
        <v>4899</v>
      </c>
      <c r="O2167" t="s">
        <v>4910</v>
      </c>
    </row>
    <row r="2168" spans="1:15" x14ac:dyDescent="0.35">
      <c r="A2168" t="s">
        <v>2147</v>
      </c>
      <c r="B2168">
        <v>56</v>
      </c>
      <c r="C2168" t="s">
        <v>4802</v>
      </c>
      <c r="D2168" t="s">
        <v>13</v>
      </c>
      <c r="E2168">
        <v>46</v>
      </c>
      <c r="F2168">
        <v>60</v>
      </c>
      <c r="G2168" t="s">
        <v>4799</v>
      </c>
      <c r="H2168" t="s">
        <v>4804</v>
      </c>
      <c r="I2168">
        <v>13.99</v>
      </c>
      <c r="J2168">
        <v>3</v>
      </c>
      <c r="K2168">
        <v>1.53</v>
      </c>
      <c r="L2168">
        <v>0</v>
      </c>
      <c r="M2168" t="s">
        <v>4810</v>
      </c>
      <c r="N2168" t="s">
        <v>4900</v>
      </c>
      <c r="O2168" t="s">
        <v>4911</v>
      </c>
    </row>
    <row r="2169" spans="1:15" x14ac:dyDescent="0.35">
      <c r="A2169" t="s">
        <v>2148</v>
      </c>
      <c r="B2169">
        <v>65</v>
      </c>
      <c r="C2169" t="s">
        <v>4803</v>
      </c>
      <c r="D2169" t="s">
        <v>15</v>
      </c>
      <c r="E2169">
        <v>84</v>
      </c>
      <c r="F2169">
        <v>35</v>
      </c>
      <c r="G2169" t="s">
        <v>4800</v>
      </c>
      <c r="H2169" t="s">
        <v>4804</v>
      </c>
      <c r="I2169">
        <v>17.989999999999998</v>
      </c>
      <c r="J2169">
        <v>3</v>
      </c>
      <c r="K2169">
        <v>2.8</v>
      </c>
      <c r="L2169">
        <v>1</v>
      </c>
      <c r="M2169" t="s">
        <v>4808</v>
      </c>
      <c r="N2169" t="s">
        <v>4899</v>
      </c>
      <c r="O2169" t="s">
        <v>4911</v>
      </c>
    </row>
    <row r="2170" spans="1:15" x14ac:dyDescent="0.35">
      <c r="A2170" t="s">
        <v>2149</v>
      </c>
      <c r="B2170">
        <v>20</v>
      </c>
      <c r="C2170" t="s">
        <v>4803</v>
      </c>
      <c r="D2170" t="s">
        <v>13</v>
      </c>
      <c r="E2170">
        <v>52</v>
      </c>
      <c r="F2170">
        <v>13</v>
      </c>
      <c r="G2170" t="s">
        <v>4797</v>
      </c>
      <c r="H2170" t="s">
        <v>4805</v>
      </c>
      <c r="I2170">
        <v>13.99</v>
      </c>
      <c r="J2170">
        <v>2</v>
      </c>
      <c r="K2170">
        <v>1.73</v>
      </c>
      <c r="L2170">
        <v>0</v>
      </c>
      <c r="M2170" t="s">
        <v>4808</v>
      </c>
      <c r="N2170" t="s">
        <v>4900</v>
      </c>
      <c r="O2170" t="s">
        <v>4912</v>
      </c>
    </row>
    <row r="2171" spans="1:15" x14ac:dyDescent="0.35">
      <c r="A2171" t="s">
        <v>2150</v>
      </c>
      <c r="B2171">
        <v>22</v>
      </c>
      <c r="C2171" t="s">
        <v>4803</v>
      </c>
      <c r="D2171" t="s">
        <v>13</v>
      </c>
      <c r="E2171">
        <v>52</v>
      </c>
      <c r="F2171">
        <v>17</v>
      </c>
      <c r="G2171" t="s">
        <v>4798</v>
      </c>
      <c r="H2171" t="s">
        <v>4805</v>
      </c>
      <c r="I2171">
        <v>13.99</v>
      </c>
      <c r="J2171">
        <v>2</v>
      </c>
      <c r="K2171">
        <v>1.73</v>
      </c>
      <c r="L2171">
        <v>0</v>
      </c>
      <c r="M2171" t="s">
        <v>4809</v>
      </c>
      <c r="N2171" t="s">
        <v>4900</v>
      </c>
      <c r="O2171" t="s">
        <v>4912</v>
      </c>
    </row>
    <row r="2172" spans="1:15" x14ac:dyDescent="0.35">
      <c r="A2172" t="s">
        <v>2151</v>
      </c>
      <c r="B2172">
        <v>64</v>
      </c>
      <c r="C2172" t="s">
        <v>4803</v>
      </c>
      <c r="D2172" t="s">
        <v>14</v>
      </c>
      <c r="E2172">
        <v>15</v>
      </c>
      <c r="F2172">
        <v>8</v>
      </c>
      <c r="G2172" t="s">
        <v>4798</v>
      </c>
      <c r="H2172" t="s">
        <v>4806</v>
      </c>
      <c r="I2172">
        <v>8.99</v>
      </c>
      <c r="J2172">
        <v>1</v>
      </c>
      <c r="K2172">
        <v>0.5</v>
      </c>
      <c r="L2172">
        <v>0</v>
      </c>
      <c r="M2172" t="s">
        <v>4810</v>
      </c>
      <c r="N2172" t="s">
        <v>4900</v>
      </c>
      <c r="O2172" t="s">
        <v>4911</v>
      </c>
    </row>
    <row r="2173" spans="1:15" x14ac:dyDescent="0.35">
      <c r="A2173" t="s">
        <v>2152</v>
      </c>
      <c r="B2173">
        <v>37</v>
      </c>
      <c r="C2173" t="s">
        <v>4803</v>
      </c>
      <c r="D2173" t="s">
        <v>13</v>
      </c>
      <c r="E2173">
        <v>75</v>
      </c>
      <c r="F2173">
        <v>12</v>
      </c>
      <c r="G2173" t="s">
        <v>4799</v>
      </c>
      <c r="H2173" t="s">
        <v>4804</v>
      </c>
      <c r="I2173">
        <v>13.99</v>
      </c>
      <c r="J2173">
        <v>2</v>
      </c>
      <c r="K2173">
        <v>2.5</v>
      </c>
      <c r="L2173">
        <v>0</v>
      </c>
      <c r="M2173" t="s">
        <v>4809</v>
      </c>
      <c r="N2173" t="s">
        <v>4900</v>
      </c>
      <c r="O2173" t="s">
        <v>4910</v>
      </c>
    </row>
    <row r="2174" spans="1:15" x14ac:dyDescent="0.35">
      <c r="A2174" t="s">
        <v>2153</v>
      </c>
      <c r="B2174">
        <v>64</v>
      </c>
      <c r="C2174" t="s">
        <v>4803</v>
      </c>
      <c r="D2174" t="s">
        <v>15</v>
      </c>
      <c r="E2174">
        <v>103</v>
      </c>
      <c r="F2174">
        <v>35</v>
      </c>
      <c r="G2174" t="s">
        <v>4799</v>
      </c>
      <c r="H2174" t="s">
        <v>4805</v>
      </c>
      <c r="I2174">
        <v>17.989999999999998</v>
      </c>
      <c r="J2174">
        <v>5</v>
      </c>
      <c r="K2174">
        <v>3.43</v>
      </c>
      <c r="L2174">
        <v>1</v>
      </c>
      <c r="M2174" t="s">
        <v>4810</v>
      </c>
      <c r="N2174" t="s">
        <v>4899</v>
      </c>
      <c r="O2174" t="s">
        <v>4911</v>
      </c>
    </row>
    <row r="2175" spans="1:15" x14ac:dyDescent="0.35">
      <c r="A2175" t="s">
        <v>2154</v>
      </c>
      <c r="B2175">
        <v>49</v>
      </c>
      <c r="C2175" t="s">
        <v>4803</v>
      </c>
      <c r="D2175" t="s">
        <v>13</v>
      </c>
      <c r="E2175">
        <v>35</v>
      </c>
      <c r="F2175">
        <v>6</v>
      </c>
      <c r="G2175" t="s">
        <v>4797</v>
      </c>
      <c r="H2175" t="s">
        <v>4805</v>
      </c>
      <c r="I2175">
        <v>13.99</v>
      </c>
      <c r="J2175">
        <v>4</v>
      </c>
      <c r="K2175">
        <v>1.17</v>
      </c>
      <c r="L2175">
        <v>0</v>
      </c>
      <c r="M2175" t="s">
        <v>4809</v>
      </c>
      <c r="N2175" t="s">
        <v>4900</v>
      </c>
      <c r="O2175" t="s">
        <v>4910</v>
      </c>
    </row>
    <row r="2176" spans="1:15" x14ac:dyDescent="0.35">
      <c r="A2176" t="s">
        <v>2155</v>
      </c>
      <c r="B2176">
        <v>61</v>
      </c>
      <c r="C2176" t="s">
        <v>4803</v>
      </c>
      <c r="D2176" t="s">
        <v>13</v>
      </c>
      <c r="E2176">
        <v>64</v>
      </c>
      <c r="F2176">
        <v>14</v>
      </c>
      <c r="G2176" t="s">
        <v>4798</v>
      </c>
      <c r="H2176" t="s">
        <v>4805</v>
      </c>
      <c r="I2176">
        <v>13.99</v>
      </c>
      <c r="J2176">
        <v>1</v>
      </c>
      <c r="K2176">
        <v>2.13</v>
      </c>
      <c r="L2176">
        <v>0</v>
      </c>
      <c r="M2176" t="s">
        <v>4811</v>
      </c>
      <c r="N2176" t="s">
        <v>4900</v>
      </c>
      <c r="O2176" t="s">
        <v>4911</v>
      </c>
    </row>
    <row r="2177" spans="1:15" x14ac:dyDescent="0.35">
      <c r="A2177" t="s">
        <v>2156</v>
      </c>
      <c r="B2177">
        <v>61</v>
      </c>
      <c r="C2177" t="s">
        <v>4803</v>
      </c>
      <c r="D2177" t="s">
        <v>15</v>
      </c>
      <c r="E2177">
        <v>61</v>
      </c>
      <c r="F2177">
        <v>18</v>
      </c>
      <c r="G2177" t="s">
        <v>4797</v>
      </c>
      <c r="H2177" t="s">
        <v>4805</v>
      </c>
      <c r="I2177">
        <v>17.989999999999998</v>
      </c>
      <c r="J2177">
        <v>3</v>
      </c>
      <c r="K2177">
        <v>2.0299999999999998</v>
      </c>
      <c r="L2177">
        <v>0</v>
      </c>
      <c r="M2177" t="s">
        <v>4811</v>
      </c>
      <c r="N2177" t="s">
        <v>4900</v>
      </c>
      <c r="O2177" t="s">
        <v>4911</v>
      </c>
    </row>
    <row r="2178" spans="1:15" x14ac:dyDescent="0.35">
      <c r="A2178" t="s">
        <v>2157</v>
      </c>
      <c r="B2178">
        <v>35</v>
      </c>
      <c r="C2178" t="s">
        <v>4803</v>
      </c>
      <c r="D2178" t="s">
        <v>13</v>
      </c>
      <c r="E2178">
        <v>41</v>
      </c>
      <c r="F2178">
        <v>31</v>
      </c>
      <c r="G2178" t="s">
        <v>4798</v>
      </c>
      <c r="H2178" t="s">
        <v>4805</v>
      </c>
      <c r="I2178">
        <v>13.99</v>
      </c>
      <c r="J2178">
        <v>4</v>
      </c>
      <c r="K2178">
        <v>1.37</v>
      </c>
      <c r="L2178">
        <v>0</v>
      </c>
      <c r="M2178" t="s">
        <v>4809</v>
      </c>
      <c r="N2178" t="s">
        <v>4900</v>
      </c>
      <c r="O2178" t="s">
        <v>4910</v>
      </c>
    </row>
    <row r="2179" spans="1:15" x14ac:dyDescent="0.35">
      <c r="A2179" t="s">
        <v>2158</v>
      </c>
      <c r="B2179">
        <v>38</v>
      </c>
      <c r="C2179" t="s">
        <v>4803</v>
      </c>
      <c r="D2179" t="s">
        <v>13</v>
      </c>
      <c r="E2179">
        <v>55</v>
      </c>
      <c r="F2179">
        <v>55</v>
      </c>
      <c r="G2179" t="s">
        <v>4799</v>
      </c>
      <c r="H2179" t="s">
        <v>4804</v>
      </c>
      <c r="I2179">
        <v>13.99</v>
      </c>
      <c r="J2179">
        <v>4</v>
      </c>
      <c r="K2179">
        <v>1.83</v>
      </c>
      <c r="L2179">
        <v>0</v>
      </c>
      <c r="M2179" t="s">
        <v>4809</v>
      </c>
      <c r="N2179" t="s">
        <v>4900</v>
      </c>
      <c r="O2179" t="s">
        <v>4910</v>
      </c>
    </row>
    <row r="2180" spans="1:15" x14ac:dyDescent="0.35">
      <c r="A2180" t="s">
        <v>2159</v>
      </c>
      <c r="B2180">
        <v>36</v>
      </c>
      <c r="C2180" t="s">
        <v>4803</v>
      </c>
      <c r="D2180" t="s">
        <v>13</v>
      </c>
      <c r="E2180">
        <v>75</v>
      </c>
      <c r="F2180">
        <v>4</v>
      </c>
      <c r="G2180" t="s">
        <v>4799</v>
      </c>
      <c r="H2180" t="s">
        <v>4807</v>
      </c>
      <c r="I2180">
        <v>13.99</v>
      </c>
      <c r="J2180">
        <v>4</v>
      </c>
      <c r="K2180">
        <v>2.5</v>
      </c>
      <c r="L2180">
        <v>0</v>
      </c>
      <c r="M2180" t="s">
        <v>4809</v>
      </c>
      <c r="N2180" t="s">
        <v>4900</v>
      </c>
      <c r="O2180" t="s">
        <v>4910</v>
      </c>
    </row>
    <row r="2181" spans="1:15" x14ac:dyDescent="0.35">
      <c r="A2181" t="s">
        <v>2160</v>
      </c>
      <c r="B2181">
        <v>24</v>
      </c>
      <c r="C2181" t="s">
        <v>4802</v>
      </c>
      <c r="D2181" t="s">
        <v>13</v>
      </c>
      <c r="E2181">
        <v>65</v>
      </c>
      <c r="F2181">
        <v>8</v>
      </c>
      <c r="G2181" t="s">
        <v>4797</v>
      </c>
      <c r="H2181" t="s">
        <v>4806</v>
      </c>
      <c r="I2181">
        <v>13.99</v>
      </c>
      <c r="J2181">
        <v>1</v>
      </c>
      <c r="K2181">
        <v>2.17</v>
      </c>
      <c r="L2181">
        <v>1</v>
      </c>
      <c r="M2181" t="s">
        <v>4809</v>
      </c>
      <c r="N2181" t="s">
        <v>4899</v>
      </c>
      <c r="O2181" t="s">
        <v>4912</v>
      </c>
    </row>
    <row r="2182" spans="1:15" x14ac:dyDescent="0.35">
      <c r="A2182" t="s">
        <v>4831</v>
      </c>
      <c r="B2182">
        <v>30</v>
      </c>
      <c r="C2182" t="s">
        <v>4802</v>
      </c>
      <c r="D2182" t="s">
        <v>13</v>
      </c>
      <c r="E2182">
        <v>75</v>
      </c>
      <c r="F2182">
        <v>56</v>
      </c>
      <c r="G2182" t="s">
        <v>4798</v>
      </c>
      <c r="H2182" t="s">
        <v>4806</v>
      </c>
      <c r="I2182">
        <v>13.99</v>
      </c>
      <c r="J2182">
        <v>1</v>
      </c>
      <c r="K2182">
        <v>2.5</v>
      </c>
      <c r="L2182">
        <v>0</v>
      </c>
      <c r="M2182" t="s">
        <v>4810</v>
      </c>
      <c r="N2182" t="s">
        <v>4900</v>
      </c>
      <c r="O2182" t="s">
        <v>4912</v>
      </c>
    </row>
    <row r="2183" spans="1:15" x14ac:dyDescent="0.35">
      <c r="A2183" t="s">
        <v>2161</v>
      </c>
      <c r="B2183">
        <v>56</v>
      </c>
      <c r="C2183" t="s">
        <v>4802</v>
      </c>
      <c r="D2183" t="s">
        <v>15</v>
      </c>
      <c r="E2183">
        <v>67</v>
      </c>
      <c r="F2183">
        <v>13</v>
      </c>
      <c r="G2183" t="s">
        <v>4800</v>
      </c>
      <c r="H2183" t="s">
        <v>4805</v>
      </c>
      <c r="I2183">
        <v>17.989999999999998</v>
      </c>
      <c r="J2183">
        <v>2</v>
      </c>
      <c r="K2183">
        <v>2.0299999999999998</v>
      </c>
      <c r="L2183">
        <v>0</v>
      </c>
      <c r="M2183" t="s">
        <v>4811</v>
      </c>
      <c r="N2183" t="s">
        <v>4900</v>
      </c>
      <c r="O2183" t="s">
        <v>4911</v>
      </c>
    </row>
    <row r="2184" spans="1:15" x14ac:dyDescent="0.35">
      <c r="A2184" t="s">
        <v>2162</v>
      </c>
      <c r="B2184">
        <v>30</v>
      </c>
      <c r="C2184" t="s">
        <v>4803</v>
      </c>
      <c r="D2184" t="s">
        <v>13</v>
      </c>
      <c r="E2184">
        <v>52</v>
      </c>
      <c r="F2184">
        <v>42</v>
      </c>
      <c r="G2184" t="s">
        <v>4798</v>
      </c>
      <c r="H2184" t="s">
        <v>4806</v>
      </c>
      <c r="I2184">
        <v>13.99</v>
      </c>
      <c r="J2184">
        <v>4</v>
      </c>
      <c r="K2184">
        <v>1.73</v>
      </c>
      <c r="L2184">
        <v>0</v>
      </c>
      <c r="M2184" t="s">
        <v>4808</v>
      </c>
      <c r="N2184" t="s">
        <v>4900</v>
      </c>
      <c r="O2184" t="s">
        <v>4912</v>
      </c>
    </row>
    <row r="2185" spans="1:15" x14ac:dyDescent="0.35">
      <c r="A2185" t="s">
        <v>2163</v>
      </c>
      <c r="B2185">
        <v>38</v>
      </c>
      <c r="C2185" t="s">
        <v>4802</v>
      </c>
      <c r="D2185" t="s">
        <v>15</v>
      </c>
      <c r="E2185">
        <v>60</v>
      </c>
      <c r="F2185">
        <v>4</v>
      </c>
      <c r="G2185" t="s">
        <v>4799</v>
      </c>
      <c r="H2185" t="s">
        <v>4804</v>
      </c>
      <c r="I2185">
        <v>17.989999999999998</v>
      </c>
      <c r="J2185">
        <v>5</v>
      </c>
      <c r="K2185">
        <v>2</v>
      </c>
      <c r="L2185">
        <v>0</v>
      </c>
      <c r="M2185" t="s">
        <v>4811</v>
      </c>
      <c r="N2185" t="s">
        <v>4900</v>
      </c>
      <c r="O2185" t="s">
        <v>4910</v>
      </c>
    </row>
    <row r="2186" spans="1:15" x14ac:dyDescent="0.35">
      <c r="A2186" t="s">
        <v>2164</v>
      </c>
      <c r="B2186">
        <v>47</v>
      </c>
      <c r="C2186" t="s">
        <v>4802</v>
      </c>
      <c r="D2186" t="s">
        <v>14</v>
      </c>
      <c r="E2186">
        <v>101</v>
      </c>
      <c r="F2186">
        <v>12</v>
      </c>
      <c r="G2186" t="s">
        <v>4797</v>
      </c>
      <c r="H2186" t="s">
        <v>4805</v>
      </c>
      <c r="I2186">
        <v>8.99</v>
      </c>
      <c r="J2186">
        <v>4</v>
      </c>
      <c r="K2186">
        <v>3.37</v>
      </c>
      <c r="L2186">
        <v>0</v>
      </c>
      <c r="M2186" t="s">
        <v>4809</v>
      </c>
      <c r="N2186" t="s">
        <v>4900</v>
      </c>
      <c r="O2186" t="s">
        <v>4910</v>
      </c>
    </row>
    <row r="2187" spans="1:15" x14ac:dyDescent="0.35">
      <c r="A2187" t="s">
        <v>2165</v>
      </c>
      <c r="B2187">
        <v>28</v>
      </c>
      <c r="C2187" t="s">
        <v>4802</v>
      </c>
      <c r="D2187" t="s">
        <v>13</v>
      </c>
      <c r="E2187">
        <v>73</v>
      </c>
      <c r="F2187">
        <v>26</v>
      </c>
      <c r="G2187" t="s">
        <v>4797</v>
      </c>
      <c r="H2187" t="s">
        <v>4805</v>
      </c>
      <c r="I2187">
        <v>13.99</v>
      </c>
      <c r="J2187">
        <v>4</v>
      </c>
      <c r="K2187">
        <v>2.4300000000000002</v>
      </c>
      <c r="L2187">
        <v>0</v>
      </c>
      <c r="M2187" t="s">
        <v>4809</v>
      </c>
      <c r="N2187" t="s">
        <v>4900</v>
      </c>
      <c r="O2187" t="s">
        <v>4912</v>
      </c>
    </row>
    <row r="2188" spans="1:15" x14ac:dyDescent="0.35">
      <c r="A2188" t="s">
        <v>2166</v>
      </c>
      <c r="B2188">
        <v>35</v>
      </c>
      <c r="C2188" t="s">
        <v>4803</v>
      </c>
      <c r="D2188" t="s">
        <v>15</v>
      </c>
      <c r="E2188">
        <v>66</v>
      </c>
      <c r="F2188">
        <v>56</v>
      </c>
      <c r="G2188" t="s">
        <v>4798</v>
      </c>
      <c r="H2188" t="s">
        <v>4804</v>
      </c>
      <c r="I2188">
        <v>17.989999999999998</v>
      </c>
      <c r="J2188">
        <v>4</v>
      </c>
      <c r="K2188">
        <v>2.2000000000000002</v>
      </c>
      <c r="L2188">
        <v>0</v>
      </c>
      <c r="M2188" t="s">
        <v>4811</v>
      </c>
      <c r="N2188" t="s">
        <v>4900</v>
      </c>
      <c r="O2188" t="s">
        <v>4910</v>
      </c>
    </row>
    <row r="2189" spans="1:15" x14ac:dyDescent="0.35">
      <c r="A2189" t="s">
        <v>2167</v>
      </c>
      <c r="B2189">
        <v>50</v>
      </c>
      <c r="C2189" t="s">
        <v>4803</v>
      </c>
      <c r="D2189" t="s">
        <v>15</v>
      </c>
      <c r="E2189">
        <v>96</v>
      </c>
      <c r="F2189">
        <v>42</v>
      </c>
      <c r="G2189" t="s">
        <v>4797</v>
      </c>
      <c r="H2189" t="s">
        <v>4804</v>
      </c>
      <c r="I2189">
        <v>17.989999999999998</v>
      </c>
      <c r="J2189">
        <v>2</v>
      </c>
      <c r="K2189">
        <v>3.2</v>
      </c>
      <c r="L2189">
        <v>1</v>
      </c>
      <c r="M2189" t="s">
        <v>4808</v>
      </c>
      <c r="N2189" t="s">
        <v>4899</v>
      </c>
      <c r="O2189" t="s">
        <v>4910</v>
      </c>
    </row>
    <row r="2190" spans="1:15" x14ac:dyDescent="0.35">
      <c r="A2190" t="s">
        <v>2168</v>
      </c>
      <c r="B2190">
        <v>54</v>
      </c>
      <c r="C2190" t="s">
        <v>4802</v>
      </c>
      <c r="D2190" t="s">
        <v>15</v>
      </c>
      <c r="E2190">
        <v>101</v>
      </c>
      <c r="F2190">
        <v>2</v>
      </c>
      <c r="G2190" t="s">
        <v>4799</v>
      </c>
      <c r="H2190" t="s">
        <v>4807</v>
      </c>
      <c r="I2190">
        <v>17.989999999999998</v>
      </c>
      <c r="J2190">
        <v>3</v>
      </c>
      <c r="K2190">
        <v>3.37</v>
      </c>
      <c r="L2190">
        <v>0</v>
      </c>
      <c r="M2190" t="s">
        <v>4812</v>
      </c>
      <c r="N2190" t="s">
        <v>4900</v>
      </c>
      <c r="O2190" t="s">
        <v>4910</v>
      </c>
    </row>
    <row r="2191" spans="1:15" x14ac:dyDescent="0.35">
      <c r="A2191" t="s">
        <v>2169</v>
      </c>
      <c r="B2191">
        <v>27</v>
      </c>
      <c r="C2191" t="s">
        <v>4803</v>
      </c>
      <c r="D2191" t="s">
        <v>13</v>
      </c>
      <c r="E2191">
        <v>67</v>
      </c>
      <c r="F2191">
        <v>25</v>
      </c>
      <c r="G2191" t="s">
        <v>4798</v>
      </c>
      <c r="H2191" t="s">
        <v>4807</v>
      </c>
      <c r="I2191">
        <v>13.99</v>
      </c>
      <c r="J2191">
        <v>2</v>
      </c>
      <c r="K2191">
        <v>2.23</v>
      </c>
      <c r="L2191">
        <v>1</v>
      </c>
      <c r="M2191" t="s">
        <v>4808</v>
      </c>
      <c r="N2191" t="s">
        <v>4899</v>
      </c>
      <c r="O2191" t="s">
        <v>4912</v>
      </c>
    </row>
    <row r="2192" spans="1:15" x14ac:dyDescent="0.35">
      <c r="A2192" t="s">
        <v>2170</v>
      </c>
      <c r="B2192">
        <v>28</v>
      </c>
      <c r="C2192" t="s">
        <v>4802</v>
      </c>
      <c r="D2192" t="s">
        <v>13</v>
      </c>
      <c r="E2192">
        <v>53</v>
      </c>
      <c r="F2192">
        <v>40</v>
      </c>
      <c r="G2192" t="s">
        <v>4799</v>
      </c>
      <c r="H2192" t="s">
        <v>4805</v>
      </c>
      <c r="I2192">
        <v>13.99</v>
      </c>
      <c r="J2192">
        <v>4</v>
      </c>
      <c r="K2192">
        <v>1.77</v>
      </c>
      <c r="L2192">
        <v>0</v>
      </c>
      <c r="M2192" t="s">
        <v>4812</v>
      </c>
      <c r="N2192" t="s">
        <v>4900</v>
      </c>
      <c r="O2192" t="s">
        <v>4912</v>
      </c>
    </row>
    <row r="2193" spans="1:15" x14ac:dyDescent="0.35">
      <c r="A2193" t="s">
        <v>2171</v>
      </c>
      <c r="B2193">
        <v>64</v>
      </c>
      <c r="C2193" t="s">
        <v>4802</v>
      </c>
      <c r="D2193" t="s">
        <v>13</v>
      </c>
      <c r="E2193">
        <v>43</v>
      </c>
      <c r="F2193">
        <v>28</v>
      </c>
      <c r="G2193" t="s">
        <v>4798</v>
      </c>
      <c r="H2193" t="s">
        <v>4806</v>
      </c>
      <c r="I2193">
        <v>13.99</v>
      </c>
      <c r="J2193">
        <v>2</v>
      </c>
      <c r="K2193">
        <v>1.43</v>
      </c>
      <c r="L2193">
        <v>0</v>
      </c>
      <c r="M2193" t="s">
        <v>4811</v>
      </c>
      <c r="N2193" t="s">
        <v>4900</v>
      </c>
      <c r="O2193" t="s">
        <v>4911</v>
      </c>
    </row>
    <row r="2194" spans="1:15" x14ac:dyDescent="0.35">
      <c r="A2194" t="s">
        <v>2172</v>
      </c>
      <c r="B2194">
        <v>36</v>
      </c>
      <c r="C2194" t="s">
        <v>4803</v>
      </c>
      <c r="D2194" t="s">
        <v>13</v>
      </c>
      <c r="E2194">
        <v>54</v>
      </c>
      <c r="F2194">
        <v>36</v>
      </c>
      <c r="G2194" t="s">
        <v>4797</v>
      </c>
      <c r="H2194" t="s">
        <v>4805</v>
      </c>
      <c r="I2194">
        <v>13.99</v>
      </c>
      <c r="J2194">
        <v>4</v>
      </c>
      <c r="K2194">
        <v>1.8</v>
      </c>
      <c r="L2194">
        <v>0</v>
      </c>
      <c r="M2194" t="s">
        <v>4810</v>
      </c>
      <c r="N2194" t="s">
        <v>4900</v>
      </c>
      <c r="O2194" t="s">
        <v>4910</v>
      </c>
    </row>
    <row r="2195" spans="1:15" x14ac:dyDescent="0.35">
      <c r="A2195" t="s">
        <v>2173</v>
      </c>
      <c r="B2195">
        <v>57</v>
      </c>
      <c r="C2195" t="s">
        <v>4802</v>
      </c>
      <c r="D2195" t="s">
        <v>13</v>
      </c>
      <c r="E2195">
        <v>38</v>
      </c>
      <c r="F2195">
        <v>59</v>
      </c>
      <c r="G2195" t="s">
        <v>4797</v>
      </c>
      <c r="H2195" t="s">
        <v>4806</v>
      </c>
      <c r="I2195">
        <v>13.99</v>
      </c>
      <c r="J2195">
        <v>2</v>
      </c>
      <c r="K2195">
        <v>1.27</v>
      </c>
      <c r="L2195">
        <v>1</v>
      </c>
      <c r="M2195" t="s">
        <v>4811</v>
      </c>
      <c r="N2195" t="s">
        <v>4899</v>
      </c>
      <c r="O2195" t="s">
        <v>4911</v>
      </c>
    </row>
    <row r="2196" spans="1:15" x14ac:dyDescent="0.35">
      <c r="A2196" t="s">
        <v>2174</v>
      </c>
      <c r="B2196">
        <v>18</v>
      </c>
      <c r="C2196" t="s">
        <v>4803</v>
      </c>
      <c r="D2196" t="s">
        <v>15</v>
      </c>
      <c r="E2196">
        <v>86</v>
      </c>
      <c r="F2196">
        <v>25</v>
      </c>
      <c r="G2196" t="s">
        <v>4797</v>
      </c>
      <c r="H2196" t="s">
        <v>4806</v>
      </c>
      <c r="I2196">
        <v>17.989999999999998</v>
      </c>
      <c r="J2196">
        <v>5</v>
      </c>
      <c r="K2196">
        <v>5</v>
      </c>
      <c r="L2196">
        <v>0</v>
      </c>
      <c r="M2196" t="s">
        <v>4808</v>
      </c>
      <c r="N2196" t="s">
        <v>4900</v>
      </c>
      <c r="O2196" t="s">
        <v>4912</v>
      </c>
    </row>
    <row r="2197" spans="1:15" x14ac:dyDescent="0.35">
      <c r="A2197" t="s">
        <v>2175</v>
      </c>
      <c r="B2197">
        <v>41</v>
      </c>
      <c r="C2197" t="s">
        <v>4802</v>
      </c>
      <c r="D2197" t="s">
        <v>13</v>
      </c>
      <c r="E2197">
        <v>41</v>
      </c>
      <c r="F2197">
        <v>23</v>
      </c>
      <c r="G2197" t="s">
        <v>4798</v>
      </c>
      <c r="H2197" t="s">
        <v>4805</v>
      </c>
      <c r="I2197">
        <v>13.99</v>
      </c>
      <c r="J2197">
        <v>1</v>
      </c>
      <c r="K2197">
        <v>1.37</v>
      </c>
      <c r="L2197">
        <v>0</v>
      </c>
      <c r="M2197" t="s">
        <v>4808</v>
      </c>
      <c r="N2197" t="s">
        <v>4900</v>
      </c>
      <c r="O2197" t="s">
        <v>4910</v>
      </c>
    </row>
    <row r="2198" spans="1:15" x14ac:dyDescent="0.35">
      <c r="A2198" t="s">
        <v>2176</v>
      </c>
      <c r="B2198">
        <v>24</v>
      </c>
      <c r="C2198" t="s">
        <v>4803</v>
      </c>
      <c r="D2198" t="s">
        <v>13</v>
      </c>
      <c r="E2198">
        <v>57</v>
      </c>
      <c r="F2198">
        <v>44</v>
      </c>
      <c r="G2198" t="s">
        <v>4797</v>
      </c>
      <c r="H2198" t="s">
        <v>4804</v>
      </c>
      <c r="I2198">
        <v>13.99</v>
      </c>
      <c r="J2198">
        <v>3</v>
      </c>
      <c r="K2198">
        <v>2.0299999999999998</v>
      </c>
      <c r="L2198">
        <v>0</v>
      </c>
      <c r="M2198" t="s">
        <v>4809</v>
      </c>
      <c r="N2198" t="s">
        <v>4900</v>
      </c>
      <c r="O2198" t="s">
        <v>4912</v>
      </c>
    </row>
    <row r="2199" spans="1:15" x14ac:dyDescent="0.35">
      <c r="A2199" t="s">
        <v>2177</v>
      </c>
      <c r="B2199">
        <v>49</v>
      </c>
      <c r="C2199" t="s">
        <v>4803</v>
      </c>
      <c r="D2199" t="s">
        <v>13</v>
      </c>
      <c r="E2199">
        <v>77</v>
      </c>
      <c r="F2199">
        <v>57</v>
      </c>
      <c r="G2199" t="s">
        <v>4799</v>
      </c>
      <c r="H2199" t="s">
        <v>4805</v>
      </c>
      <c r="I2199">
        <v>13.99</v>
      </c>
      <c r="J2199">
        <v>3</v>
      </c>
      <c r="K2199">
        <v>2.57</v>
      </c>
      <c r="L2199">
        <v>0</v>
      </c>
      <c r="M2199" t="s">
        <v>4810</v>
      </c>
      <c r="N2199" t="s">
        <v>4900</v>
      </c>
      <c r="O2199" t="s">
        <v>4910</v>
      </c>
    </row>
    <row r="2200" spans="1:15" x14ac:dyDescent="0.35">
      <c r="A2200" t="s">
        <v>2178</v>
      </c>
      <c r="B2200">
        <v>55</v>
      </c>
      <c r="C2200" t="s">
        <v>4803</v>
      </c>
      <c r="D2200" t="s">
        <v>13</v>
      </c>
      <c r="E2200">
        <v>70</v>
      </c>
      <c r="F2200">
        <v>58</v>
      </c>
      <c r="G2200" t="s">
        <v>4798</v>
      </c>
      <c r="H2200" t="s">
        <v>4807</v>
      </c>
      <c r="I2200">
        <v>13.99</v>
      </c>
      <c r="J2200">
        <v>2</v>
      </c>
      <c r="K2200">
        <v>2.33</v>
      </c>
      <c r="L2200">
        <v>0</v>
      </c>
      <c r="M2200" t="s">
        <v>4808</v>
      </c>
      <c r="N2200" t="s">
        <v>4900</v>
      </c>
      <c r="O2200" t="s">
        <v>4911</v>
      </c>
    </row>
    <row r="2201" spans="1:15" x14ac:dyDescent="0.35">
      <c r="A2201" t="s">
        <v>2179</v>
      </c>
      <c r="B2201">
        <v>33</v>
      </c>
      <c r="C2201" t="s">
        <v>4803</v>
      </c>
      <c r="D2201" t="s">
        <v>15</v>
      </c>
      <c r="E2201">
        <v>36</v>
      </c>
      <c r="F2201">
        <v>34</v>
      </c>
      <c r="G2201" t="s">
        <v>4798</v>
      </c>
      <c r="H2201" t="s">
        <v>4804</v>
      </c>
      <c r="I2201">
        <v>17.989999999999998</v>
      </c>
      <c r="J2201">
        <v>1</v>
      </c>
      <c r="K2201">
        <v>1.2</v>
      </c>
      <c r="L2201">
        <v>0</v>
      </c>
      <c r="M2201" t="s">
        <v>4812</v>
      </c>
      <c r="N2201" t="s">
        <v>4900</v>
      </c>
      <c r="O2201" t="s">
        <v>4912</v>
      </c>
    </row>
    <row r="2202" spans="1:15" x14ac:dyDescent="0.35">
      <c r="A2202" t="s">
        <v>2180</v>
      </c>
      <c r="B2202">
        <v>49</v>
      </c>
      <c r="C2202" t="s">
        <v>4802</v>
      </c>
      <c r="D2202" t="s">
        <v>13</v>
      </c>
      <c r="E2202">
        <v>46</v>
      </c>
      <c r="F2202">
        <v>33</v>
      </c>
      <c r="G2202" t="s">
        <v>4798</v>
      </c>
      <c r="H2202" t="s">
        <v>4804</v>
      </c>
      <c r="I2202">
        <v>13.99</v>
      </c>
      <c r="J2202">
        <v>1</v>
      </c>
      <c r="K2202">
        <v>1.53</v>
      </c>
      <c r="L2202">
        <v>0</v>
      </c>
      <c r="M2202" t="s">
        <v>4811</v>
      </c>
      <c r="N2202" t="s">
        <v>4900</v>
      </c>
      <c r="O2202" t="s">
        <v>4910</v>
      </c>
    </row>
    <row r="2203" spans="1:15" x14ac:dyDescent="0.35">
      <c r="A2203" t="s">
        <v>2181</v>
      </c>
      <c r="B2203">
        <v>42</v>
      </c>
      <c r="C2203" t="s">
        <v>4802</v>
      </c>
      <c r="D2203" t="s">
        <v>13</v>
      </c>
      <c r="E2203">
        <v>52</v>
      </c>
      <c r="F2203">
        <v>47</v>
      </c>
      <c r="G2203" t="s">
        <v>4798</v>
      </c>
      <c r="H2203" t="s">
        <v>4806</v>
      </c>
      <c r="I2203">
        <v>13.99</v>
      </c>
      <c r="J2203">
        <v>2</v>
      </c>
      <c r="K2203">
        <v>5</v>
      </c>
      <c r="L2203">
        <v>0</v>
      </c>
      <c r="M2203" t="s">
        <v>4811</v>
      </c>
      <c r="N2203" t="s">
        <v>4900</v>
      </c>
      <c r="O2203" t="s">
        <v>4910</v>
      </c>
    </row>
    <row r="2204" spans="1:15" x14ac:dyDescent="0.35">
      <c r="A2204" t="s">
        <v>2182</v>
      </c>
      <c r="B2204">
        <v>33</v>
      </c>
      <c r="C2204" t="s">
        <v>4803</v>
      </c>
      <c r="D2204" t="s">
        <v>13</v>
      </c>
      <c r="E2204">
        <v>73</v>
      </c>
      <c r="F2204" t="s">
        <v>4814</v>
      </c>
      <c r="G2204" t="s">
        <v>4799</v>
      </c>
      <c r="H2204" t="s">
        <v>4806</v>
      </c>
      <c r="I2204">
        <v>13.99</v>
      </c>
      <c r="J2204">
        <v>4</v>
      </c>
      <c r="K2204">
        <v>2.4300000000000002</v>
      </c>
      <c r="L2204">
        <v>0</v>
      </c>
      <c r="M2204" t="s">
        <v>4812</v>
      </c>
      <c r="N2204" t="s">
        <v>4900</v>
      </c>
      <c r="O2204" t="s">
        <v>4912</v>
      </c>
    </row>
    <row r="2205" spans="1:15" x14ac:dyDescent="0.35">
      <c r="A2205" t="s">
        <v>2183</v>
      </c>
      <c r="B2205">
        <v>43</v>
      </c>
      <c r="C2205" t="s">
        <v>4802</v>
      </c>
      <c r="D2205" t="s">
        <v>13</v>
      </c>
      <c r="E2205">
        <v>79</v>
      </c>
      <c r="F2205">
        <v>58</v>
      </c>
      <c r="G2205" t="s">
        <v>4797</v>
      </c>
      <c r="H2205" t="s">
        <v>4804</v>
      </c>
      <c r="I2205">
        <v>13.99</v>
      </c>
      <c r="J2205">
        <v>1</v>
      </c>
      <c r="K2205">
        <v>2.63</v>
      </c>
      <c r="L2205">
        <v>1</v>
      </c>
      <c r="M2205" t="s">
        <v>4810</v>
      </c>
      <c r="N2205" t="s">
        <v>4899</v>
      </c>
      <c r="O2205" t="s">
        <v>4910</v>
      </c>
    </row>
    <row r="2206" spans="1:15" x14ac:dyDescent="0.35">
      <c r="A2206" t="s">
        <v>2184</v>
      </c>
      <c r="B2206">
        <v>38</v>
      </c>
      <c r="C2206" t="s">
        <v>4802</v>
      </c>
      <c r="D2206" t="s">
        <v>15</v>
      </c>
      <c r="E2206">
        <v>103</v>
      </c>
      <c r="F2206">
        <v>45</v>
      </c>
      <c r="G2206" t="s">
        <v>4798</v>
      </c>
      <c r="H2206" t="s">
        <v>4805</v>
      </c>
      <c r="I2206">
        <v>17.989999999999998</v>
      </c>
      <c r="J2206">
        <v>5</v>
      </c>
      <c r="K2206">
        <v>3.43</v>
      </c>
      <c r="L2206">
        <v>1</v>
      </c>
      <c r="M2206" t="s">
        <v>4811</v>
      </c>
      <c r="N2206" t="s">
        <v>4899</v>
      </c>
      <c r="O2206" t="s">
        <v>4910</v>
      </c>
    </row>
    <row r="2207" spans="1:15" x14ac:dyDescent="0.35">
      <c r="A2207" t="s">
        <v>4868</v>
      </c>
      <c r="B2207">
        <v>51</v>
      </c>
      <c r="C2207" t="s">
        <v>4803</v>
      </c>
      <c r="D2207" t="s">
        <v>15</v>
      </c>
      <c r="E2207">
        <v>103</v>
      </c>
      <c r="F2207">
        <v>17</v>
      </c>
      <c r="G2207" t="s">
        <v>4799</v>
      </c>
      <c r="H2207" t="s">
        <v>4804</v>
      </c>
      <c r="I2207">
        <v>17.989999999999998</v>
      </c>
      <c r="J2207">
        <v>3</v>
      </c>
      <c r="K2207">
        <v>3.43</v>
      </c>
      <c r="L2207">
        <v>0</v>
      </c>
      <c r="M2207" t="s">
        <v>4808</v>
      </c>
      <c r="N2207" t="s">
        <v>4900</v>
      </c>
      <c r="O2207" t="s">
        <v>4910</v>
      </c>
    </row>
    <row r="2208" spans="1:15" x14ac:dyDescent="0.35">
      <c r="A2208" t="s">
        <v>2185</v>
      </c>
      <c r="B2208">
        <v>38</v>
      </c>
      <c r="C2208" t="s">
        <v>4803</v>
      </c>
      <c r="D2208" t="s">
        <v>13</v>
      </c>
      <c r="E2208">
        <v>53</v>
      </c>
      <c r="F2208">
        <v>30</v>
      </c>
      <c r="G2208" t="s">
        <v>4798</v>
      </c>
      <c r="H2208" t="s">
        <v>4806</v>
      </c>
      <c r="I2208">
        <v>13.99</v>
      </c>
      <c r="J2208">
        <v>2</v>
      </c>
      <c r="K2208">
        <v>1.77</v>
      </c>
      <c r="L2208">
        <v>0</v>
      </c>
      <c r="M2208" t="s">
        <v>4812</v>
      </c>
      <c r="N2208" t="s">
        <v>4900</v>
      </c>
      <c r="O2208" t="s">
        <v>4910</v>
      </c>
    </row>
    <row r="2209" spans="1:15" x14ac:dyDescent="0.35">
      <c r="A2209" t="s">
        <v>2186</v>
      </c>
      <c r="B2209">
        <v>36</v>
      </c>
      <c r="C2209" t="s">
        <v>4802</v>
      </c>
      <c r="D2209" t="s">
        <v>15</v>
      </c>
      <c r="E2209">
        <v>72</v>
      </c>
      <c r="F2209">
        <v>25</v>
      </c>
      <c r="G2209" t="s">
        <v>4797</v>
      </c>
      <c r="H2209" t="s">
        <v>4805</v>
      </c>
      <c r="I2209">
        <v>17.989999999999998</v>
      </c>
      <c r="J2209">
        <v>4</v>
      </c>
      <c r="K2209">
        <v>2.4</v>
      </c>
      <c r="L2209">
        <v>0</v>
      </c>
      <c r="M2209" t="s">
        <v>4812</v>
      </c>
      <c r="N2209" t="s">
        <v>4900</v>
      </c>
      <c r="O2209" t="s">
        <v>4910</v>
      </c>
    </row>
    <row r="2210" spans="1:15" x14ac:dyDescent="0.35">
      <c r="A2210" t="s">
        <v>2187</v>
      </c>
      <c r="B2210">
        <v>26</v>
      </c>
      <c r="C2210" t="s">
        <v>4802</v>
      </c>
      <c r="D2210" t="s">
        <v>15</v>
      </c>
      <c r="E2210">
        <v>99</v>
      </c>
      <c r="F2210">
        <v>32</v>
      </c>
      <c r="G2210" t="s">
        <v>4797</v>
      </c>
      <c r="H2210" t="s">
        <v>4804</v>
      </c>
      <c r="I2210">
        <v>17.989999999999998</v>
      </c>
      <c r="J2210">
        <v>3</v>
      </c>
      <c r="K2210">
        <v>2.0299999999999998</v>
      </c>
      <c r="L2210">
        <v>0</v>
      </c>
      <c r="M2210" t="s">
        <v>4811</v>
      </c>
      <c r="N2210" t="s">
        <v>4900</v>
      </c>
      <c r="O2210" t="s">
        <v>4912</v>
      </c>
    </row>
    <row r="2211" spans="1:15" x14ac:dyDescent="0.35">
      <c r="A2211" t="s">
        <v>2188</v>
      </c>
      <c r="B2211">
        <v>60</v>
      </c>
      <c r="C2211" t="s">
        <v>4803</v>
      </c>
      <c r="D2211" t="s">
        <v>13</v>
      </c>
      <c r="E2211">
        <v>37</v>
      </c>
      <c r="F2211">
        <v>1</v>
      </c>
      <c r="G2211" t="s">
        <v>4797</v>
      </c>
      <c r="H2211" t="s">
        <v>4804</v>
      </c>
      <c r="I2211">
        <v>13.99</v>
      </c>
      <c r="J2211">
        <v>1</v>
      </c>
      <c r="K2211">
        <v>1.23</v>
      </c>
      <c r="L2211">
        <v>0</v>
      </c>
      <c r="M2211" t="s">
        <v>4811</v>
      </c>
      <c r="N2211" t="s">
        <v>4900</v>
      </c>
      <c r="O2211" t="s">
        <v>4911</v>
      </c>
    </row>
    <row r="2212" spans="1:15" x14ac:dyDescent="0.35">
      <c r="A2212" t="s">
        <v>2189</v>
      </c>
      <c r="B2212">
        <v>33</v>
      </c>
      <c r="C2212" t="s">
        <v>4802</v>
      </c>
      <c r="D2212" t="s">
        <v>15</v>
      </c>
      <c r="E2212">
        <v>120</v>
      </c>
      <c r="F2212">
        <v>15</v>
      </c>
      <c r="G2212" t="s">
        <v>4799</v>
      </c>
      <c r="H2212" t="s">
        <v>4804</v>
      </c>
      <c r="I2212">
        <v>17.989999999999998</v>
      </c>
      <c r="J2212">
        <v>5</v>
      </c>
      <c r="K2212">
        <v>4</v>
      </c>
      <c r="L2212">
        <v>0</v>
      </c>
      <c r="M2212" t="s">
        <v>4810</v>
      </c>
      <c r="N2212" t="s">
        <v>4900</v>
      </c>
      <c r="O2212" t="s">
        <v>4912</v>
      </c>
    </row>
    <row r="2213" spans="1:15" x14ac:dyDescent="0.35">
      <c r="A2213" t="s">
        <v>2190</v>
      </c>
      <c r="B2213">
        <v>29</v>
      </c>
      <c r="C2213" t="s">
        <v>4803</v>
      </c>
      <c r="D2213" t="s">
        <v>14</v>
      </c>
      <c r="E2213">
        <v>36</v>
      </c>
      <c r="F2213">
        <v>23</v>
      </c>
      <c r="G2213" t="s">
        <v>4797</v>
      </c>
      <c r="H2213" t="s">
        <v>4805</v>
      </c>
      <c r="I2213">
        <v>8.99</v>
      </c>
      <c r="J2213">
        <v>1</v>
      </c>
      <c r="K2213">
        <v>1.2</v>
      </c>
      <c r="L2213">
        <v>0</v>
      </c>
      <c r="M2213" t="s">
        <v>4810</v>
      </c>
      <c r="N2213" t="s">
        <v>4900</v>
      </c>
      <c r="O2213" t="s">
        <v>4912</v>
      </c>
    </row>
    <row r="2214" spans="1:15" x14ac:dyDescent="0.35">
      <c r="A2214" t="s">
        <v>2191</v>
      </c>
      <c r="B2214">
        <v>59</v>
      </c>
      <c r="C2214" t="s">
        <v>4803</v>
      </c>
      <c r="D2214" t="s">
        <v>13</v>
      </c>
      <c r="E2214">
        <v>71</v>
      </c>
      <c r="F2214">
        <v>11</v>
      </c>
      <c r="G2214" t="s">
        <v>4801</v>
      </c>
      <c r="H2214" t="s">
        <v>4805</v>
      </c>
      <c r="I2214">
        <v>13.99</v>
      </c>
      <c r="J2214">
        <v>3</v>
      </c>
      <c r="K2214">
        <v>2.37</v>
      </c>
      <c r="L2214">
        <v>0</v>
      </c>
      <c r="M2214" t="s">
        <v>4810</v>
      </c>
      <c r="N2214" t="s">
        <v>4900</v>
      </c>
      <c r="O2214" t="s">
        <v>4911</v>
      </c>
    </row>
    <row r="2215" spans="1:15" x14ac:dyDescent="0.35">
      <c r="A2215" t="s">
        <v>2192</v>
      </c>
      <c r="B2215">
        <v>49</v>
      </c>
      <c r="C2215" t="s">
        <v>4802</v>
      </c>
      <c r="D2215" t="s">
        <v>13</v>
      </c>
      <c r="E2215">
        <v>77</v>
      </c>
      <c r="F2215">
        <v>29</v>
      </c>
      <c r="G2215" t="s">
        <v>4797</v>
      </c>
      <c r="H2215" t="s">
        <v>4804</v>
      </c>
      <c r="I2215">
        <v>13.99</v>
      </c>
      <c r="J2215">
        <v>4</v>
      </c>
      <c r="K2215">
        <v>2.57</v>
      </c>
      <c r="L2215">
        <v>0</v>
      </c>
      <c r="M2215" t="s">
        <v>4810</v>
      </c>
      <c r="N2215" t="s">
        <v>4900</v>
      </c>
      <c r="O2215" t="s">
        <v>4910</v>
      </c>
    </row>
    <row r="2216" spans="1:15" x14ac:dyDescent="0.35">
      <c r="A2216" t="s">
        <v>2193</v>
      </c>
      <c r="B2216">
        <v>51</v>
      </c>
      <c r="C2216" t="s">
        <v>4803</v>
      </c>
      <c r="D2216" t="s">
        <v>13</v>
      </c>
      <c r="E2216">
        <v>74</v>
      </c>
      <c r="F2216">
        <v>46</v>
      </c>
      <c r="G2216" t="s">
        <v>4798</v>
      </c>
      <c r="H2216" t="s">
        <v>4805</v>
      </c>
      <c r="I2216">
        <v>13.99</v>
      </c>
      <c r="J2216">
        <v>3</v>
      </c>
      <c r="K2216">
        <v>2.4700000000000002</v>
      </c>
      <c r="L2216">
        <v>1</v>
      </c>
      <c r="M2216" t="s">
        <v>4808</v>
      </c>
      <c r="N2216" t="s">
        <v>4899</v>
      </c>
      <c r="O2216" t="s">
        <v>4910</v>
      </c>
    </row>
    <row r="2217" spans="1:15" x14ac:dyDescent="0.35">
      <c r="A2217" t="s">
        <v>2194</v>
      </c>
      <c r="B2217">
        <v>45</v>
      </c>
      <c r="C2217" t="s">
        <v>4802</v>
      </c>
      <c r="D2217" t="s">
        <v>13</v>
      </c>
      <c r="E2217">
        <v>54</v>
      </c>
      <c r="F2217">
        <v>52</v>
      </c>
      <c r="G2217" t="s">
        <v>4797</v>
      </c>
      <c r="H2217" t="s">
        <v>4804</v>
      </c>
      <c r="I2217">
        <v>13.99</v>
      </c>
      <c r="J2217">
        <v>3</v>
      </c>
      <c r="K2217">
        <v>1.8</v>
      </c>
      <c r="L2217">
        <v>0</v>
      </c>
      <c r="M2217" t="s">
        <v>4809</v>
      </c>
      <c r="N2217" t="s">
        <v>4900</v>
      </c>
      <c r="O2217" t="s">
        <v>4910</v>
      </c>
    </row>
    <row r="2218" spans="1:15" x14ac:dyDescent="0.35">
      <c r="A2218" t="s">
        <v>2195</v>
      </c>
      <c r="B2218">
        <v>29</v>
      </c>
      <c r="C2218" t="s">
        <v>4803</v>
      </c>
      <c r="D2218" t="s">
        <v>13</v>
      </c>
      <c r="E2218">
        <v>53</v>
      </c>
      <c r="F2218">
        <v>17</v>
      </c>
      <c r="G2218" t="s">
        <v>4799</v>
      </c>
      <c r="H2218" t="s">
        <v>4806</v>
      </c>
      <c r="I2218">
        <v>13.99</v>
      </c>
      <c r="J2218">
        <v>2</v>
      </c>
      <c r="K2218">
        <v>1.77</v>
      </c>
      <c r="L2218">
        <v>0</v>
      </c>
      <c r="M2218" t="s">
        <v>4808</v>
      </c>
      <c r="N2218" t="s">
        <v>4900</v>
      </c>
      <c r="O2218" t="s">
        <v>4912</v>
      </c>
    </row>
    <row r="2219" spans="1:15" x14ac:dyDescent="0.35">
      <c r="A2219" t="s">
        <v>2196</v>
      </c>
      <c r="B2219">
        <v>50</v>
      </c>
      <c r="C2219" t="s">
        <v>4803</v>
      </c>
      <c r="D2219" t="s">
        <v>13</v>
      </c>
      <c r="E2219">
        <v>52</v>
      </c>
      <c r="F2219">
        <v>10</v>
      </c>
      <c r="G2219" t="s">
        <v>4800</v>
      </c>
      <c r="H2219" t="s">
        <v>4804</v>
      </c>
      <c r="I2219">
        <v>13.99</v>
      </c>
      <c r="J2219">
        <v>2</v>
      </c>
      <c r="K2219">
        <v>1.73</v>
      </c>
      <c r="L2219">
        <v>0</v>
      </c>
      <c r="M2219" t="s">
        <v>4808</v>
      </c>
      <c r="N2219" t="s">
        <v>4900</v>
      </c>
      <c r="O2219" t="s">
        <v>4910</v>
      </c>
    </row>
    <row r="2220" spans="1:15" x14ac:dyDescent="0.35">
      <c r="A2220" t="s">
        <v>2197</v>
      </c>
      <c r="B2220">
        <v>32</v>
      </c>
      <c r="C2220" t="s">
        <v>4802</v>
      </c>
      <c r="D2220" t="s">
        <v>13</v>
      </c>
      <c r="E2220">
        <v>32</v>
      </c>
      <c r="F2220">
        <v>2</v>
      </c>
      <c r="G2220" t="s">
        <v>4799</v>
      </c>
      <c r="H2220" t="s">
        <v>4805</v>
      </c>
      <c r="I2220">
        <v>13.99</v>
      </c>
      <c r="J2220">
        <v>3</v>
      </c>
      <c r="K2220">
        <v>1.07</v>
      </c>
      <c r="L2220">
        <v>0</v>
      </c>
      <c r="M2220" t="s">
        <v>4809</v>
      </c>
      <c r="N2220" t="s">
        <v>4900</v>
      </c>
      <c r="O2220" t="s">
        <v>4912</v>
      </c>
    </row>
    <row r="2221" spans="1:15" x14ac:dyDescent="0.35">
      <c r="A2221" t="s">
        <v>2198</v>
      </c>
      <c r="B2221">
        <v>21</v>
      </c>
      <c r="C2221" t="s">
        <v>4803</v>
      </c>
      <c r="D2221" t="s">
        <v>13</v>
      </c>
      <c r="E2221">
        <v>57</v>
      </c>
      <c r="F2221">
        <v>999</v>
      </c>
      <c r="G2221" t="s">
        <v>4797</v>
      </c>
      <c r="H2221" t="s">
        <v>4805</v>
      </c>
      <c r="I2221">
        <v>13.99</v>
      </c>
      <c r="J2221">
        <v>4</v>
      </c>
      <c r="K2221">
        <v>1.9</v>
      </c>
      <c r="L2221">
        <v>0</v>
      </c>
      <c r="M2221" t="s">
        <v>4810</v>
      </c>
      <c r="N2221" t="s">
        <v>4900</v>
      </c>
      <c r="O2221" t="s">
        <v>4912</v>
      </c>
    </row>
    <row r="2222" spans="1:15" x14ac:dyDescent="0.35">
      <c r="A2222" t="s">
        <v>2199</v>
      </c>
      <c r="B2222">
        <v>30</v>
      </c>
      <c r="C2222" t="s">
        <v>4803</v>
      </c>
      <c r="D2222" t="s">
        <v>13</v>
      </c>
      <c r="E2222">
        <v>75</v>
      </c>
      <c r="F2222">
        <v>29</v>
      </c>
      <c r="G2222" t="s">
        <v>4798</v>
      </c>
      <c r="H2222" t="s">
        <v>4805</v>
      </c>
      <c r="I2222">
        <v>13.99</v>
      </c>
      <c r="J2222">
        <v>4</v>
      </c>
      <c r="K2222">
        <v>2.5</v>
      </c>
      <c r="L2222">
        <v>0</v>
      </c>
      <c r="M2222" t="s">
        <v>4810</v>
      </c>
      <c r="N2222" t="s">
        <v>4900</v>
      </c>
      <c r="O2222" t="s">
        <v>4912</v>
      </c>
    </row>
    <row r="2223" spans="1:15" x14ac:dyDescent="0.35">
      <c r="A2223" t="s">
        <v>2200</v>
      </c>
      <c r="B2223">
        <v>61</v>
      </c>
      <c r="C2223" t="s">
        <v>4803</v>
      </c>
      <c r="D2223" t="s">
        <v>13</v>
      </c>
      <c r="E2223">
        <v>65</v>
      </c>
      <c r="F2223">
        <v>15</v>
      </c>
      <c r="G2223" t="s">
        <v>4799</v>
      </c>
      <c r="H2223" t="s">
        <v>4805</v>
      </c>
      <c r="I2223">
        <v>13.99</v>
      </c>
      <c r="J2223">
        <v>2</v>
      </c>
      <c r="K2223">
        <v>2.17</v>
      </c>
      <c r="L2223">
        <v>0</v>
      </c>
      <c r="M2223" t="s">
        <v>4811</v>
      </c>
      <c r="N2223" t="s">
        <v>4900</v>
      </c>
      <c r="O2223" t="s">
        <v>4911</v>
      </c>
    </row>
    <row r="2224" spans="1:15" x14ac:dyDescent="0.35">
      <c r="A2224" t="s">
        <v>2201</v>
      </c>
      <c r="B2224">
        <v>31</v>
      </c>
      <c r="C2224" t="s">
        <v>4802</v>
      </c>
      <c r="D2224" t="s">
        <v>13</v>
      </c>
      <c r="E2224">
        <v>70</v>
      </c>
      <c r="F2224">
        <v>32</v>
      </c>
      <c r="G2224" t="s">
        <v>4798</v>
      </c>
      <c r="H2224" t="s">
        <v>4804</v>
      </c>
      <c r="I2224">
        <v>13.99</v>
      </c>
      <c r="J2224">
        <v>1</v>
      </c>
      <c r="K2224">
        <v>5</v>
      </c>
      <c r="L2224">
        <v>0</v>
      </c>
      <c r="M2224" t="s">
        <v>4811</v>
      </c>
      <c r="N2224" t="s">
        <v>4900</v>
      </c>
      <c r="O2224" t="s">
        <v>4912</v>
      </c>
    </row>
    <row r="2225" spans="1:15" x14ac:dyDescent="0.35">
      <c r="A2225" t="s">
        <v>2202</v>
      </c>
      <c r="B2225">
        <v>52</v>
      </c>
      <c r="C2225" t="s">
        <v>4803</v>
      </c>
      <c r="D2225" t="s">
        <v>15</v>
      </c>
      <c r="E2225">
        <v>58</v>
      </c>
      <c r="F2225">
        <v>35</v>
      </c>
      <c r="G2225" t="s">
        <v>4798</v>
      </c>
      <c r="H2225" t="s">
        <v>4805</v>
      </c>
      <c r="I2225">
        <v>17.989999999999998</v>
      </c>
      <c r="J2225">
        <v>3</v>
      </c>
      <c r="K2225">
        <v>1.93</v>
      </c>
      <c r="L2225">
        <v>0</v>
      </c>
      <c r="M2225" t="s">
        <v>4811</v>
      </c>
      <c r="N2225" t="s">
        <v>4900</v>
      </c>
      <c r="O2225" t="s">
        <v>4910</v>
      </c>
    </row>
    <row r="2226" spans="1:15" x14ac:dyDescent="0.35">
      <c r="A2226" t="s">
        <v>2203</v>
      </c>
      <c r="B2226">
        <v>46</v>
      </c>
      <c r="C2226" t="s">
        <v>4803</v>
      </c>
      <c r="D2226" t="s">
        <v>15</v>
      </c>
      <c r="E2226">
        <v>55</v>
      </c>
      <c r="F2226">
        <v>60</v>
      </c>
      <c r="G2226" t="s">
        <v>4797</v>
      </c>
      <c r="H2226" t="s">
        <v>4805</v>
      </c>
      <c r="I2226">
        <v>17.989999999999998</v>
      </c>
      <c r="J2226">
        <v>5</v>
      </c>
      <c r="K2226">
        <v>2.0299999999999998</v>
      </c>
      <c r="L2226">
        <v>0</v>
      </c>
      <c r="M2226" t="s">
        <v>4812</v>
      </c>
      <c r="N2226" t="s">
        <v>4900</v>
      </c>
      <c r="O2226" t="s">
        <v>4910</v>
      </c>
    </row>
    <row r="2227" spans="1:15" x14ac:dyDescent="0.35">
      <c r="A2227" t="s">
        <v>2204</v>
      </c>
      <c r="B2227">
        <v>25</v>
      </c>
      <c r="C2227" t="s">
        <v>4803</v>
      </c>
      <c r="D2227" t="s">
        <v>15</v>
      </c>
      <c r="E2227">
        <v>116</v>
      </c>
      <c r="F2227">
        <v>8</v>
      </c>
      <c r="G2227" t="s">
        <v>4799</v>
      </c>
      <c r="H2227" t="s">
        <v>4804</v>
      </c>
      <c r="I2227">
        <v>17.989999999999998</v>
      </c>
      <c r="J2227">
        <v>4</v>
      </c>
      <c r="K2227">
        <v>3.87</v>
      </c>
      <c r="L2227">
        <v>0</v>
      </c>
      <c r="M2227" t="s">
        <v>4811</v>
      </c>
      <c r="N2227" t="s">
        <v>4900</v>
      </c>
      <c r="O2227" t="s">
        <v>4912</v>
      </c>
    </row>
    <row r="2228" spans="1:15" x14ac:dyDescent="0.35">
      <c r="A2228" t="s">
        <v>2205</v>
      </c>
      <c r="B2228">
        <v>62</v>
      </c>
      <c r="C2228" t="s">
        <v>4803</v>
      </c>
      <c r="D2228" t="s">
        <v>13</v>
      </c>
      <c r="E2228">
        <v>43</v>
      </c>
      <c r="F2228">
        <v>43</v>
      </c>
      <c r="G2228" t="s">
        <v>4800</v>
      </c>
      <c r="H2228" t="s">
        <v>4804</v>
      </c>
      <c r="I2228">
        <v>13.99</v>
      </c>
      <c r="J2228">
        <v>4</v>
      </c>
      <c r="K2228">
        <v>1.43</v>
      </c>
      <c r="L2228">
        <v>0</v>
      </c>
      <c r="M2228" t="s">
        <v>4810</v>
      </c>
      <c r="N2228" t="s">
        <v>4900</v>
      </c>
      <c r="O2228" t="s">
        <v>4911</v>
      </c>
    </row>
    <row r="2229" spans="1:15" x14ac:dyDescent="0.35">
      <c r="A2229" t="s">
        <v>4832</v>
      </c>
      <c r="B2229">
        <v>55</v>
      </c>
      <c r="C2229" t="s">
        <v>4803</v>
      </c>
      <c r="D2229" t="s">
        <v>13</v>
      </c>
      <c r="E2229">
        <v>30</v>
      </c>
      <c r="F2229">
        <v>30</v>
      </c>
      <c r="G2229" t="s">
        <v>4799</v>
      </c>
      <c r="H2229" t="s">
        <v>4804</v>
      </c>
      <c r="I2229">
        <v>13.99</v>
      </c>
      <c r="J2229">
        <v>2</v>
      </c>
      <c r="K2229">
        <v>1</v>
      </c>
      <c r="L2229">
        <v>0</v>
      </c>
      <c r="M2229" t="s">
        <v>4810</v>
      </c>
      <c r="N2229" t="s">
        <v>4900</v>
      </c>
      <c r="O2229" t="s">
        <v>4911</v>
      </c>
    </row>
    <row r="2230" spans="1:15" x14ac:dyDescent="0.35">
      <c r="A2230" t="s">
        <v>2206</v>
      </c>
      <c r="B2230">
        <v>55</v>
      </c>
      <c r="C2230" t="s">
        <v>4802</v>
      </c>
      <c r="D2230" t="s">
        <v>13</v>
      </c>
      <c r="E2230">
        <v>65</v>
      </c>
      <c r="F2230">
        <v>47</v>
      </c>
      <c r="G2230" t="s">
        <v>4798</v>
      </c>
      <c r="H2230" t="s">
        <v>4804</v>
      </c>
      <c r="I2230">
        <v>13.99</v>
      </c>
      <c r="J2230">
        <v>1</v>
      </c>
      <c r="K2230">
        <v>2.17</v>
      </c>
      <c r="L2230">
        <v>0</v>
      </c>
      <c r="M2230" t="s">
        <v>4809</v>
      </c>
      <c r="N2230" t="s">
        <v>4900</v>
      </c>
      <c r="O2230" t="s">
        <v>4911</v>
      </c>
    </row>
    <row r="2231" spans="1:15" x14ac:dyDescent="0.35">
      <c r="A2231" t="s">
        <v>4833</v>
      </c>
      <c r="B2231">
        <v>44</v>
      </c>
      <c r="C2231" t="s">
        <v>4803</v>
      </c>
      <c r="D2231" t="s">
        <v>14</v>
      </c>
      <c r="E2231">
        <v>12</v>
      </c>
      <c r="F2231">
        <v>60</v>
      </c>
      <c r="G2231" t="s">
        <v>4800</v>
      </c>
      <c r="H2231" t="s">
        <v>4804</v>
      </c>
      <c r="I2231">
        <v>8.99</v>
      </c>
      <c r="J2231">
        <v>1</v>
      </c>
      <c r="K2231">
        <v>0.4</v>
      </c>
      <c r="L2231">
        <v>0</v>
      </c>
      <c r="M2231" t="s">
        <v>4811</v>
      </c>
      <c r="N2231" t="s">
        <v>4900</v>
      </c>
      <c r="O2231" t="s">
        <v>4910</v>
      </c>
    </row>
    <row r="2232" spans="1:15" x14ac:dyDescent="0.35">
      <c r="A2232" t="s">
        <v>2207</v>
      </c>
      <c r="B2232">
        <v>24</v>
      </c>
      <c r="C2232" t="s">
        <v>4803</v>
      </c>
      <c r="D2232" t="s">
        <v>13</v>
      </c>
      <c r="E2232">
        <v>67</v>
      </c>
      <c r="F2232">
        <v>25</v>
      </c>
      <c r="G2232" t="s">
        <v>4798</v>
      </c>
      <c r="H2232" t="s">
        <v>4805</v>
      </c>
      <c r="I2232">
        <v>13.99</v>
      </c>
      <c r="J2232">
        <v>4</v>
      </c>
      <c r="K2232">
        <v>2.23</v>
      </c>
      <c r="L2232">
        <v>0</v>
      </c>
      <c r="M2232" t="s">
        <v>4810</v>
      </c>
      <c r="N2232" t="s">
        <v>4900</v>
      </c>
      <c r="O2232" t="s">
        <v>4912</v>
      </c>
    </row>
    <row r="2233" spans="1:15" x14ac:dyDescent="0.35">
      <c r="A2233" t="s">
        <v>2208</v>
      </c>
      <c r="B2233">
        <v>49</v>
      </c>
      <c r="C2233" t="s">
        <v>4802</v>
      </c>
      <c r="D2233" t="s">
        <v>15</v>
      </c>
      <c r="E2233">
        <v>77</v>
      </c>
      <c r="F2233">
        <v>2</v>
      </c>
      <c r="G2233" t="s">
        <v>4797</v>
      </c>
      <c r="H2233" t="s">
        <v>4804</v>
      </c>
      <c r="I2233">
        <v>17.989999999999998</v>
      </c>
      <c r="J2233">
        <v>3</v>
      </c>
      <c r="K2233">
        <v>2.57</v>
      </c>
      <c r="L2233">
        <v>0</v>
      </c>
      <c r="M2233" t="s">
        <v>4811</v>
      </c>
      <c r="N2233" t="s">
        <v>4900</v>
      </c>
      <c r="O2233" t="s">
        <v>4910</v>
      </c>
    </row>
    <row r="2234" spans="1:15" x14ac:dyDescent="0.35">
      <c r="A2234" t="s">
        <v>2209</v>
      </c>
      <c r="B2234">
        <v>19</v>
      </c>
      <c r="C2234" t="s">
        <v>4803</v>
      </c>
      <c r="D2234" t="s">
        <v>13</v>
      </c>
      <c r="E2234">
        <v>36</v>
      </c>
      <c r="F2234">
        <v>36</v>
      </c>
      <c r="G2234" t="s">
        <v>4797</v>
      </c>
      <c r="H2234" t="s">
        <v>4807</v>
      </c>
      <c r="I2234">
        <v>13.99</v>
      </c>
      <c r="J2234">
        <v>1</v>
      </c>
      <c r="K2234">
        <v>1.2</v>
      </c>
      <c r="L2234">
        <v>1</v>
      </c>
      <c r="M2234" t="s">
        <v>4809</v>
      </c>
      <c r="N2234" t="s">
        <v>4899</v>
      </c>
      <c r="O2234" t="s">
        <v>4912</v>
      </c>
    </row>
    <row r="2235" spans="1:15" x14ac:dyDescent="0.35">
      <c r="A2235" t="s">
        <v>2210</v>
      </c>
      <c r="B2235">
        <v>22</v>
      </c>
      <c r="C2235" t="s">
        <v>4803</v>
      </c>
      <c r="D2235" t="s">
        <v>13</v>
      </c>
      <c r="E2235">
        <v>79</v>
      </c>
      <c r="F2235">
        <v>47</v>
      </c>
      <c r="G2235" t="s">
        <v>4797</v>
      </c>
      <c r="H2235" t="s">
        <v>4806</v>
      </c>
      <c r="I2235">
        <v>13.99</v>
      </c>
      <c r="J2235">
        <v>4</v>
      </c>
      <c r="K2235">
        <v>2.63</v>
      </c>
      <c r="L2235">
        <v>1</v>
      </c>
      <c r="M2235" t="s">
        <v>4812</v>
      </c>
      <c r="N2235" t="s">
        <v>4899</v>
      </c>
      <c r="O2235" t="s">
        <v>4912</v>
      </c>
    </row>
    <row r="2236" spans="1:15" x14ac:dyDescent="0.35">
      <c r="A2236" t="s">
        <v>2211</v>
      </c>
      <c r="B2236">
        <v>30</v>
      </c>
      <c r="C2236" t="s">
        <v>4803</v>
      </c>
      <c r="D2236" t="s">
        <v>13</v>
      </c>
      <c r="E2236">
        <v>78</v>
      </c>
      <c r="F2236">
        <v>12</v>
      </c>
      <c r="G2236" t="s">
        <v>4798</v>
      </c>
      <c r="H2236" t="s">
        <v>4805</v>
      </c>
      <c r="I2236">
        <v>13.99</v>
      </c>
      <c r="J2236">
        <v>2</v>
      </c>
      <c r="K2236">
        <v>5</v>
      </c>
      <c r="L2236">
        <v>0</v>
      </c>
      <c r="M2236" t="s">
        <v>4810</v>
      </c>
      <c r="N2236" t="s">
        <v>4900</v>
      </c>
      <c r="O2236" t="s">
        <v>4912</v>
      </c>
    </row>
    <row r="2237" spans="1:15" x14ac:dyDescent="0.35">
      <c r="A2237" t="s">
        <v>2212</v>
      </c>
      <c r="B2237">
        <v>42</v>
      </c>
      <c r="C2237" t="s">
        <v>4803</v>
      </c>
      <c r="D2237" t="s">
        <v>13</v>
      </c>
      <c r="E2237">
        <v>46</v>
      </c>
      <c r="F2237">
        <v>17</v>
      </c>
      <c r="G2237" t="s">
        <v>4798</v>
      </c>
      <c r="H2237" t="s">
        <v>4805</v>
      </c>
      <c r="I2237">
        <v>13.99</v>
      </c>
      <c r="J2237">
        <v>2</v>
      </c>
      <c r="K2237">
        <v>1.53</v>
      </c>
      <c r="L2237">
        <v>0</v>
      </c>
      <c r="M2237" t="s">
        <v>4812</v>
      </c>
      <c r="N2237" t="s">
        <v>4900</v>
      </c>
      <c r="O2237" t="s">
        <v>4910</v>
      </c>
    </row>
    <row r="2238" spans="1:15" x14ac:dyDescent="0.35">
      <c r="A2238" t="s">
        <v>2213</v>
      </c>
      <c r="B2238">
        <v>51</v>
      </c>
      <c r="C2238" t="s">
        <v>4803</v>
      </c>
      <c r="D2238" t="s">
        <v>13</v>
      </c>
      <c r="E2238">
        <v>46</v>
      </c>
      <c r="F2238">
        <v>19</v>
      </c>
      <c r="G2238" t="s">
        <v>4799</v>
      </c>
      <c r="H2238" t="s">
        <v>4806</v>
      </c>
      <c r="I2238">
        <v>13.99</v>
      </c>
      <c r="J2238">
        <v>1</v>
      </c>
      <c r="K2238">
        <v>1.53</v>
      </c>
      <c r="L2238">
        <v>0</v>
      </c>
      <c r="M2238" t="s">
        <v>4811</v>
      </c>
      <c r="N2238" t="s">
        <v>4900</v>
      </c>
      <c r="O2238" t="s">
        <v>4910</v>
      </c>
    </row>
    <row r="2239" spans="1:15" x14ac:dyDescent="0.35">
      <c r="A2239" t="s">
        <v>2214</v>
      </c>
      <c r="B2239">
        <v>26</v>
      </c>
      <c r="C2239" t="s">
        <v>4802</v>
      </c>
      <c r="D2239" t="s">
        <v>15</v>
      </c>
      <c r="E2239">
        <v>105</v>
      </c>
      <c r="F2239">
        <v>28</v>
      </c>
      <c r="G2239" t="s">
        <v>4799</v>
      </c>
      <c r="H2239" t="s">
        <v>4805</v>
      </c>
      <c r="I2239">
        <v>17.989999999999998</v>
      </c>
      <c r="J2239">
        <v>5</v>
      </c>
      <c r="K2239">
        <v>3.5</v>
      </c>
      <c r="L2239">
        <v>0</v>
      </c>
      <c r="M2239" t="s">
        <v>4811</v>
      </c>
      <c r="N2239" t="s">
        <v>4900</v>
      </c>
      <c r="O2239" t="s">
        <v>4912</v>
      </c>
    </row>
    <row r="2240" spans="1:15" x14ac:dyDescent="0.35">
      <c r="A2240" t="s">
        <v>2215</v>
      </c>
      <c r="B2240">
        <v>58</v>
      </c>
      <c r="C2240" t="s">
        <v>4803</v>
      </c>
      <c r="D2240" t="s">
        <v>15</v>
      </c>
      <c r="E2240">
        <v>77</v>
      </c>
      <c r="F2240">
        <v>27</v>
      </c>
      <c r="G2240" t="s">
        <v>4799</v>
      </c>
      <c r="H2240" t="s">
        <v>4805</v>
      </c>
      <c r="I2240">
        <v>17.989999999999998</v>
      </c>
      <c r="J2240">
        <v>3</v>
      </c>
      <c r="K2240">
        <v>2.57</v>
      </c>
      <c r="L2240">
        <v>0</v>
      </c>
      <c r="M2240" t="s">
        <v>4810</v>
      </c>
      <c r="N2240" t="s">
        <v>4900</v>
      </c>
      <c r="O2240" t="s">
        <v>4911</v>
      </c>
    </row>
    <row r="2241" spans="1:15" x14ac:dyDescent="0.35">
      <c r="A2241" t="s">
        <v>4834</v>
      </c>
      <c r="B2241">
        <v>56</v>
      </c>
      <c r="C2241" t="s">
        <v>4803</v>
      </c>
      <c r="D2241" t="s">
        <v>15</v>
      </c>
      <c r="E2241">
        <v>111</v>
      </c>
      <c r="F2241">
        <v>999</v>
      </c>
      <c r="G2241" t="s">
        <v>4800</v>
      </c>
      <c r="H2241" t="s">
        <v>4804</v>
      </c>
      <c r="I2241">
        <v>17.989999999999998</v>
      </c>
      <c r="J2241">
        <v>4</v>
      </c>
      <c r="K2241">
        <v>3.7</v>
      </c>
      <c r="L2241">
        <v>0</v>
      </c>
      <c r="M2241" t="s">
        <v>4811</v>
      </c>
      <c r="N2241" t="s">
        <v>4900</v>
      </c>
      <c r="O2241" t="s">
        <v>4911</v>
      </c>
    </row>
    <row r="2242" spans="1:15" x14ac:dyDescent="0.35">
      <c r="A2242" t="s">
        <v>2216</v>
      </c>
      <c r="B2242">
        <v>35</v>
      </c>
      <c r="C2242" t="s">
        <v>4802</v>
      </c>
      <c r="D2242" t="s">
        <v>13</v>
      </c>
      <c r="E2242">
        <v>76</v>
      </c>
      <c r="F2242">
        <v>27</v>
      </c>
      <c r="G2242" t="s">
        <v>4799</v>
      </c>
      <c r="H2242" t="s">
        <v>4805</v>
      </c>
      <c r="I2242">
        <v>13.99</v>
      </c>
      <c r="J2242">
        <v>1</v>
      </c>
      <c r="K2242">
        <v>2.5299999999999998</v>
      </c>
      <c r="L2242">
        <v>0</v>
      </c>
      <c r="M2242" t="s">
        <v>4809</v>
      </c>
      <c r="N2242" t="s">
        <v>4900</v>
      </c>
      <c r="O2242" t="s">
        <v>4910</v>
      </c>
    </row>
    <row r="2243" spans="1:15" x14ac:dyDescent="0.35">
      <c r="A2243" t="s">
        <v>2217</v>
      </c>
      <c r="B2243">
        <v>59</v>
      </c>
      <c r="C2243" t="s">
        <v>4803</v>
      </c>
      <c r="D2243" t="s">
        <v>13</v>
      </c>
      <c r="E2243">
        <v>68</v>
      </c>
      <c r="F2243">
        <v>8</v>
      </c>
      <c r="G2243" t="s">
        <v>4798</v>
      </c>
      <c r="H2243" t="s">
        <v>4805</v>
      </c>
      <c r="I2243">
        <v>13.99</v>
      </c>
      <c r="J2243">
        <v>1</v>
      </c>
      <c r="K2243">
        <v>2.27</v>
      </c>
      <c r="L2243">
        <v>0</v>
      </c>
      <c r="M2243" t="s">
        <v>4812</v>
      </c>
      <c r="N2243" t="s">
        <v>4900</v>
      </c>
      <c r="O2243" t="s">
        <v>4911</v>
      </c>
    </row>
    <row r="2244" spans="1:15" x14ac:dyDescent="0.35">
      <c r="A2244" t="s">
        <v>2218</v>
      </c>
      <c r="B2244">
        <v>24</v>
      </c>
      <c r="C2244" t="s">
        <v>4802</v>
      </c>
      <c r="D2244" t="s">
        <v>15</v>
      </c>
      <c r="E2244">
        <v>47</v>
      </c>
      <c r="F2244">
        <v>31</v>
      </c>
      <c r="G2244" t="s">
        <v>4797</v>
      </c>
      <c r="H2244" t="s">
        <v>4804</v>
      </c>
      <c r="I2244">
        <v>17.989999999999998</v>
      </c>
      <c r="J2244">
        <v>4</v>
      </c>
      <c r="K2244">
        <v>1.57</v>
      </c>
      <c r="L2244">
        <v>0</v>
      </c>
      <c r="M2244" t="s">
        <v>4809</v>
      </c>
      <c r="N2244" t="s">
        <v>4900</v>
      </c>
      <c r="O2244" t="s">
        <v>4912</v>
      </c>
    </row>
    <row r="2245" spans="1:15" x14ac:dyDescent="0.35">
      <c r="A2245" t="s">
        <v>2219</v>
      </c>
      <c r="B2245">
        <v>49</v>
      </c>
      <c r="C2245" t="s">
        <v>4802</v>
      </c>
      <c r="D2245" t="s">
        <v>15</v>
      </c>
      <c r="E2245">
        <v>77</v>
      </c>
      <c r="F2245">
        <v>53</v>
      </c>
      <c r="G2245" t="s">
        <v>4798</v>
      </c>
      <c r="H2245" t="s">
        <v>4805</v>
      </c>
      <c r="I2245">
        <v>17.989999999999998</v>
      </c>
      <c r="J2245">
        <v>5</v>
      </c>
      <c r="K2245">
        <v>2.57</v>
      </c>
      <c r="L2245">
        <v>0</v>
      </c>
      <c r="M2245" t="s">
        <v>4809</v>
      </c>
      <c r="N2245" t="s">
        <v>4900</v>
      </c>
      <c r="O2245" t="s">
        <v>4910</v>
      </c>
    </row>
    <row r="2246" spans="1:15" x14ac:dyDescent="0.35">
      <c r="A2246" t="s">
        <v>2220</v>
      </c>
      <c r="B2246">
        <v>63</v>
      </c>
      <c r="C2246" t="s">
        <v>4802</v>
      </c>
      <c r="D2246" t="s">
        <v>15</v>
      </c>
      <c r="E2246">
        <v>91</v>
      </c>
      <c r="F2246">
        <v>43</v>
      </c>
      <c r="G2246" t="s">
        <v>4800</v>
      </c>
      <c r="H2246" t="s">
        <v>4804</v>
      </c>
      <c r="I2246">
        <v>17.989999999999998</v>
      </c>
      <c r="J2246">
        <v>4</v>
      </c>
      <c r="K2246">
        <v>3.03</v>
      </c>
      <c r="L2246">
        <v>0</v>
      </c>
      <c r="M2246" t="s">
        <v>4810</v>
      </c>
      <c r="N2246" t="s">
        <v>4900</v>
      </c>
      <c r="O2246" t="s">
        <v>4911</v>
      </c>
    </row>
    <row r="2247" spans="1:15" x14ac:dyDescent="0.35">
      <c r="A2247" t="s">
        <v>2221</v>
      </c>
      <c r="B2247">
        <v>38</v>
      </c>
      <c r="C2247" t="s">
        <v>4802</v>
      </c>
      <c r="D2247" t="s">
        <v>15</v>
      </c>
      <c r="E2247">
        <v>108</v>
      </c>
      <c r="F2247">
        <v>19</v>
      </c>
      <c r="G2247" t="s">
        <v>4797</v>
      </c>
      <c r="H2247" t="s">
        <v>4805</v>
      </c>
      <c r="I2247">
        <v>17.989999999999998</v>
      </c>
      <c r="J2247">
        <v>3</v>
      </c>
      <c r="K2247">
        <v>3.6</v>
      </c>
      <c r="L2247">
        <v>0</v>
      </c>
      <c r="M2247" t="s">
        <v>4809</v>
      </c>
      <c r="N2247" t="s">
        <v>4900</v>
      </c>
      <c r="O2247" t="s">
        <v>4910</v>
      </c>
    </row>
    <row r="2248" spans="1:15" x14ac:dyDescent="0.35">
      <c r="A2248" t="s">
        <v>2222</v>
      </c>
      <c r="B2248">
        <v>24</v>
      </c>
      <c r="C2248" t="s">
        <v>4803</v>
      </c>
      <c r="D2248" t="s">
        <v>15</v>
      </c>
      <c r="E2248">
        <v>58</v>
      </c>
      <c r="F2248">
        <v>1</v>
      </c>
      <c r="G2248" t="s">
        <v>4797</v>
      </c>
      <c r="H2248" t="s">
        <v>4807</v>
      </c>
      <c r="I2248">
        <v>17.989999999999998</v>
      </c>
      <c r="J2248">
        <v>3</v>
      </c>
      <c r="K2248">
        <v>1.93</v>
      </c>
      <c r="L2248">
        <v>0</v>
      </c>
      <c r="M2248" t="s">
        <v>4811</v>
      </c>
      <c r="N2248" t="s">
        <v>4900</v>
      </c>
      <c r="O2248" t="s">
        <v>4912</v>
      </c>
    </row>
    <row r="2249" spans="1:15" x14ac:dyDescent="0.35">
      <c r="A2249" t="s">
        <v>2223</v>
      </c>
      <c r="B2249">
        <v>23</v>
      </c>
      <c r="C2249" t="s">
        <v>4803</v>
      </c>
      <c r="D2249" t="s">
        <v>13</v>
      </c>
      <c r="E2249">
        <v>62</v>
      </c>
      <c r="F2249">
        <v>57</v>
      </c>
      <c r="G2249" t="s">
        <v>4798</v>
      </c>
      <c r="H2249" t="s">
        <v>4805</v>
      </c>
      <c r="I2249">
        <v>13.99</v>
      </c>
      <c r="J2249">
        <v>2</v>
      </c>
      <c r="K2249">
        <v>2.0699999999999998</v>
      </c>
      <c r="L2249">
        <v>0</v>
      </c>
      <c r="M2249" t="s">
        <v>4808</v>
      </c>
      <c r="N2249" t="s">
        <v>4900</v>
      </c>
      <c r="O2249" t="s">
        <v>4912</v>
      </c>
    </row>
    <row r="2250" spans="1:15" x14ac:dyDescent="0.35">
      <c r="A2250" t="s">
        <v>2224</v>
      </c>
      <c r="B2250">
        <v>44</v>
      </c>
      <c r="C2250" t="s">
        <v>4803</v>
      </c>
      <c r="D2250" t="s">
        <v>13</v>
      </c>
      <c r="E2250">
        <v>79</v>
      </c>
      <c r="F2250">
        <v>40</v>
      </c>
      <c r="G2250" t="s">
        <v>4799</v>
      </c>
      <c r="H2250" t="s">
        <v>4805</v>
      </c>
      <c r="I2250">
        <v>13.99</v>
      </c>
      <c r="J2250">
        <v>2</v>
      </c>
      <c r="K2250">
        <v>2.63</v>
      </c>
      <c r="L2250">
        <v>0</v>
      </c>
      <c r="M2250" t="s">
        <v>4808</v>
      </c>
      <c r="N2250" t="s">
        <v>4900</v>
      </c>
      <c r="O2250" t="s">
        <v>4910</v>
      </c>
    </row>
    <row r="2251" spans="1:15" x14ac:dyDescent="0.35">
      <c r="A2251" t="s">
        <v>2225</v>
      </c>
      <c r="B2251">
        <v>54</v>
      </c>
      <c r="C2251" t="s">
        <v>4803</v>
      </c>
      <c r="D2251" t="s">
        <v>15</v>
      </c>
      <c r="E2251">
        <v>77</v>
      </c>
      <c r="F2251">
        <v>22</v>
      </c>
      <c r="G2251" t="s">
        <v>4798</v>
      </c>
      <c r="H2251" t="s">
        <v>4804</v>
      </c>
      <c r="I2251">
        <v>17.989999999999998</v>
      </c>
      <c r="J2251">
        <v>4</v>
      </c>
      <c r="K2251">
        <v>2.57</v>
      </c>
      <c r="L2251">
        <v>0</v>
      </c>
      <c r="M2251" t="s">
        <v>4809</v>
      </c>
      <c r="N2251" t="s">
        <v>4900</v>
      </c>
      <c r="O2251" t="s">
        <v>4910</v>
      </c>
    </row>
    <row r="2252" spans="1:15" x14ac:dyDescent="0.35">
      <c r="A2252" t="s">
        <v>2226</v>
      </c>
      <c r="B2252">
        <v>23</v>
      </c>
      <c r="C2252" t="s">
        <v>4803</v>
      </c>
      <c r="D2252" t="s">
        <v>13</v>
      </c>
      <c r="E2252">
        <v>57</v>
      </c>
      <c r="F2252">
        <v>3</v>
      </c>
      <c r="G2252" t="s">
        <v>4799</v>
      </c>
      <c r="H2252" t="s">
        <v>4804</v>
      </c>
      <c r="I2252">
        <v>13.99</v>
      </c>
      <c r="J2252">
        <v>3</v>
      </c>
      <c r="K2252">
        <v>1.9</v>
      </c>
      <c r="L2252">
        <v>0</v>
      </c>
      <c r="M2252" t="s">
        <v>4809</v>
      </c>
      <c r="N2252" t="s">
        <v>4900</v>
      </c>
      <c r="O2252" t="s">
        <v>4912</v>
      </c>
    </row>
    <row r="2253" spans="1:15" x14ac:dyDescent="0.35">
      <c r="A2253" t="s">
        <v>2227</v>
      </c>
      <c r="B2253">
        <v>33</v>
      </c>
      <c r="C2253" t="s">
        <v>4803</v>
      </c>
      <c r="D2253" t="s">
        <v>13</v>
      </c>
      <c r="E2253">
        <v>59</v>
      </c>
      <c r="F2253">
        <v>30</v>
      </c>
      <c r="G2253" t="s">
        <v>4800</v>
      </c>
      <c r="H2253" t="s">
        <v>4806</v>
      </c>
      <c r="I2253">
        <v>13.99</v>
      </c>
      <c r="J2253">
        <v>1</v>
      </c>
      <c r="K2253">
        <v>1.97</v>
      </c>
      <c r="L2253">
        <v>0</v>
      </c>
      <c r="M2253" t="s">
        <v>4812</v>
      </c>
      <c r="N2253" t="s">
        <v>4900</v>
      </c>
      <c r="O2253" t="s">
        <v>4912</v>
      </c>
    </row>
    <row r="2254" spans="1:15" x14ac:dyDescent="0.35">
      <c r="A2254" t="s">
        <v>2228</v>
      </c>
      <c r="B2254">
        <v>24</v>
      </c>
      <c r="C2254" t="s">
        <v>4803</v>
      </c>
      <c r="D2254" t="s">
        <v>15</v>
      </c>
      <c r="E2254">
        <v>59</v>
      </c>
      <c r="F2254">
        <v>57</v>
      </c>
      <c r="G2254" t="s">
        <v>4799</v>
      </c>
      <c r="H2254" t="s">
        <v>4804</v>
      </c>
      <c r="I2254">
        <v>17.989999999999998</v>
      </c>
      <c r="J2254">
        <v>5</v>
      </c>
      <c r="K2254">
        <v>5</v>
      </c>
      <c r="L2254">
        <v>0</v>
      </c>
      <c r="M2254" t="s">
        <v>4810</v>
      </c>
      <c r="N2254" t="s">
        <v>4900</v>
      </c>
      <c r="O2254" t="s">
        <v>4912</v>
      </c>
    </row>
    <row r="2255" spans="1:15" x14ac:dyDescent="0.35">
      <c r="A2255" t="s">
        <v>2229</v>
      </c>
      <c r="B2255">
        <v>56</v>
      </c>
      <c r="C2255" t="s">
        <v>4803</v>
      </c>
      <c r="D2255" t="s">
        <v>15</v>
      </c>
      <c r="E2255">
        <v>91</v>
      </c>
      <c r="F2255">
        <v>39</v>
      </c>
      <c r="G2255" t="s">
        <v>4798</v>
      </c>
      <c r="H2255" t="s">
        <v>4804</v>
      </c>
      <c r="I2255">
        <v>17.989999999999998</v>
      </c>
      <c r="J2255">
        <v>5</v>
      </c>
      <c r="K2255">
        <v>3.03</v>
      </c>
      <c r="L2255">
        <v>0</v>
      </c>
      <c r="M2255" t="s">
        <v>4810</v>
      </c>
      <c r="N2255" t="s">
        <v>4900</v>
      </c>
      <c r="O2255" t="s">
        <v>4911</v>
      </c>
    </row>
    <row r="2256" spans="1:15" x14ac:dyDescent="0.35">
      <c r="A2256" t="s">
        <v>2230</v>
      </c>
      <c r="B2256">
        <v>52</v>
      </c>
      <c r="C2256" t="s">
        <v>4802</v>
      </c>
      <c r="D2256" t="s">
        <v>13</v>
      </c>
      <c r="E2256">
        <v>53</v>
      </c>
      <c r="F2256">
        <v>25</v>
      </c>
      <c r="G2256" t="s">
        <v>4800</v>
      </c>
      <c r="H2256" t="s">
        <v>4804</v>
      </c>
      <c r="I2256">
        <v>13.99</v>
      </c>
      <c r="J2256">
        <v>1</v>
      </c>
      <c r="K2256">
        <v>1.77</v>
      </c>
      <c r="L2256">
        <v>0</v>
      </c>
      <c r="M2256" t="s">
        <v>4808</v>
      </c>
      <c r="N2256" t="s">
        <v>4900</v>
      </c>
      <c r="O2256" t="s">
        <v>4910</v>
      </c>
    </row>
    <row r="2257" spans="1:15" x14ac:dyDescent="0.35">
      <c r="A2257" t="s">
        <v>2231</v>
      </c>
      <c r="B2257">
        <v>64</v>
      </c>
      <c r="C2257" t="s">
        <v>4803</v>
      </c>
      <c r="D2257" t="s">
        <v>13</v>
      </c>
      <c r="E2257">
        <v>66</v>
      </c>
      <c r="F2257">
        <v>18</v>
      </c>
      <c r="G2257" t="s">
        <v>4797</v>
      </c>
      <c r="H2257" t="s">
        <v>4805</v>
      </c>
      <c r="I2257">
        <v>13.99</v>
      </c>
      <c r="J2257">
        <v>4</v>
      </c>
      <c r="K2257">
        <v>2.2000000000000002</v>
      </c>
      <c r="L2257">
        <v>1</v>
      </c>
      <c r="M2257" t="s">
        <v>4808</v>
      </c>
      <c r="N2257" t="s">
        <v>4899</v>
      </c>
      <c r="O2257" t="s">
        <v>4911</v>
      </c>
    </row>
    <row r="2258" spans="1:15" x14ac:dyDescent="0.35">
      <c r="A2258" t="s">
        <v>2232</v>
      </c>
      <c r="B2258">
        <v>44</v>
      </c>
      <c r="C2258" t="s">
        <v>4802</v>
      </c>
      <c r="D2258" t="s">
        <v>13</v>
      </c>
      <c r="E2258">
        <v>44</v>
      </c>
      <c r="F2258">
        <v>20</v>
      </c>
      <c r="G2258" t="s">
        <v>4799</v>
      </c>
      <c r="H2258" t="s">
        <v>4806</v>
      </c>
      <c r="I2258">
        <v>13.99</v>
      </c>
      <c r="J2258">
        <v>2</v>
      </c>
      <c r="K2258">
        <v>1.47</v>
      </c>
      <c r="L2258">
        <v>0</v>
      </c>
      <c r="M2258" t="s">
        <v>4809</v>
      </c>
      <c r="N2258" t="s">
        <v>4900</v>
      </c>
      <c r="O2258" t="s">
        <v>4910</v>
      </c>
    </row>
    <row r="2259" spans="1:15" x14ac:dyDescent="0.35">
      <c r="A2259" t="s">
        <v>2233</v>
      </c>
      <c r="B2259">
        <v>52</v>
      </c>
      <c r="C2259" t="s">
        <v>4803</v>
      </c>
      <c r="D2259" t="s">
        <v>13</v>
      </c>
      <c r="E2259">
        <v>45</v>
      </c>
      <c r="F2259">
        <v>55</v>
      </c>
      <c r="G2259" t="s">
        <v>4797</v>
      </c>
      <c r="H2259" t="s">
        <v>4806</v>
      </c>
      <c r="I2259">
        <v>13.99</v>
      </c>
      <c r="J2259">
        <v>4</v>
      </c>
      <c r="K2259">
        <v>1.5</v>
      </c>
      <c r="L2259">
        <v>0</v>
      </c>
      <c r="M2259" t="s">
        <v>4812</v>
      </c>
      <c r="N2259" t="s">
        <v>4900</v>
      </c>
      <c r="O2259" t="s">
        <v>4910</v>
      </c>
    </row>
    <row r="2260" spans="1:15" x14ac:dyDescent="0.35">
      <c r="A2260" t="s">
        <v>2234</v>
      </c>
      <c r="B2260">
        <v>55</v>
      </c>
      <c r="C2260" t="s">
        <v>4803</v>
      </c>
      <c r="D2260" t="s">
        <v>15</v>
      </c>
      <c r="E2260">
        <v>69</v>
      </c>
      <c r="F2260">
        <v>19</v>
      </c>
      <c r="G2260" t="s">
        <v>4797</v>
      </c>
      <c r="H2260" t="s">
        <v>4805</v>
      </c>
      <c r="I2260">
        <v>17.989999999999998</v>
      </c>
      <c r="J2260">
        <v>4</v>
      </c>
      <c r="K2260">
        <v>2.2999999999999998</v>
      </c>
      <c r="L2260">
        <v>0</v>
      </c>
      <c r="M2260" t="s">
        <v>4809</v>
      </c>
      <c r="N2260" t="s">
        <v>4900</v>
      </c>
      <c r="O2260" t="s">
        <v>4911</v>
      </c>
    </row>
    <row r="2261" spans="1:15" x14ac:dyDescent="0.35">
      <c r="A2261" t="s">
        <v>2235</v>
      </c>
      <c r="B2261">
        <v>47</v>
      </c>
      <c r="C2261" t="s">
        <v>4802</v>
      </c>
      <c r="D2261" t="s">
        <v>15</v>
      </c>
      <c r="E2261">
        <v>107</v>
      </c>
      <c r="F2261">
        <v>6</v>
      </c>
      <c r="G2261" t="s">
        <v>4797</v>
      </c>
      <c r="H2261" t="s">
        <v>4806</v>
      </c>
      <c r="I2261">
        <v>17.989999999999998</v>
      </c>
      <c r="J2261">
        <v>5</v>
      </c>
      <c r="K2261">
        <v>3.57</v>
      </c>
      <c r="L2261">
        <v>0</v>
      </c>
      <c r="M2261" t="s">
        <v>4808</v>
      </c>
      <c r="N2261" t="s">
        <v>4900</v>
      </c>
      <c r="O2261" t="s">
        <v>4910</v>
      </c>
    </row>
    <row r="2262" spans="1:15" x14ac:dyDescent="0.35">
      <c r="A2262" t="s">
        <v>2236</v>
      </c>
      <c r="B2262">
        <v>34</v>
      </c>
      <c r="C2262" t="s">
        <v>4802</v>
      </c>
      <c r="D2262" t="s">
        <v>13</v>
      </c>
      <c r="E2262">
        <v>78</v>
      </c>
      <c r="F2262">
        <v>23</v>
      </c>
      <c r="G2262" t="s">
        <v>4799</v>
      </c>
      <c r="H2262" t="s">
        <v>4805</v>
      </c>
      <c r="I2262">
        <v>13.99</v>
      </c>
      <c r="J2262">
        <v>3</v>
      </c>
      <c r="K2262">
        <v>2.6</v>
      </c>
      <c r="L2262">
        <v>0</v>
      </c>
      <c r="M2262" t="s">
        <v>4810</v>
      </c>
      <c r="N2262" t="s">
        <v>4900</v>
      </c>
      <c r="O2262" t="s">
        <v>4912</v>
      </c>
    </row>
    <row r="2263" spans="1:15" x14ac:dyDescent="0.35">
      <c r="A2263" t="s">
        <v>2237</v>
      </c>
      <c r="B2263">
        <v>54</v>
      </c>
      <c r="C2263" t="s">
        <v>4802</v>
      </c>
      <c r="D2263" t="s">
        <v>13</v>
      </c>
      <c r="E2263">
        <v>45</v>
      </c>
      <c r="F2263">
        <v>30</v>
      </c>
      <c r="G2263" t="s">
        <v>4798</v>
      </c>
      <c r="H2263" t="s">
        <v>4804</v>
      </c>
      <c r="I2263">
        <v>13.99</v>
      </c>
      <c r="J2263">
        <v>2</v>
      </c>
      <c r="K2263">
        <v>1.5</v>
      </c>
      <c r="L2263">
        <v>0</v>
      </c>
      <c r="M2263" t="s">
        <v>4811</v>
      </c>
      <c r="N2263" t="s">
        <v>4900</v>
      </c>
      <c r="O2263" t="s">
        <v>4910</v>
      </c>
    </row>
    <row r="2264" spans="1:15" x14ac:dyDescent="0.35">
      <c r="A2264" t="s">
        <v>2238</v>
      </c>
      <c r="B2264">
        <v>42</v>
      </c>
      <c r="C2264" t="s">
        <v>4803</v>
      </c>
      <c r="D2264" t="s">
        <v>13</v>
      </c>
      <c r="E2264">
        <v>75</v>
      </c>
      <c r="F2264">
        <v>56</v>
      </c>
      <c r="G2264" t="s">
        <v>4797</v>
      </c>
      <c r="H2264" t="s">
        <v>4806</v>
      </c>
      <c r="I2264">
        <v>13.99</v>
      </c>
      <c r="J2264">
        <v>4</v>
      </c>
      <c r="K2264">
        <v>2.5</v>
      </c>
      <c r="L2264">
        <v>0</v>
      </c>
      <c r="M2264" t="s">
        <v>4812</v>
      </c>
      <c r="N2264" t="s">
        <v>4900</v>
      </c>
      <c r="O2264" t="s">
        <v>4910</v>
      </c>
    </row>
    <row r="2265" spans="1:15" x14ac:dyDescent="0.35">
      <c r="A2265" t="s">
        <v>2239</v>
      </c>
      <c r="B2265">
        <v>32</v>
      </c>
      <c r="C2265" t="s">
        <v>4803</v>
      </c>
      <c r="D2265" t="s">
        <v>13</v>
      </c>
      <c r="E2265">
        <v>47</v>
      </c>
      <c r="F2265">
        <v>38</v>
      </c>
      <c r="G2265" t="s">
        <v>4797</v>
      </c>
      <c r="H2265" t="s">
        <v>4806</v>
      </c>
      <c r="I2265">
        <v>13.99</v>
      </c>
      <c r="J2265">
        <v>4</v>
      </c>
      <c r="K2265">
        <v>1.57</v>
      </c>
      <c r="L2265">
        <v>0</v>
      </c>
      <c r="M2265" t="s">
        <v>4809</v>
      </c>
      <c r="N2265" t="s">
        <v>4900</v>
      </c>
      <c r="O2265" t="s">
        <v>4912</v>
      </c>
    </row>
    <row r="2266" spans="1:15" x14ac:dyDescent="0.35">
      <c r="A2266" t="s">
        <v>2240</v>
      </c>
      <c r="B2266">
        <v>18</v>
      </c>
      <c r="C2266" t="s">
        <v>4802</v>
      </c>
      <c r="D2266" t="s">
        <v>13</v>
      </c>
      <c r="E2266">
        <v>79</v>
      </c>
      <c r="F2266">
        <v>2</v>
      </c>
      <c r="G2266" t="s">
        <v>4798</v>
      </c>
      <c r="H2266" t="s">
        <v>4804</v>
      </c>
      <c r="I2266">
        <v>13.99</v>
      </c>
      <c r="J2266">
        <v>1</v>
      </c>
      <c r="K2266">
        <v>2.63</v>
      </c>
      <c r="L2266">
        <v>1</v>
      </c>
      <c r="M2266" t="s">
        <v>4809</v>
      </c>
      <c r="N2266" t="s">
        <v>4899</v>
      </c>
      <c r="O2266" t="s">
        <v>4912</v>
      </c>
    </row>
    <row r="2267" spans="1:15" x14ac:dyDescent="0.35">
      <c r="A2267" t="s">
        <v>2241</v>
      </c>
      <c r="B2267">
        <v>30</v>
      </c>
      <c r="C2267" t="s">
        <v>4803</v>
      </c>
      <c r="D2267" t="s">
        <v>13</v>
      </c>
      <c r="E2267">
        <v>65</v>
      </c>
      <c r="F2267">
        <v>34</v>
      </c>
      <c r="G2267" t="s">
        <v>4799</v>
      </c>
      <c r="H2267" t="s">
        <v>4804</v>
      </c>
      <c r="I2267">
        <v>13.99</v>
      </c>
      <c r="J2267">
        <v>3</v>
      </c>
      <c r="K2267">
        <v>2.17</v>
      </c>
      <c r="L2267">
        <v>0</v>
      </c>
      <c r="M2267" t="s">
        <v>4809</v>
      </c>
      <c r="N2267" t="s">
        <v>4900</v>
      </c>
      <c r="O2267" t="s">
        <v>4912</v>
      </c>
    </row>
    <row r="2268" spans="1:15" x14ac:dyDescent="0.35">
      <c r="A2268" t="s">
        <v>2242</v>
      </c>
      <c r="B2268">
        <v>43</v>
      </c>
      <c r="C2268" t="s">
        <v>4802</v>
      </c>
      <c r="D2268" t="s">
        <v>13</v>
      </c>
      <c r="E2268">
        <v>76</v>
      </c>
      <c r="F2268">
        <v>31</v>
      </c>
      <c r="G2268" t="s">
        <v>4799</v>
      </c>
      <c r="H2268" t="s">
        <v>4805</v>
      </c>
      <c r="I2268">
        <v>13.99</v>
      </c>
      <c r="J2268">
        <v>3</v>
      </c>
      <c r="K2268">
        <v>2.5299999999999998</v>
      </c>
      <c r="L2268">
        <v>0</v>
      </c>
      <c r="M2268" t="s">
        <v>4811</v>
      </c>
      <c r="N2268" t="s">
        <v>4900</v>
      </c>
      <c r="O2268" t="s">
        <v>4910</v>
      </c>
    </row>
    <row r="2269" spans="1:15" x14ac:dyDescent="0.35">
      <c r="A2269" t="s">
        <v>2243</v>
      </c>
      <c r="B2269">
        <v>32</v>
      </c>
      <c r="C2269" t="s">
        <v>4803</v>
      </c>
      <c r="D2269" t="s">
        <v>13</v>
      </c>
      <c r="E2269">
        <v>40</v>
      </c>
      <c r="F2269">
        <v>28</v>
      </c>
      <c r="G2269" t="s">
        <v>4798</v>
      </c>
      <c r="H2269" t="s">
        <v>4805</v>
      </c>
      <c r="I2269">
        <v>13.99</v>
      </c>
      <c r="J2269">
        <v>1</v>
      </c>
      <c r="K2269">
        <v>2.0299999999999998</v>
      </c>
      <c r="L2269">
        <v>0</v>
      </c>
      <c r="M2269" t="s">
        <v>4811</v>
      </c>
      <c r="N2269" t="s">
        <v>4900</v>
      </c>
      <c r="O2269" t="s">
        <v>4912</v>
      </c>
    </row>
    <row r="2270" spans="1:15" x14ac:dyDescent="0.35">
      <c r="A2270" t="s">
        <v>2244</v>
      </c>
      <c r="B2270">
        <v>37</v>
      </c>
      <c r="C2270" t="s">
        <v>4802</v>
      </c>
      <c r="D2270" t="s">
        <v>13</v>
      </c>
      <c r="E2270">
        <v>66</v>
      </c>
      <c r="F2270">
        <v>31</v>
      </c>
      <c r="G2270" t="s">
        <v>4798</v>
      </c>
      <c r="H2270" t="s">
        <v>4804</v>
      </c>
      <c r="I2270">
        <v>13.99</v>
      </c>
      <c r="J2270">
        <v>1</v>
      </c>
      <c r="K2270">
        <v>2.2000000000000002</v>
      </c>
      <c r="L2270">
        <v>0</v>
      </c>
      <c r="M2270" t="s">
        <v>4812</v>
      </c>
      <c r="N2270" t="s">
        <v>4900</v>
      </c>
      <c r="O2270" t="s">
        <v>4910</v>
      </c>
    </row>
    <row r="2271" spans="1:15" x14ac:dyDescent="0.35">
      <c r="A2271" t="s">
        <v>2245</v>
      </c>
      <c r="B2271">
        <v>44</v>
      </c>
      <c r="C2271" t="s">
        <v>4802</v>
      </c>
      <c r="D2271" t="s">
        <v>14</v>
      </c>
      <c r="E2271">
        <v>15</v>
      </c>
      <c r="F2271">
        <v>5</v>
      </c>
      <c r="G2271" t="s">
        <v>4798</v>
      </c>
      <c r="H2271" t="s">
        <v>4806</v>
      </c>
      <c r="I2271">
        <v>8.99</v>
      </c>
      <c r="J2271">
        <v>2</v>
      </c>
      <c r="K2271">
        <v>0.5</v>
      </c>
      <c r="L2271">
        <v>0</v>
      </c>
      <c r="M2271" t="s">
        <v>4811</v>
      </c>
      <c r="N2271" t="s">
        <v>4900</v>
      </c>
      <c r="O2271" t="s">
        <v>4910</v>
      </c>
    </row>
    <row r="2272" spans="1:15" x14ac:dyDescent="0.35">
      <c r="A2272" t="s">
        <v>2246</v>
      </c>
      <c r="B2272">
        <v>51</v>
      </c>
      <c r="C2272" t="s">
        <v>4803</v>
      </c>
      <c r="D2272" t="s">
        <v>15</v>
      </c>
      <c r="E2272">
        <v>104</v>
      </c>
      <c r="F2272">
        <v>8</v>
      </c>
      <c r="G2272" t="s">
        <v>4800</v>
      </c>
      <c r="H2272" t="s">
        <v>4804</v>
      </c>
      <c r="I2272">
        <v>17.989999999999998</v>
      </c>
      <c r="J2272">
        <v>4</v>
      </c>
      <c r="K2272">
        <v>3.47</v>
      </c>
      <c r="L2272">
        <v>0</v>
      </c>
      <c r="M2272" t="s">
        <v>4812</v>
      </c>
      <c r="N2272" t="s">
        <v>4900</v>
      </c>
      <c r="O2272" t="s">
        <v>4910</v>
      </c>
    </row>
    <row r="2273" spans="1:15" x14ac:dyDescent="0.35">
      <c r="A2273" t="s">
        <v>2247</v>
      </c>
      <c r="B2273">
        <v>26</v>
      </c>
      <c r="C2273" t="s">
        <v>4803</v>
      </c>
      <c r="D2273" t="s">
        <v>13</v>
      </c>
      <c r="E2273">
        <v>32</v>
      </c>
      <c r="F2273">
        <v>33</v>
      </c>
      <c r="G2273" t="s">
        <v>4797</v>
      </c>
      <c r="H2273" t="s">
        <v>4805</v>
      </c>
      <c r="I2273">
        <v>13.99</v>
      </c>
      <c r="J2273">
        <v>4</v>
      </c>
      <c r="K2273">
        <v>1.07</v>
      </c>
      <c r="L2273">
        <v>1</v>
      </c>
      <c r="M2273" t="s">
        <v>4812</v>
      </c>
      <c r="N2273" t="s">
        <v>4899</v>
      </c>
      <c r="O2273" t="s">
        <v>4912</v>
      </c>
    </row>
    <row r="2274" spans="1:15" x14ac:dyDescent="0.35">
      <c r="A2274" t="s">
        <v>4869</v>
      </c>
      <c r="B2274">
        <v>61</v>
      </c>
      <c r="C2274" t="s">
        <v>4802</v>
      </c>
      <c r="D2274" t="s">
        <v>13</v>
      </c>
      <c r="E2274">
        <v>73</v>
      </c>
      <c r="F2274">
        <v>15</v>
      </c>
      <c r="G2274" t="s">
        <v>4799</v>
      </c>
      <c r="H2274" t="s">
        <v>4804</v>
      </c>
      <c r="I2274">
        <v>13.99</v>
      </c>
      <c r="J2274">
        <v>3</v>
      </c>
      <c r="K2274">
        <v>2.4300000000000002</v>
      </c>
      <c r="L2274">
        <v>0</v>
      </c>
      <c r="M2274" t="s">
        <v>4811</v>
      </c>
      <c r="N2274" t="s">
        <v>4900</v>
      </c>
      <c r="O2274" t="s">
        <v>4911</v>
      </c>
    </row>
    <row r="2275" spans="1:15" x14ac:dyDescent="0.35">
      <c r="A2275" t="s">
        <v>2248</v>
      </c>
      <c r="B2275">
        <v>40</v>
      </c>
      <c r="C2275" t="s">
        <v>4802</v>
      </c>
      <c r="D2275" t="s">
        <v>14</v>
      </c>
      <c r="E2275">
        <v>35</v>
      </c>
      <c r="F2275">
        <v>12</v>
      </c>
      <c r="G2275" t="s">
        <v>4797</v>
      </c>
      <c r="H2275" t="s">
        <v>4806</v>
      </c>
      <c r="I2275">
        <v>8.99</v>
      </c>
      <c r="J2275">
        <v>1</v>
      </c>
      <c r="K2275">
        <v>5</v>
      </c>
      <c r="L2275">
        <v>0</v>
      </c>
      <c r="M2275" t="s">
        <v>4809</v>
      </c>
      <c r="N2275" t="s">
        <v>4900</v>
      </c>
      <c r="O2275" t="s">
        <v>4910</v>
      </c>
    </row>
    <row r="2276" spans="1:15" x14ac:dyDescent="0.35">
      <c r="A2276" t="s">
        <v>2249</v>
      </c>
      <c r="B2276">
        <v>24</v>
      </c>
      <c r="C2276" t="s">
        <v>4802</v>
      </c>
      <c r="D2276" t="s">
        <v>15</v>
      </c>
      <c r="E2276">
        <v>67</v>
      </c>
      <c r="F2276">
        <v>40</v>
      </c>
      <c r="G2276" t="s">
        <v>4800</v>
      </c>
      <c r="H2276" t="s">
        <v>4804</v>
      </c>
      <c r="I2276">
        <v>17.989999999999998</v>
      </c>
      <c r="J2276">
        <v>5</v>
      </c>
      <c r="K2276">
        <v>2.23</v>
      </c>
      <c r="L2276">
        <v>0</v>
      </c>
      <c r="M2276" t="s">
        <v>4812</v>
      </c>
      <c r="N2276" t="s">
        <v>4900</v>
      </c>
      <c r="O2276" t="s">
        <v>4912</v>
      </c>
    </row>
    <row r="2277" spans="1:15" x14ac:dyDescent="0.35">
      <c r="A2277" t="s">
        <v>2250</v>
      </c>
      <c r="B2277">
        <v>62</v>
      </c>
      <c r="C2277" t="s">
        <v>4803</v>
      </c>
      <c r="D2277" t="s">
        <v>13</v>
      </c>
      <c r="E2277">
        <v>74</v>
      </c>
      <c r="F2277">
        <v>22</v>
      </c>
      <c r="G2277" t="s">
        <v>4797</v>
      </c>
      <c r="H2277" t="s">
        <v>4805</v>
      </c>
      <c r="I2277">
        <v>13.99</v>
      </c>
      <c r="J2277">
        <v>2</v>
      </c>
      <c r="K2277">
        <v>2.4700000000000002</v>
      </c>
      <c r="L2277">
        <v>0</v>
      </c>
      <c r="M2277" t="s">
        <v>4810</v>
      </c>
      <c r="N2277" t="s">
        <v>4900</v>
      </c>
      <c r="O2277" t="s">
        <v>4911</v>
      </c>
    </row>
    <row r="2278" spans="1:15" x14ac:dyDescent="0.35">
      <c r="A2278" t="s">
        <v>2251</v>
      </c>
      <c r="B2278">
        <v>37</v>
      </c>
      <c r="C2278" t="s">
        <v>4803</v>
      </c>
      <c r="D2278" t="s">
        <v>13</v>
      </c>
      <c r="E2278">
        <v>45</v>
      </c>
      <c r="F2278">
        <v>22</v>
      </c>
      <c r="G2278" t="s">
        <v>4799</v>
      </c>
      <c r="H2278" t="s">
        <v>4804</v>
      </c>
      <c r="I2278">
        <v>13.99</v>
      </c>
      <c r="J2278">
        <v>4</v>
      </c>
      <c r="K2278">
        <v>1.5</v>
      </c>
      <c r="L2278">
        <v>0</v>
      </c>
      <c r="M2278" t="s">
        <v>4808</v>
      </c>
      <c r="N2278" t="s">
        <v>4900</v>
      </c>
      <c r="O2278" t="s">
        <v>4910</v>
      </c>
    </row>
    <row r="2279" spans="1:15" x14ac:dyDescent="0.35">
      <c r="A2279" t="s">
        <v>2252</v>
      </c>
      <c r="B2279">
        <v>62</v>
      </c>
      <c r="C2279" t="s">
        <v>4803</v>
      </c>
      <c r="D2279" t="s">
        <v>13</v>
      </c>
      <c r="E2279">
        <v>46</v>
      </c>
      <c r="F2279">
        <v>33</v>
      </c>
      <c r="G2279" t="s">
        <v>4799</v>
      </c>
      <c r="H2279" t="s">
        <v>4806</v>
      </c>
      <c r="I2279">
        <v>13.99</v>
      </c>
      <c r="J2279">
        <v>3</v>
      </c>
      <c r="K2279">
        <v>1.53</v>
      </c>
      <c r="L2279">
        <v>0</v>
      </c>
      <c r="M2279" t="s">
        <v>4812</v>
      </c>
      <c r="N2279" t="s">
        <v>4900</v>
      </c>
      <c r="O2279" t="s">
        <v>4911</v>
      </c>
    </row>
    <row r="2280" spans="1:15" x14ac:dyDescent="0.35">
      <c r="A2280" t="s">
        <v>2253</v>
      </c>
      <c r="B2280">
        <v>41</v>
      </c>
      <c r="C2280" t="s">
        <v>4802</v>
      </c>
      <c r="D2280" t="s">
        <v>13</v>
      </c>
      <c r="E2280">
        <v>68</v>
      </c>
      <c r="F2280">
        <v>15</v>
      </c>
      <c r="G2280" t="s">
        <v>4799</v>
      </c>
      <c r="H2280" t="s">
        <v>4806</v>
      </c>
      <c r="I2280">
        <v>13.99</v>
      </c>
      <c r="J2280">
        <v>4</v>
      </c>
      <c r="K2280">
        <v>2.27</v>
      </c>
      <c r="L2280">
        <v>0</v>
      </c>
      <c r="M2280" t="s">
        <v>4812</v>
      </c>
      <c r="N2280" t="s">
        <v>4900</v>
      </c>
      <c r="O2280" t="s">
        <v>4910</v>
      </c>
    </row>
    <row r="2281" spans="1:15" x14ac:dyDescent="0.35">
      <c r="A2281" t="s">
        <v>2254</v>
      </c>
      <c r="B2281">
        <v>61</v>
      </c>
      <c r="C2281" t="s">
        <v>4802</v>
      </c>
      <c r="D2281" t="s">
        <v>15</v>
      </c>
      <c r="E2281">
        <v>75</v>
      </c>
      <c r="F2281">
        <v>30</v>
      </c>
      <c r="G2281" t="s">
        <v>4798</v>
      </c>
      <c r="H2281" t="s">
        <v>4805</v>
      </c>
      <c r="I2281">
        <v>17.989999999999998</v>
      </c>
      <c r="J2281">
        <v>3</v>
      </c>
      <c r="K2281">
        <v>2.5</v>
      </c>
      <c r="L2281">
        <v>1</v>
      </c>
      <c r="M2281" t="s">
        <v>4811</v>
      </c>
      <c r="N2281" t="s">
        <v>4899</v>
      </c>
      <c r="O2281" t="s">
        <v>4911</v>
      </c>
    </row>
    <row r="2282" spans="1:15" x14ac:dyDescent="0.35">
      <c r="A2282" t="s">
        <v>2255</v>
      </c>
      <c r="B2282">
        <v>20</v>
      </c>
      <c r="C2282" t="s">
        <v>4803</v>
      </c>
      <c r="D2282" t="s">
        <v>13</v>
      </c>
      <c r="E2282">
        <v>31</v>
      </c>
      <c r="F2282">
        <v>32</v>
      </c>
      <c r="G2282" t="s">
        <v>4798</v>
      </c>
      <c r="H2282" t="s">
        <v>4805</v>
      </c>
      <c r="I2282">
        <v>13.99</v>
      </c>
      <c r="J2282">
        <v>1</v>
      </c>
      <c r="K2282">
        <v>1.03</v>
      </c>
      <c r="L2282">
        <v>0</v>
      </c>
      <c r="M2282" t="s">
        <v>4808</v>
      </c>
      <c r="N2282" t="s">
        <v>4900</v>
      </c>
      <c r="O2282" t="s">
        <v>4912</v>
      </c>
    </row>
    <row r="2283" spans="1:15" x14ac:dyDescent="0.35">
      <c r="A2283" t="s">
        <v>2256</v>
      </c>
      <c r="B2283">
        <v>38</v>
      </c>
      <c r="C2283" t="s">
        <v>4803</v>
      </c>
      <c r="D2283" t="s">
        <v>15</v>
      </c>
      <c r="E2283">
        <v>53</v>
      </c>
      <c r="F2283">
        <v>48</v>
      </c>
      <c r="G2283" t="s">
        <v>4799</v>
      </c>
      <c r="H2283" t="s">
        <v>4805</v>
      </c>
      <c r="I2283">
        <v>17.989999999999998</v>
      </c>
      <c r="J2283">
        <v>5</v>
      </c>
      <c r="K2283">
        <v>1.77</v>
      </c>
      <c r="L2283">
        <v>0</v>
      </c>
      <c r="M2283" t="s">
        <v>4808</v>
      </c>
      <c r="N2283" t="s">
        <v>4900</v>
      </c>
      <c r="O2283" t="s">
        <v>4910</v>
      </c>
    </row>
    <row r="2284" spans="1:15" x14ac:dyDescent="0.35">
      <c r="A2284" t="s">
        <v>2257</v>
      </c>
      <c r="B2284">
        <v>42</v>
      </c>
      <c r="C2284" t="s">
        <v>4803</v>
      </c>
      <c r="D2284" t="s">
        <v>15</v>
      </c>
      <c r="E2284">
        <v>80</v>
      </c>
      <c r="F2284">
        <v>41</v>
      </c>
      <c r="G2284" t="s">
        <v>4797</v>
      </c>
      <c r="H2284" t="s">
        <v>4804</v>
      </c>
      <c r="I2284">
        <v>17.989999999999998</v>
      </c>
      <c r="J2284">
        <v>4</v>
      </c>
      <c r="K2284">
        <v>2.67</v>
      </c>
      <c r="L2284">
        <v>0</v>
      </c>
      <c r="M2284" t="s">
        <v>4811</v>
      </c>
      <c r="N2284" t="s">
        <v>4900</v>
      </c>
      <c r="O2284" t="s">
        <v>4910</v>
      </c>
    </row>
    <row r="2285" spans="1:15" x14ac:dyDescent="0.35">
      <c r="A2285" t="s">
        <v>2258</v>
      </c>
      <c r="B2285">
        <v>35</v>
      </c>
      <c r="C2285" t="s">
        <v>4802</v>
      </c>
      <c r="D2285" t="s">
        <v>13</v>
      </c>
      <c r="E2285">
        <v>75</v>
      </c>
      <c r="F2285">
        <v>29</v>
      </c>
      <c r="G2285" t="s">
        <v>4798</v>
      </c>
      <c r="H2285" t="s">
        <v>4806</v>
      </c>
      <c r="I2285">
        <v>13.99</v>
      </c>
      <c r="J2285">
        <v>2</v>
      </c>
      <c r="K2285">
        <v>2.5</v>
      </c>
      <c r="L2285">
        <v>0</v>
      </c>
      <c r="M2285" t="s">
        <v>4812</v>
      </c>
      <c r="N2285" t="s">
        <v>4900</v>
      </c>
      <c r="O2285" t="s">
        <v>4910</v>
      </c>
    </row>
    <row r="2286" spans="1:15" x14ac:dyDescent="0.35">
      <c r="A2286" t="s">
        <v>2259</v>
      </c>
      <c r="B2286">
        <v>31</v>
      </c>
      <c r="C2286" t="s">
        <v>4802</v>
      </c>
      <c r="D2286" t="s">
        <v>13</v>
      </c>
      <c r="E2286">
        <v>70</v>
      </c>
      <c r="F2286">
        <v>56</v>
      </c>
      <c r="G2286" t="s">
        <v>4799</v>
      </c>
      <c r="H2286" t="s">
        <v>4805</v>
      </c>
      <c r="I2286">
        <v>13.99</v>
      </c>
      <c r="J2286">
        <v>3</v>
      </c>
      <c r="K2286">
        <v>2.33</v>
      </c>
      <c r="L2286">
        <v>0</v>
      </c>
      <c r="M2286" t="s">
        <v>4812</v>
      </c>
      <c r="N2286" t="s">
        <v>4900</v>
      </c>
      <c r="O2286" t="s">
        <v>4912</v>
      </c>
    </row>
    <row r="2287" spans="1:15" x14ac:dyDescent="0.35">
      <c r="A2287" t="s">
        <v>2260</v>
      </c>
      <c r="B2287">
        <v>30</v>
      </c>
      <c r="C2287" t="s">
        <v>4803</v>
      </c>
      <c r="D2287" t="s">
        <v>13</v>
      </c>
      <c r="E2287">
        <v>71</v>
      </c>
      <c r="F2287">
        <v>999</v>
      </c>
      <c r="G2287" t="s">
        <v>4797</v>
      </c>
      <c r="H2287" t="s">
        <v>4805</v>
      </c>
      <c r="I2287">
        <v>13.99</v>
      </c>
      <c r="J2287">
        <v>4</v>
      </c>
      <c r="K2287">
        <v>2.37</v>
      </c>
      <c r="L2287">
        <v>0</v>
      </c>
      <c r="M2287" t="s">
        <v>4808</v>
      </c>
      <c r="N2287" t="s">
        <v>4900</v>
      </c>
      <c r="O2287" t="s">
        <v>4912</v>
      </c>
    </row>
    <row r="2288" spans="1:15" x14ac:dyDescent="0.35">
      <c r="A2288" t="s">
        <v>2261</v>
      </c>
      <c r="B2288">
        <v>46</v>
      </c>
      <c r="C2288" t="s">
        <v>4803</v>
      </c>
      <c r="D2288" t="s">
        <v>13</v>
      </c>
      <c r="E2288">
        <v>47</v>
      </c>
      <c r="F2288">
        <v>58</v>
      </c>
      <c r="G2288" t="s">
        <v>4798</v>
      </c>
      <c r="H2288" t="s">
        <v>4804</v>
      </c>
      <c r="I2288">
        <v>13.99</v>
      </c>
      <c r="J2288">
        <v>1</v>
      </c>
      <c r="K2288">
        <v>2.0299999999999998</v>
      </c>
      <c r="L2288">
        <v>0</v>
      </c>
      <c r="M2288" t="s">
        <v>4810</v>
      </c>
      <c r="N2288" t="s">
        <v>4900</v>
      </c>
      <c r="O2288" t="s">
        <v>4910</v>
      </c>
    </row>
    <row r="2289" spans="1:15" x14ac:dyDescent="0.35">
      <c r="A2289" t="s">
        <v>2262</v>
      </c>
      <c r="B2289">
        <v>49</v>
      </c>
      <c r="C2289" t="s">
        <v>4803</v>
      </c>
      <c r="D2289" t="s">
        <v>13</v>
      </c>
      <c r="E2289">
        <v>53</v>
      </c>
      <c r="F2289">
        <v>3</v>
      </c>
      <c r="G2289" t="s">
        <v>4799</v>
      </c>
      <c r="H2289" t="s">
        <v>4805</v>
      </c>
      <c r="I2289">
        <v>13.99</v>
      </c>
      <c r="J2289">
        <v>2</v>
      </c>
      <c r="K2289">
        <v>1.77</v>
      </c>
      <c r="L2289">
        <v>0</v>
      </c>
      <c r="M2289" t="s">
        <v>4812</v>
      </c>
      <c r="N2289" t="s">
        <v>4900</v>
      </c>
      <c r="O2289" t="s">
        <v>4910</v>
      </c>
    </row>
    <row r="2290" spans="1:15" x14ac:dyDescent="0.35">
      <c r="A2290" t="s">
        <v>2263</v>
      </c>
      <c r="B2290">
        <v>45</v>
      </c>
      <c r="C2290" t="s">
        <v>4803</v>
      </c>
      <c r="D2290" t="s">
        <v>13</v>
      </c>
      <c r="E2290">
        <v>73</v>
      </c>
      <c r="F2290">
        <v>22</v>
      </c>
      <c r="G2290" t="s">
        <v>4798</v>
      </c>
      <c r="H2290" t="s">
        <v>4804</v>
      </c>
      <c r="I2290">
        <v>13.99</v>
      </c>
      <c r="J2290">
        <v>4</v>
      </c>
      <c r="K2290">
        <v>2.4300000000000002</v>
      </c>
      <c r="L2290">
        <v>0</v>
      </c>
      <c r="M2290" t="s">
        <v>4811</v>
      </c>
      <c r="N2290" t="s">
        <v>4900</v>
      </c>
      <c r="O2290" t="s">
        <v>4910</v>
      </c>
    </row>
    <row r="2291" spans="1:15" x14ac:dyDescent="0.35">
      <c r="A2291" t="s">
        <v>2264</v>
      </c>
      <c r="B2291">
        <v>55</v>
      </c>
      <c r="C2291" t="s">
        <v>4803</v>
      </c>
      <c r="D2291" t="s">
        <v>15</v>
      </c>
      <c r="E2291">
        <v>102</v>
      </c>
      <c r="F2291">
        <v>59</v>
      </c>
      <c r="G2291" t="s">
        <v>4799</v>
      </c>
      <c r="H2291" t="s">
        <v>4806</v>
      </c>
      <c r="I2291">
        <v>17.989999999999998</v>
      </c>
      <c r="J2291">
        <v>2</v>
      </c>
      <c r="K2291">
        <v>3.4</v>
      </c>
      <c r="L2291">
        <v>0</v>
      </c>
      <c r="M2291" t="s">
        <v>4812</v>
      </c>
      <c r="N2291" t="s">
        <v>4900</v>
      </c>
      <c r="O2291" t="s">
        <v>4911</v>
      </c>
    </row>
    <row r="2292" spans="1:15" x14ac:dyDescent="0.35">
      <c r="A2292" t="s">
        <v>2265</v>
      </c>
      <c r="B2292">
        <v>22</v>
      </c>
      <c r="C2292" t="s">
        <v>4802</v>
      </c>
      <c r="D2292" t="s">
        <v>15</v>
      </c>
      <c r="E2292">
        <v>80</v>
      </c>
      <c r="F2292">
        <v>18</v>
      </c>
      <c r="G2292" t="s">
        <v>4798</v>
      </c>
      <c r="H2292" t="s">
        <v>4806</v>
      </c>
      <c r="I2292">
        <v>17.989999999999998</v>
      </c>
      <c r="J2292">
        <v>5</v>
      </c>
      <c r="K2292">
        <v>2.67</v>
      </c>
      <c r="L2292">
        <v>0</v>
      </c>
      <c r="M2292" t="s">
        <v>4811</v>
      </c>
      <c r="N2292" t="s">
        <v>4900</v>
      </c>
      <c r="O2292" t="s">
        <v>4912</v>
      </c>
    </row>
    <row r="2293" spans="1:15" x14ac:dyDescent="0.35">
      <c r="A2293" t="s">
        <v>2266</v>
      </c>
      <c r="B2293">
        <v>55</v>
      </c>
      <c r="C2293" t="s">
        <v>4802</v>
      </c>
      <c r="D2293" t="s">
        <v>13</v>
      </c>
      <c r="E2293">
        <v>42</v>
      </c>
      <c r="F2293">
        <v>10</v>
      </c>
      <c r="G2293" t="s">
        <v>4797</v>
      </c>
      <c r="H2293" t="s">
        <v>4805</v>
      </c>
      <c r="I2293">
        <v>13.99</v>
      </c>
      <c r="J2293">
        <v>2</v>
      </c>
      <c r="K2293">
        <v>5</v>
      </c>
      <c r="L2293">
        <v>0</v>
      </c>
      <c r="M2293" t="s">
        <v>4811</v>
      </c>
      <c r="N2293" t="s">
        <v>4900</v>
      </c>
      <c r="O2293" t="s">
        <v>4911</v>
      </c>
    </row>
    <row r="2294" spans="1:15" x14ac:dyDescent="0.35">
      <c r="A2294" t="s">
        <v>2267</v>
      </c>
      <c r="B2294">
        <v>23</v>
      </c>
      <c r="C2294" t="s">
        <v>4803</v>
      </c>
      <c r="D2294" t="s">
        <v>13</v>
      </c>
      <c r="E2294">
        <v>73</v>
      </c>
      <c r="F2294">
        <v>23</v>
      </c>
      <c r="G2294" t="s">
        <v>4798</v>
      </c>
      <c r="H2294" t="s">
        <v>4804</v>
      </c>
      <c r="I2294">
        <v>13.99</v>
      </c>
      <c r="J2294">
        <v>1</v>
      </c>
      <c r="K2294">
        <v>2.4300000000000002</v>
      </c>
      <c r="L2294">
        <v>1</v>
      </c>
      <c r="M2294" t="s">
        <v>4808</v>
      </c>
      <c r="N2294" t="s">
        <v>4899</v>
      </c>
      <c r="O2294" t="s">
        <v>4912</v>
      </c>
    </row>
    <row r="2295" spans="1:15" x14ac:dyDescent="0.35">
      <c r="A2295" t="s">
        <v>2268</v>
      </c>
      <c r="B2295">
        <v>31</v>
      </c>
      <c r="C2295" t="s">
        <v>4803</v>
      </c>
      <c r="D2295" t="s">
        <v>14</v>
      </c>
      <c r="E2295">
        <v>59</v>
      </c>
      <c r="F2295">
        <v>7</v>
      </c>
      <c r="G2295" t="s">
        <v>4797</v>
      </c>
      <c r="H2295" t="s">
        <v>4807</v>
      </c>
      <c r="I2295">
        <v>8.99</v>
      </c>
      <c r="J2295">
        <v>3</v>
      </c>
      <c r="K2295">
        <v>1.97</v>
      </c>
      <c r="L2295">
        <v>0</v>
      </c>
      <c r="M2295" t="s">
        <v>4808</v>
      </c>
      <c r="N2295" t="s">
        <v>4900</v>
      </c>
      <c r="O2295" t="s">
        <v>4912</v>
      </c>
    </row>
    <row r="2296" spans="1:15" x14ac:dyDescent="0.35">
      <c r="A2296" t="s">
        <v>2269</v>
      </c>
      <c r="B2296">
        <v>56</v>
      </c>
      <c r="C2296" t="s">
        <v>4803</v>
      </c>
      <c r="D2296" t="s">
        <v>13</v>
      </c>
      <c r="E2296">
        <v>59</v>
      </c>
      <c r="F2296">
        <v>55</v>
      </c>
      <c r="G2296" t="s">
        <v>4799</v>
      </c>
      <c r="H2296" t="s">
        <v>4805</v>
      </c>
      <c r="I2296">
        <v>13.99</v>
      </c>
      <c r="J2296">
        <v>2</v>
      </c>
      <c r="K2296">
        <v>1.97</v>
      </c>
      <c r="L2296">
        <v>1</v>
      </c>
      <c r="M2296" t="s">
        <v>4811</v>
      </c>
      <c r="N2296" t="s">
        <v>4899</v>
      </c>
      <c r="O2296" t="s">
        <v>4911</v>
      </c>
    </row>
    <row r="2297" spans="1:15" x14ac:dyDescent="0.35">
      <c r="A2297" t="s">
        <v>2270</v>
      </c>
      <c r="B2297">
        <v>61</v>
      </c>
      <c r="C2297" t="s">
        <v>4802</v>
      </c>
      <c r="D2297" t="s">
        <v>13</v>
      </c>
      <c r="E2297">
        <v>61</v>
      </c>
      <c r="F2297">
        <v>6</v>
      </c>
      <c r="G2297" t="s">
        <v>4799</v>
      </c>
      <c r="H2297" t="s">
        <v>4804</v>
      </c>
      <c r="I2297">
        <v>13.99</v>
      </c>
      <c r="J2297">
        <v>3</v>
      </c>
      <c r="K2297">
        <v>2.0299999999999998</v>
      </c>
      <c r="L2297">
        <v>0</v>
      </c>
      <c r="M2297" t="s">
        <v>4808</v>
      </c>
      <c r="N2297" t="s">
        <v>4900</v>
      </c>
      <c r="O2297" t="s">
        <v>4911</v>
      </c>
    </row>
    <row r="2298" spans="1:15" x14ac:dyDescent="0.35">
      <c r="A2298" t="s">
        <v>2271</v>
      </c>
      <c r="B2298">
        <v>19</v>
      </c>
      <c r="C2298" t="s">
        <v>4803</v>
      </c>
      <c r="D2298" t="s">
        <v>13</v>
      </c>
      <c r="E2298">
        <v>63</v>
      </c>
      <c r="F2298">
        <v>52</v>
      </c>
      <c r="G2298" t="s">
        <v>4799</v>
      </c>
      <c r="H2298" t="s">
        <v>4806</v>
      </c>
      <c r="I2298">
        <v>13.99</v>
      </c>
      <c r="J2298">
        <v>2</v>
      </c>
      <c r="K2298">
        <v>2.1</v>
      </c>
      <c r="L2298">
        <v>0</v>
      </c>
      <c r="M2298" t="s">
        <v>4808</v>
      </c>
      <c r="N2298" t="s">
        <v>4900</v>
      </c>
      <c r="O2298" t="s">
        <v>4912</v>
      </c>
    </row>
    <row r="2299" spans="1:15" x14ac:dyDescent="0.35">
      <c r="A2299" t="s">
        <v>2272</v>
      </c>
      <c r="B2299">
        <v>23</v>
      </c>
      <c r="C2299" t="s">
        <v>4803</v>
      </c>
      <c r="D2299" t="s">
        <v>13</v>
      </c>
      <c r="E2299">
        <v>76</v>
      </c>
      <c r="F2299">
        <v>13</v>
      </c>
      <c r="G2299" t="s">
        <v>4797</v>
      </c>
      <c r="H2299" t="s">
        <v>4805</v>
      </c>
      <c r="I2299">
        <v>13.99</v>
      </c>
      <c r="J2299">
        <v>1</v>
      </c>
      <c r="K2299">
        <v>2.5299999999999998</v>
      </c>
      <c r="L2299">
        <v>0</v>
      </c>
      <c r="M2299" t="s">
        <v>4808</v>
      </c>
      <c r="N2299" t="s">
        <v>4900</v>
      </c>
      <c r="O2299" t="s">
        <v>4912</v>
      </c>
    </row>
    <row r="2300" spans="1:15" x14ac:dyDescent="0.35">
      <c r="A2300" t="s">
        <v>2273</v>
      </c>
      <c r="B2300">
        <v>47</v>
      </c>
      <c r="C2300" t="s">
        <v>4803</v>
      </c>
      <c r="D2300" t="s">
        <v>13</v>
      </c>
      <c r="E2300">
        <v>41</v>
      </c>
      <c r="F2300">
        <v>4</v>
      </c>
      <c r="G2300" t="s">
        <v>4797</v>
      </c>
      <c r="H2300" t="s">
        <v>4806</v>
      </c>
      <c r="I2300">
        <v>13.99</v>
      </c>
      <c r="J2300">
        <v>3</v>
      </c>
      <c r="K2300">
        <v>1.37</v>
      </c>
      <c r="L2300">
        <v>0</v>
      </c>
      <c r="M2300" t="s">
        <v>4809</v>
      </c>
      <c r="N2300" t="s">
        <v>4900</v>
      </c>
      <c r="O2300" t="s">
        <v>4910</v>
      </c>
    </row>
    <row r="2301" spans="1:15" x14ac:dyDescent="0.35">
      <c r="A2301" t="s">
        <v>2274</v>
      </c>
      <c r="B2301">
        <v>43</v>
      </c>
      <c r="C2301" t="s">
        <v>4803</v>
      </c>
      <c r="D2301" t="s">
        <v>14</v>
      </c>
      <c r="E2301">
        <v>44</v>
      </c>
      <c r="F2301">
        <v>50</v>
      </c>
      <c r="G2301" t="s">
        <v>4799</v>
      </c>
      <c r="H2301" t="s">
        <v>4805</v>
      </c>
      <c r="I2301">
        <v>8.99</v>
      </c>
      <c r="J2301">
        <v>2</v>
      </c>
      <c r="K2301">
        <v>1.47</v>
      </c>
      <c r="L2301">
        <v>0</v>
      </c>
      <c r="M2301" t="s">
        <v>4810</v>
      </c>
      <c r="N2301" t="s">
        <v>4900</v>
      </c>
      <c r="O2301" t="s">
        <v>4910</v>
      </c>
    </row>
    <row r="2302" spans="1:15" x14ac:dyDescent="0.35">
      <c r="A2302" t="s">
        <v>2275</v>
      </c>
      <c r="B2302">
        <v>56</v>
      </c>
      <c r="C2302" t="s">
        <v>4803</v>
      </c>
      <c r="D2302" t="s">
        <v>14</v>
      </c>
      <c r="E2302">
        <v>35</v>
      </c>
      <c r="F2302">
        <v>5</v>
      </c>
      <c r="G2302" t="s">
        <v>4799</v>
      </c>
      <c r="H2302" t="s">
        <v>4804</v>
      </c>
      <c r="I2302">
        <v>8.99</v>
      </c>
      <c r="J2302">
        <v>2</v>
      </c>
      <c r="K2302">
        <v>1.17</v>
      </c>
      <c r="L2302">
        <v>0</v>
      </c>
      <c r="M2302" t="s">
        <v>4810</v>
      </c>
      <c r="N2302" t="s">
        <v>4900</v>
      </c>
      <c r="O2302" t="s">
        <v>4911</v>
      </c>
    </row>
    <row r="2303" spans="1:15" x14ac:dyDescent="0.35">
      <c r="A2303" t="s">
        <v>2276</v>
      </c>
      <c r="B2303">
        <v>20</v>
      </c>
      <c r="C2303" t="s">
        <v>4803</v>
      </c>
      <c r="D2303" t="s">
        <v>13</v>
      </c>
      <c r="E2303">
        <v>76</v>
      </c>
      <c r="F2303">
        <v>38</v>
      </c>
      <c r="G2303" t="s">
        <v>4799</v>
      </c>
      <c r="H2303" t="s">
        <v>4804</v>
      </c>
      <c r="I2303">
        <v>13.99</v>
      </c>
      <c r="J2303">
        <v>4</v>
      </c>
      <c r="K2303">
        <v>2.5299999999999998</v>
      </c>
      <c r="L2303">
        <v>1</v>
      </c>
      <c r="M2303" t="s">
        <v>4811</v>
      </c>
      <c r="N2303" t="s">
        <v>4899</v>
      </c>
      <c r="O2303" t="s">
        <v>4912</v>
      </c>
    </row>
    <row r="2304" spans="1:15" x14ac:dyDescent="0.35">
      <c r="A2304" t="s">
        <v>2277</v>
      </c>
      <c r="B2304">
        <v>39</v>
      </c>
      <c r="C2304" t="s">
        <v>4802</v>
      </c>
      <c r="D2304" t="s">
        <v>13</v>
      </c>
      <c r="E2304">
        <v>39</v>
      </c>
      <c r="F2304">
        <v>48</v>
      </c>
      <c r="G2304" t="s">
        <v>4798</v>
      </c>
      <c r="H2304" t="s">
        <v>4805</v>
      </c>
      <c r="I2304">
        <v>13.99</v>
      </c>
      <c r="J2304">
        <v>4</v>
      </c>
      <c r="K2304">
        <v>1.3</v>
      </c>
      <c r="L2304">
        <v>0</v>
      </c>
      <c r="M2304" t="s">
        <v>4812</v>
      </c>
      <c r="N2304" t="s">
        <v>4900</v>
      </c>
      <c r="O2304" t="s">
        <v>4910</v>
      </c>
    </row>
    <row r="2305" spans="1:15" x14ac:dyDescent="0.35">
      <c r="A2305" t="s">
        <v>2278</v>
      </c>
      <c r="B2305">
        <v>25</v>
      </c>
      <c r="C2305" t="s">
        <v>4802</v>
      </c>
      <c r="D2305" t="s">
        <v>15</v>
      </c>
      <c r="E2305">
        <v>82</v>
      </c>
      <c r="F2305">
        <v>39</v>
      </c>
      <c r="G2305" t="s">
        <v>4797</v>
      </c>
      <c r="H2305" t="s">
        <v>4804</v>
      </c>
      <c r="I2305">
        <v>17.989999999999998</v>
      </c>
      <c r="J2305">
        <v>5</v>
      </c>
      <c r="K2305">
        <v>2.73</v>
      </c>
      <c r="L2305">
        <v>1</v>
      </c>
      <c r="M2305" t="s">
        <v>4810</v>
      </c>
      <c r="N2305" t="s">
        <v>4899</v>
      </c>
      <c r="O2305" t="s">
        <v>4912</v>
      </c>
    </row>
    <row r="2306" spans="1:15" x14ac:dyDescent="0.35">
      <c r="A2306" t="s">
        <v>2279</v>
      </c>
      <c r="B2306">
        <v>54</v>
      </c>
      <c r="C2306" t="s">
        <v>4803</v>
      </c>
      <c r="D2306" t="s">
        <v>15</v>
      </c>
      <c r="E2306">
        <v>54</v>
      </c>
      <c r="F2306">
        <v>24</v>
      </c>
      <c r="G2306" t="s">
        <v>4799</v>
      </c>
      <c r="H2306" t="s">
        <v>4804</v>
      </c>
      <c r="I2306">
        <v>17.989999999999998</v>
      </c>
      <c r="J2306">
        <v>4</v>
      </c>
      <c r="K2306">
        <v>1.8</v>
      </c>
      <c r="L2306">
        <v>0</v>
      </c>
      <c r="M2306" t="s">
        <v>4809</v>
      </c>
      <c r="N2306" t="s">
        <v>4900</v>
      </c>
      <c r="O2306" t="s">
        <v>4910</v>
      </c>
    </row>
    <row r="2307" spans="1:15" x14ac:dyDescent="0.35">
      <c r="A2307" t="s">
        <v>2280</v>
      </c>
      <c r="B2307">
        <v>59</v>
      </c>
      <c r="C2307" t="s">
        <v>4803</v>
      </c>
      <c r="D2307" t="s">
        <v>13</v>
      </c>
      <c r="E2307">
        <v>40</v>
      </c>
      <c r="F2307">
        <v>12</v>
      </c>
      <c r="G2307" t="s">
        <v>4798</v>
      </c>
      <c r="H2307" t="s">
        <v>4805</v>
      </c>
      <c r="I2307">
        <v>13.99</v>
      </c>
      <c r="J2307">
        <v>3</v>
      </c>
      <c r="K2307">
        <v>1.33</v>
      </c>
      <c r="L2307">
        <v>0</v>
      </c>
      <c r="M2307" t="s">
        <v>4810</v>
      </c>
      <c r="N2307" t="s">
        <v>4900</v>
      </c>
      <c r="O2307" t="s">
        <v>4911</v>
      </c>
    </row>
    <row r="2308" spans="1:15" x14ac:dyDescent="0.35">
      <c r="A2308" t="s">
        <v>2281</v>
      </c>
      <c r="B2308">
        <v>53</v>
      </c>
      <c r="C2308" t="s">
        <v>4803</v>
      </c>
      <c r="D2308" t="s">
        <v>13</v>
      </c>
      <c r="E2308">
        <v>61</v>
      </c>
      <c r="F2308">
        <v>32</v>
      </c>
      <c r="G2308" t="s">
        <v>4798</v>
      </c>
      <c r="H2308" t="s">
        <v>4805</v>
      </c>
      <c r="I2308">
        <v>13.99</v>
      </c>
      <c r="J2308">
        <v>3</v>
      </c>
      <c r="K2308">
        <v>2.0299999999999998</v>
      </c>
      <c r="L2308">
        <v>0</v>
      </c>
      <c r="M2308" t="s">
        <v>4809</v>
      </c>
      <c r="N2308" t="s">
        <v>4900</v>
      </c>
      <c r="O2308" t="s">
        <v>4910</v>
      </c>
    </row>
    <row r="2309" spans="1:15" x14ac:dyDescent="0.35">
      <c r="A2309" t="s">
        <v>2282</v>
      </c>
      <c r="B2309">
        <v>30</v>
      </c>
      <c r="C2309" t="s">
        <v>4803</v>
      </c>
      <c r="D2309" t="s">
        <v>14</v>
      </c>
      <c r="E2309">
        <v>19</v>
      </c>
      <c r="F2309">
        <v>51</v>
      </c>
      <c r="G2309" t="s">
        <v>4797</v>
      </c>
      <c r="H2309" t="s">
        <v>4804</v>
      </c>
      <c r="I2309">
        <v>8.99</v>
      </c>
      <c r="J2309">
        <v>1</v>
      </c>
      <c r="K2309">
        <v>0.63</v>
      </c>
      <c r="L2309">
        <v>0</v>
      </c>
      <c r="M2309" t="s">
        <v>4811</v>
      </c>
      <c r="N2309" t="s">
        <v>4900</v>
      </c>
      <c r="O2309" t="s">
        <v>4912</v>
      </c>
    </row>
    <row r="2310" spans="1:15" x14ac:dyDescent="0.35">
      <c r="A2310" t="s">
        <v>2283</v>
      </c>
      <c r="B2310">
        <v>52</v>
      </c>
      <c r="C2310" t="s">
        <v>4803</v>
      </c>
      <c r="D2310" t="s">
        <v>14</v>
      </c>
      <c r="E2310">
        <v>28</v>
      </c>
      <c r="F2310">
        <v>999</v>
      </c>
      <c r="G2310" t="s">
        <v>4798</v>
      </c>
      <c r="H2310" t="s">
        <v>4805</v>
      </c>
      <c r="I2310">
        <v>8.99</v>
      </c>
      <c r="J2310">
        <v>2</v>
      </c>
      <c r="K2310">
        <v>0.93</v>
      </c>
      <c r="L2310">
        <v>0</v>
      </c>
      <c r="M2310" t="s">
        <v>4811</v>
      </c>
      <c r="N2310" t="s">
        <v>4900</v>
      </c>
      <c r="O2310" t="s">
        <v>4910</v>
      </c>
    </row>
    <row r="2311" spans="1:15" x14ac:dyDescent="0.35">
      <c r="A2311" t="s">
        <v>2284</v>
      </c>
      <c r="B2311">
        <v>52</v>
      </c>
      <c r="C2311" t="s">
        <v>4803</v>
      </c>
      <c r="D2311" t="s">
        <v>13</v>
      </c>
      <c r="E2311">
        <v>35</v>
      </c>
      <c r="F2311">
        <v>51</v>
      </c>
      <c r="G2311" t="s">
        <v>4799</v>
      </c>
      <c r="H2311" t="s">
        <v>4805</v>
      </c>
      <c r="I2311">
        <v>13.99</v>
      </c>
      <c r="J2311">
        <v>1</v>
      </c>
      <c r="K2311">
        <v>1.17</v>
      </c>
      <c r="L2311">
        <v>0</v>
      </c>
      <c r="M2311" t="s">
        <v>4808</v>
      </c>
      <c r="N2311" t="s">
        <v>4900</v>
      </c>
      <c r="O2311" t="s">
        <v>4910</v>
      </c>
    </row>
    <row r="2312" spans="1:15" x14ac:dyDescent="0.35">
      <c r="A2312" t="s">
        <v>2285</v>
      </c>
      <c r="B2312">
        <v>24</v>
      </c>
      <c r="C2312" t="s">
        <v>4803</v>
      </c>
      <c r="D2312" t="s">
        <v>13</v>
      </c>
      <c r="E2312">
        <v>59</v>
      </c>
      <c r="F2312">
        <v>54</v>
      </c>
      <c r="G2312" t="s">
        <v>4797</v>
      </c>
      <c r="H2312" t="s">
        <v>4805</v>
      </c>
      <c r="I2312">
        <v>13.99</v>
      </c>
      <c r="J2312">
        <v>3</v>
      </c>
      <c r="K2312">
        <v>1.97</v>
      </c>
      <c r="L2312">
        <v>0</v>
      </c>
      <c r="M2312" t="s">
        <v>4808</v>
      </c>
      <c r="N2312" t="s">
        <v>4900</v>
      </c>
      <c r="O2312" t="s">
        <v>4912</v>
      </c>
    </row>
    <row r="2313" spans="1:15" x14ac:dyDescent="0.35">
      <c r="A2313" t="s">
        <v>2286</v>
      </c>
      <c r="B2313">
        <v>35</v>
      </c>
      <c r="C2313" t="s">
        <v>4803</v>
      </c>
      <c r="D2313" t="s">
        <v>15</v>
      </c>
      <c r="E2313">
        <v>63</v>
      </c>
      <c r="F2313">
        <v>16</v>
      </c>
      <c r="G2313" t="s">
        <v>4797</v>
      </c>
      <c r="H2313" t="s">
        <v>4804</v>
      </c>
      <c r="I2313">
        <v>17.989999999999998</v>
      </c>
      <c r="J2313">
        <v>4</v>
      </c>
      <c r="K2313">
        <v>2.1</v>
      </c>
      <c r="L2313">
        <v>0</v>
      </c>
      <c r="M2313" t="s">
        <v>4808</v>
      </c>
      <c r="N2313" t="s">
        <v>4900</v>
      </c>
      <c r="O2313" t="s">
        <v>4910</v>
      </c>
    </row>
    <row r="2314" spans="1:15" x14ac:dyDescent="0.35">
      <c r="A2314" t="s">
        <v>2287</v>
      </c>
      <c r="B2314">
        <v>53</v>
      </c>
      <c r="C2314" t="s">
        <v>4803</v>
      </c>
      <c r="D2314" t="s">
        <v>13</v>
      </c>
      <c r="E2314">
        <v>65</v>
      </c>
      <c r="F2314">
        <v>16</v>
      </c>
      <c r="G2314" t="s">
        <v>4798</v>
      </c>
      <c r="H2314" t="s">
        <v>4806</v>
      </c>
      <c r="I2314">
        <v>13.99</v>
      </c>
      <c r="J2314">
        <v>3</v>
      </c>
      <c r="K2314">
        <v>2.17</v>
      </c>
      <c r="L2314">
        <v>0</v>
      </c>
      <c r="M2314" t="s">
        <v>4812</v>
      </c>
      <c r="N2314" t="s">
        <v>4900</v>
      </c>
      <c r="O2314" t="s">
        <v>4910</v>
      </c>
    </row>
    <row r="2315" spans="1:15" x14ac:dyDescent="0.35">
      <c r="A2315" t="s">
        <v>2288</v>
      </c>
      <c r="B2315">
        <v>59</v>
      </c>
      <c r="C2315" t="s">
        <v>4802</v>
      </c>
      <c r="D2315" t="s">
        <v>13</v>
      </c>
      <c r="E2315">
        <v>61</v>
      </c>
      <c r="F2315">
        <v>55</v>
      </c>
      <c r="G2315" t="s">
        <v>4799</v>
      </c>
      <c r="H2315" t="s">
        <v>4806</v>
      </c>
      <c r="I2315">
        <v>13.99</v>
      </c>
      <c r="J2315">
        <v>4</v>
      </c>
      <c r="K2315">
        <v>2.0299999999999998</v>
      </c>
      <c r="L2315">
        <v>0</v>
      </c>
      <c r="M2315" t="s">
        <v>4808</v>
      </c>
      <c r="N2315" t="s">
        <v>4900</v>
      </c>
      <c r="O2315" t="s">
        <v>4911</v>
      </c>
    </row>
    <row r="2316" spans="1:15" x14ac:dyDescent="0.35">
      <c r="A2316" t="s">
        <v>2289</v>
      </c>
      <c r="B2316">
        <v>25</v>
      </c>
      <c r="C2316" t="s">
        <v>4802</v>
      </c>
      <c r="D2316" t="s">
        <v>15</v>
      </c>
      <c r="E2316">
        <v>102</v>
      </c>
      <c r="F2316">
        <v>48</v>
      </c>
      <c r="G2316" t="s">
        <v>4798</v>
      </c>
      <c r="H2316" t="s">
        <v>4804</v>
      </c>
      <c r="I2316">
        <v>17.989999999999998</v>
      </c>
      <c r="J2316">
        <v>2</v>
      </c>
      <c r="K2316">
        <v>3.4</v>
      </c>
      <c r="L2316">
        <v>0</v>
      </c>
      <c r="M2316" t="s">
        <v>4808</v>
      </c>
      <c r="N2316" t="s">
        <v>4900</v>
      </c>
      <c r="O2316" t="s">
        <v>4912</v>
      </c>
    </row>
    <row r="2317" spans="1:15" x14ac:dyDescent="0.35">
      <c r="A2317" t="s">
        <v>2290</v>
      </c>
      <c r="B2317">
        <v>41</v>
      </c>
      <c r="C2317" t="s">
        <v>4802</v>
      </c>
      <c r="D2317" t="s">
        <v>13</v>
      </c>
      <c r="E2317">
        <v>74</v>
      </c>
      <c r="F2317">
        <v>50</v>
      </c>
      <c r="G2317" t="s">
        <v>4800</v>
      </c>
      <c r="H2317" t="s">
        <v>4807</v>
      </c>
      <c r="I2317">
        <v>13.99</v>
      </c>
      <c r="J2317">
        <v>2</v>
      </c>
      <c r="K2317">
        <v>2.4700000000000002</v>
      </c>
      <c r="L2317">
        <v>0</v>
      </c>
      <c r="M2317" t="s">
        <v>4809</v>
      </c>
      <c r="N2317" t="s">
        <v>4900</v>
      </c>
      <c r="O2317" t="s">
        <v>4910</v>
      </c>
    </row>
    <row r="2318" spans="1:15" x14ac:dyDescent="0.35">
      <c r="A2318" t="s">
        <v>2291</v>
      </c>
      <c r="B2318">
        <v>25</v>
      </c>
      <c r="C2318" t="s">
        <v>4803</v>
      </c>
      <c r="D2318" t="s">
        <v>13</v>
      </c>
      <c r="E2318">
        <v>49</v>
      </c>
      <c r="F2318" t="s">
        <v>4814</v>
      </c>
      <c r="G2318" t="s">
        <v>4798</v>
      </c>
      <c r="H2318" t="s">
        <v>4805</v>
      </c>
      <c r="I2318">
        <v>13.99</v>
      </c>
      <c r="J2318">
        <v>4</v>
      </c>
      <c r="K2318">
        <v>1.63</v>
      </c>
      <c r="L2318">
        <v>0</v>
      </c>
      <c r="M2318" t="s">
        <v>4808</v>
      </c>
      <c r="N2318" t="s">
        <v>4900</v>
      </c>
      <c r="O2318" t="s">
        <v>4912</v>
      </c>
    </row>
    <row r="2319" spans="1:15" x14ac:dyDescent="0.35">
      <c r="A2319" t="s">
        <v>2292</v>
      </c>
      <c r="B2319">
        <v>57</v>
      </c>
      <c r="C2319" t="s">
        <v>4802</v>
      </c>
      <c r="D2319" t="s">
        <v>13</v>
      </c>
      <c r="E2319">
        <v>50</v>
      </c>
      <c r="F2319">
        <v>26</v>
      </c>
      <c r="G2319" t="s">
        <v>4798</v>
      </c>
      <c r="H2319" t="s">
        <v>4806</v>
      </c>
      <c r="I2319">
        <v>13.99</v>
      </c>
      <c r="J2319">
        <v>4</v>
      </c>
      <c r="K2319">
        <v>1.67</v>
      </c>
      <c r="L2319">
        <v>0</v>
      </c>
      <c r="M2319" t="s">
        <v>4811</v>
      </c>
      <c r="N2319" t="s">
        <v>4900</v>
      </c>
      <c r="O2319" t="s">
        <v>4911</v>
      </c>
    </row>
    <row r="2320" spans="1:15" x14ac:dyDescent="0.35">
      <c r="A2320" t="s">
        <v>2293</v>
      </c>
      <c r="B2320">
        <v>65</v>
      </c>
      <c r="C2320" t="s">
        <v>4802</v>
      </c>
      <c r="D2320" t="s">
        <v>13</v>
      </c>
      <c r="E2320">
        <v>40</v>
      </c>
      <c r="F2320">
        <v>58</v>
      </c>
      <c r="G2320" t="s">
        <v>4800</v>
      </c>
      <c r="H2320" t="s">
        <v>4804</v>
      </c>
      <c r="I2320">
        <v>13.99</v>
      </c>
      <c r="J2320">
        <v>1</v>
      </c>
      <c r="K2320">
        <v>1.33</v>
      </c>
      <c r="L2320">
        <v>0</v>
      </c>
      <c r="M2320" t="s">
        <v>4809</v>
      </c>
      <c r="N2320" t="s">
        <v>4900</v>
      </c>
      <c r="O2320" t="s">
        <v>4911</v>
      </c>
    </row>
    <row r="2321" spans="1:15" x14ac:dyDescent="0.35">
      <c r="A2321" t="s">
        <v>2294</v>
      </c>
      <c r="B2321">
        <v>43</v>
      </c>
      <c r="C2321" t="s">
        <v>4802</v>
      </c>
      <c r="D2321" t="s">
        <v>13</v>
      </c>
      <c r="E2321">
        <v>64</v>
      </c>
      <c r="F2321">
        <v>23</v>
      </c>
      <c r="G2321" t="s">
        <v>4799</v>
      </c>
      <c r="H2321" t="s">
        <v>4804</v>
      </c>
      <c r="I2321">
        <v>13.99</v>
      </c>
      <c r="J2321">
        <v>4</v>
      </c>
      <c r="K2321">
        <v>2.0299999999999998</v>
      </c>
      <c r="L2321">
        <v>0</v>
      </c>
      <c r="M2321" t="s">
        <v>4810</v>
      </c>
      <c r="N2321" t="s">
        <v>4900</v>
      </c>
      <c r="O2321" t="s">
        <v>4910</v>
      </c>
    </row>
    <row r="2322" spans="1:15" x14ac:dyDescent="0.35">
      <c r="A2322" t="s">
        <v>2295</v>
      </c>
      <c r="B2322">
        <v>39</v>
      </c>
      <c r="C2322" t="s">
        <v>4803</v>
      </c>
      <c r="D2322" t="s">
        <v>13</v>
      </c>
      <c r="E2322">
        <v>41</v>
      </c>
      <c r="F2322">
        <v>51</v>
      </c>
      <c r="G2322" t="s">
        <v>4799</v>
      </c>
      <c r="H2322" t="s">
        <v>4804</v>
      </c>
      <c r="I2322">
        <v>13.99</v>
      </c>
      <c r="J2322">
        <v>1</v>
      </c>
      <c r="K2322">
        <v>1.37</v>
      </c>
      <c r="L2322">
        <v>1</v>
      </c>
      <c r="M2322" t="s">
        <v>4810</v>
      </c>
      <c r="N2322" t="s">
        <v>4899</v>
      </c>
      <c r="O2322" t="s">
        <v>4910</v>
      </c>
    </row>
    <row r="2323" spans="1:15" x14ac:dyDescent="0.35">
      <c r="A2323" t="s">
        <v>2296</v>
      </c>
      <c r="B2323">
        <v>54</v>
      </c>
      <c r="C2323" t="s">
        <v>4802</v>
      </c>
      <c r="D2323" t="s">
        <v>13</v>
      </c>
      <c r="E2323">
        <v>43</v>
      </c>
      <c r="F2323">
        <v>25</v>
      </c>
      <c r="G2323" t="s">
        <v>4798</v>
      </c>
      <c r="H2323" t="s">
        <v>4804</v>
      </c>
      <c r="I2323">
        <v>13.99</v>
      </c>
      <c r="J2323">
        <v>3</v>
      </c>
      <c r="K2323">
        <v>5</v>
      </c>
      <c r="L2323">
        <v>0</v>
      </c>
      <c r="M2323" t="s">
        <v>4810</v>
      </c>
      <c r="N2323" t="s">
        <v>4900</v>
      </c>
      <c r="O2323" t="s">
        <v>4910</v>
      </c>
    </row>
    <row r="2324" spans="1:15" x14ac:dyDescent="0.35">
      <c r="A2324" t="s">
        <v>2297</v>
      </c>
      <c r="B2324">
        <v>40</v>
      </c>
      <c r="C2324" t="s">
        <v>4802</v>
      </c>
      <c r="D2324" t="s">
        <v>13</v>
      </c>
      <c r="E2324">
        <v>57</v>
      </c>
      <c r="F2324">
        <v>60</v>
      </c>
      <c r="G2324" t="s">
        <v>4799</v>
      </c>
      <c r="H2324" t="s">
        <v>4806</v>
      </c>
      <c r="I2324">
        <v>13.99</v>
      </c>
      <c r="J2324">
        <v>3</v>
      </c>
      <c r="K2324">
        <v>1.9</v>
      </c>
      <c r="L2324">
        <v>0</v>
      </c>
      <c r="M2324" t="s">
        <v>4812</v>
      </c>
      <c r="N2324" t="s">
        <v>4900</v>
      </c>
      <c r="O2324" t="s">
        <v>4910</v>
      </c>
    </row>
    <row r="2325" spans="1:15" x14ac:dyDescent="0.35">
      <c r="A2325" t="s">
        <v>2298</v>
      </c>
      <c r="B2325">
        <v>24</v>
      </c>
      <c r="C2325" t="s">
        <v>4803</v>
      </c>
      <c r="D2325" t="s">
        <v>13</v>
      </c>
      <c r="E2325">
        <v>61</v>
      </c>
      <c r="F2325">
        <v>38</v>
      </c>
      <c r="G2325" t="s">
        <v>4798</v>
      </c>
      <c r="H2325" t="s">
        <v>4807</v>
      </c>
      <c r="I2325">
        <v>13.99</v>
      </c>
      <c r="J2325">
        <v>2</v>
      </c>
      <c r="K2325">
        <v>2.0299999999999998</v>
      </c>
      <c r="L2325">
        <v>0</v>
      </c>
      <c r="M2325" t="s">
        <v>4808</v>
      </c>
      <c r="N2325" t="s">
        <v>4900</v>
      </c>
      <c r="O2325" t="s">
        <v>4912</v>
      </c>
    </row>
    <row r="2326" spans="1:15" x14ac:dyDescent="0.35">
      <c r="A2326" t="s">
        <v>2299</v>
      </c>
      <c r="B2326">
        <v>53</v>
      </c>
      <c r="C2326" t="s">
        <v>4803</v>
      </c>
      <c r="D2326" t="s">
        <v>13</v>
      </c>
      <c r="E2326">
        <v>58</v>
      </c>
      <c r="F2326">
        <v>45</v>
      </c>
      <c r="G2326" t="s">
        <v>4799</v>
      </c>
      <c r="H2326" t="s">
        <v>4805</v>
      </c>
      <c r="I2326">
        <v>13.99</v>
      </c>
      <c r="J2326">
        <v>4</v>
      </c>
      <c r="K2326">
        <v>1.93</v>
      </c>
      <c r="L2326">
        <v>0</v>
      </c>
      <c r="M2326" t="s">
        <v>4810</v>
      </c>
      <c r="N2326" t="s">
        <v>4900</v>
      </c>
      <c r="O2326" t="s">
        <v>4910</v>
      </c>
    </row>
    <row r="2327" spans="1:15" x14ac:dyDescent="0.35">
      <c r="A2327" t="s">
        <v>2300</v>
      </c>
      <c r="B2327">
        <v>48</v>
      </c>
      <c r="C2327" t="s">
        <v>4802</v>
      </c>
      <c r="D2327" t="s">
        <v>13</v>
      </c>
      <c r="E2327">
        <v>34</v>
      </c>
      <c r="F2327">
        <v>26</v>
      </c>
      <c r="G2327" t="s">
        <v>4800</v>
      </c>
      <c r="H2327" t="s">
        <v>4805</v>
      </c>
      <c r="I2327">
        <v>13.99</v>
      </c>
      <c r="J2327">
        <v>3</v>
      </c>
      <c r="K2327">
        <v>1.1299999999999999</v>
      </c>
      <c r="L2327">
        <v>0</v>
      </c>
      <c r="M2327" t="s">
        <v>4808</v>
      </c>
      <c r="N2327" t="s">
        <v>4900</v>
      </c>
      <c r="O2327" t="s">
        <v>4910</v>
      </c>
    </row>
    <row r="2328" spans="1:15" x14ac:dyDescent="0.35">
      <c r="A2328" t="s">
        <v>2301</v>
      </c>
      <c r="B2328">
        <v>21</v>
      </c>
      <c r="C2328" t="s">
        <v>4802</v>
      </c>
      <c r="D2328" t="s">
        <v>13</v>
      </c>
      <c r="E2328">
        <v>66</v>
      </c>
      <c r="F2328">
        <v>6</v>
      </c>
      <c r="G2328" t="s">
        <v>4797</v>
      </c>
      <c r="H2328" t="s">
        <v>4807</v>
      </c>
      <c r="I2328">
        <v>13.99</v>
      </c>
      <c r="J2328">
        <v>3</v>
      </c>
      <c r="K2328">
        <v>2.2000000000000002</v>
      </c>
      <c r="L2328">
        <v>0</v>
      </c>
      <c r="M2328" t="s">
        <v>4812</v>
      </c>
      <c r="N2328" t="s">
        <v>4900</v>
      </c>
      <c r="O2328" t="s">
        <v>4912</v>
      </c>
    </row>
    <row r="2329" spans="1:15" x14ac:dyDescent="0.35">
      <c r="A2329" t="s">
        <v>2302</v>
      </c>
      <c r="B2329">
        <v>25</v>
      </c>
      <c r="C2329" t="s">
        <v>4802</v>
      </c>
      <c r="D2329" t="s">
        <v>13</v>
      </c>
      <c r="E2329">
        <v>52</v>
      </c>
      <c r="F2329">
        <v>46</v>
      </c>
      <c r="G2329" t="s">
        <v>4798</v>
      </c>
      <c r="H2329" t="s">
        <v>4805</v>
      </c>
      <c r="I2329">
        <v>13.99</v>
      </c>
      <c r="J2329">
        <v>2</v>
      </c>
      <c r="K2329">
        <v>1.73</v>
      </c>
      <c r="L2329">
        <v>0</v>
      </c>
      <c r="M2329" t="s">
        <v>4808</v>
      </c>
      <c r="N2329" t="s">
        <v>4900</v>
      </c>
      <c r="O2329" t="s">
        <v>4912</v>
      </c>
    </row>
    <row r="2330" spans="1:15" x14ac:dyDescent="0.35">
      <c r="A2330" t="s">
        <v>2303</v>
      </c>
      <c r="B2330">
        <v>25</v>
      </c>
      <c r="C2330" t="s">
        <v>4803</v>
      </c>
      <c r="D2330" t="s">
        <v>15</v>
      </c>
      <c r="E2330">
        <v>54</v>
      </c>
      <c r="F2330">
        <v>25</v>
      </c>
      <c r="G2330" t="s">
        <v>4798</v>
      </c>
      <c r="H2330" t="s">
        <v>4804</v>
      </c>
      <c r="I2330">
        <v>17.989999999999998</v>
      </c>
      <c r="J2330">
        <v>5</v>
      </c>
      <c r="K2330">
        <v>1.8</v>
      </c>
      <c r="L2330">
        <v>0</v>
      </c>
      <c r="M2330" t="s">
        <v>4810</v>
      </c>
      <c r="N2330" t="s">
        <v>4900</v>
      </c>
      <c r="O2330" t="s">
        <v>4912</v>
      </c>
    </row>
    <row r="2331" spans="1:15" x14ac:dyDescent="0.35">
      <c r="A2331" t="s">
        <v>2304</v>
      </c>
      <c r="B2331">
        <v>44</v>
      </c>
      <c r="C2331" t="s">
        <v>4802</v>
      </c>
      <c r="D2331" t="s">
        <v>13</v>
      </c>
      <c r="E2331">
        <v>55</v>
      </c>
      <c r="F2331">
        <v>14</v>
      </c>
      <c r="G2331" t="s">
        <v>4797</v>
      </c>
      <c r="H2331" t="s">
        <v>4804</v>
      </c>
      <c r="I2331">
        <v>13.99</v>
      </c>
      <c r="J2331">
        <v>3</v>
      </c>
      <c r="K2331">
        <v>2.0299999999999998</v>
      </c>
      <c r="L2331">
        <v>0</v>
      </c>
      <c r="M2331" t="s">
        <v>4810</v>
      </c>
      <c r="N2331" t="s">
        <v>4900</v>
      </c>
      <c r="O2331" t="s">
        <v>4910</v>
      </c>
    </row>
    <row r="2332" spans="1:15" x14ac:dyDescent="0.35">
      <c r="A2332" t="s">
        <v>2305</v>
      </c>
      <c r="B2332">
        <v>34</v>
      </c>
      <c r="C2332" t="s">
        <v>4803</v>
      </c>
      <c r="D2332" t="s">
        <v>13</v>
      </c>
      <c r="E2332">
        <v>35</v>
      </c>
      <c r="F2332">
        <v>38</v>
      </c>
      <c r="G2332" t="s">
        <v>4798</v>
      </c>
      <c r="H2332" t="s">
        <v>4804</v>
      </c>
      <c r="I2332">
        <v>13.99</v>
      </c>
      <c r="J2332">
        <v>2</v>
      </c>
      <c r="K2332">
        <v>1.17</v>
      </c>
      <c r="L2332">
        <v>0</v>
      </c>
      <c r="M2332" t="s">
        <v>4810</v>
      </c>
      <c r="N2332" t="s">
        <v>4900</v>
      </c>
      <c r="O2332" t="s">
        <v>4912</v>
      </c>
    </row>
    <row r="2333" spans="1:15" x14ac:dyDescent="0.35">
      <c r="A2333" t="s">
        <v>2306</v>
      </c>
      <c r="B2333">
        <v>20</v>
      </c>
      <c r="C2333" t="s">
        <v>4802</v>
      </c>
      <c r="D2333" t="s">
        <v>13</v>
      </c>
      <c r="E2333">
        <v>38</v>
      </c>
      <c r="F2333">
        <v>59</v>
      </c>
      <c r="G2333" t="s">
        <v>4798</v>
      </c>
      <c r="H2333" t="s">
        <v>4806</v>
      </c>
      <c r="I2333">
        <v>13.99</v>
      </c>
      <c r="J2333">
        <v>2</v>
      </c>
      <c r="K2333">
        <v>1.27</v>
      </c>
      <c r="L2333">
        <v>0</v>
      </c>
      <c r="M2333" t="s">
        <v>4809</v>
      </c>
      <c r="N2333" t="s">
        <v>4900</v>
      </c>
      <c r="O2333" t="s">
        <v>4912</v>
      </c>
    </row>
    <row r="2334" spans="1:15" x14ac:dyDescent="0.35">
      <c r="A2334" t="s">
        <v>2307</v>
      </c>
      <c r="B2334">
        <v>57</v>
      </c>
      <c r="C2334" t="s">
        <v>4802</v>
      </c>
      <c r="D2334" t="s">
        <v>13</v>
      </c>
      <c r="E2334">
        <v>56</v>
      </c>
      <c r="F2334">
        <v>49</v>
      </c>
      <c r="G2334" t="s">
        <v>4798</v>
      </c>
      <c r="H2334" t="s">
        <v>4804</v>
      </c>
      <c r="I2334">
        <v>13.99</v>
      </c>
      <c r="J2334">
        <v>2</v>
      </c>
      <c r="K2334">
        <v>2.0299999999999998</v>
      </c>
      <c r="L2334">
        <v>1</v>
      </c>
      <c r="M2334" t="s">
        <v>4811</v>
      </c>
      <c r="N2334" t="s">
        <v>4899</v>
      </c>
      <c r="O2334" t="s">
        <v>4911</v>
      </c>
    </row>
    <row r="2335" spans="1:15" x14ac:dyDescent="0.35">
      <c r="A2335" t="s">
        <v>2308</v>
      </c>
      <c r="B2335">
        <v>46</v>
      </c>
      <c r="C2335" t="s">
        <v>4802</v>
      </c>
      <c r="D2335" t="s">
        <v>13</v>
      </c>
      <c r="E2335">
        <v>66</v>
      </c>
      <c r="F2335">
        <v>56</v>
      </c>
      <c r="G2335" t="s">
        <v>4797</v>
      </c>
      <c r="H2335" t="s">
        <v>4805</v>
      </c>
      <c r="I2335">
        <v>13.99</v>
      </c>
      <c r="J2335">
        <v>2</v>
      </c>
      <c r="K2335">
        <v>2.0299999999999998</v>
      </c>
      <c r="L2335">
        <v>0</v>
      </c>
      <c r="M2335" t="s">
        <v>4812</v>
      </c>
      <c r="N2335" t="s">
        <v>4900</v>
      </c>
      <c r="O2335" t="s">
        <v>4910</v>
      </c>
    </row>
    <row r="2336" spans="1:15" x14ac:dyDescent="0.35">
      <c r="A2336" t="s">
        <v>2309</v>
      </c>
      <c r="B2336">
        <v>51</v>
      </c>
      <c r="C2336" t="s">
        <v>4803</v>
      </c>
      <c r="D2336" t="s">
        <v>13</v>
      </c>
      <c r="E2336">
        <v>52</v>
      </c>
      <c r="F2336">
        <v>27</v>
      </c>
      <c r="G2336" t="s">
        <v>4799</v>
      </c>
      <c r="H2336" t="s">
        <v>4805</v>
      </c>
      <c r="I2336">
        <v>13.99</v>
      </c>
      <c r="J2336">
        <v>2</v>
      </c>
      <c r="K2336">
        <v>1.73</v>
      </c>
      <c r="L2336">
        <v>0</v>
      </c>
      <c r="M2336" t="s">
        <v>4811</v>
      </c>
      <c r="N2336" t="s">
        <v>4900</v>
      </c>
      <c r="O2336" t="s">
        <v>4910</v>
      </c>
    </row>
    <row r="2337" spans="1:15" x14ac:dyDescent="0.35">
      <c r="A2337" t="s">
        <v>2310</v>
      </c>
      <c r="B2337">
        <v>65</v>
      </c>
      <c r="C2337" t="s">
        <v>4802</v>
      </c>
      <c r="D2337" t="s">
        <v>13</v>
      </c>
      <c r="E2337">
        <v>44</v>
      </c>
      <c r="F2337">
        <v>27</v>
      </c>
      <c r="G2337" t="s">
        <v>4798</v>
      </c>
      <c r="H2337" t="s">
        <v>4805</v>
      </c>
      <c r="I2337">
        <v>13.99</v>
      </c>
      <c r="J2337">
        <v>3</v>
      </c>
      <c r="K2337">
        <v>1.47</v>
      </c>
      <c r="L2337">
        <v>0</v>
      </c>
      <c r="M2337" t="s">
        <v>4811</v>
      </c>
      <c r="N2337" t="s">
        <v>4900</v>
      </c>
      <c r="O2337" t="s">
        <v>4911</v>
      </c>
    </row>
    <row r="2338" spans="1:15" x14ac:dyDescent="0.35">
      <c r="A2338" t="s">
        <v>2311</v>
      </c>
      <c r="B2338">
        <v>41</v>
      </c>
      <c r="C2338" t="s">
        <v>4803</v>
      </c>
      <c r="D2338" t="s">
        <v>15</v>
      </c>
      <c r="E2338">
        <v>70</v>
      </c>
      <c r="F2338">
        <v>18</v>
      </c>
      <c r="G2338" t="s">
        <v>4800</v>
      </c>
      <c r="H2338" t="s">
        <v>4805</v>
      </c>
      <c r="I2338">
        <v>17.989999999999998</v>
      </c>
      <c r="J2338">
        <v>5</v>
      </c>
      <c r="K2338">
        <v>2.33</v>
      </c>
      <c r="L2338">
        <v>0</v>
      </c>
      <c r="M2338" t="s">
        <v>4812</v>
      </c>
      <c r="N2338" t="s">
        <v>4900</v>
      </c>
      <c r="O2338" t="s">
        <v>4910</v>
      </c>
    </row>
    <row r="2339" spans="1:15" x14ac:dyDescent="0.35">
      <c r="A2339" t="s">
        <v>2312</v>
      </c>
      <c r="B2339">
        <v>44</v>
      </c>
      <c r="C2339" t="s">
        <v>4803</v>
      </c>
      <c r="D2339" t="s">
        <v>13</v>
      </c>
      <c r="E2339">
        <v>45</v>
      </c>
      <c r="F2339">
        <v>41</v>
      </c>
      <c r="G2339" t="s">
        <v>4798</v>
      </c>
      <c r="H2339" t="s">
        <v>4806</v>
      </c>
      <c r="I2339">
        <v>13.99</v>
      </c>
      <c r="J2339">
        <v>1</v>
      </c>
      <c r="K2339">
        <v>1.5</v>
      </c>
      <c r="L2339">
        <v>0</v>
      </c>
      <c r="M2339" t="s">
        <v>4812</v>
      </c>
      <c r="N2339" t="s">
        <v>4900</v>
      </c>
      <c r="O2339" t="s">
        <v>4910</v>
      </c>
    </row>
    <row r="2340" spans="1:15" x14ac:dyDescent="0.35">
      <c r="A2340" t="s">
        <v>2313</v>
      </c>
      <c r="B2340">
        <v>43</v>
      </c>
      <c r="C2340" t="s">
        <v>4803</v>
      </c>
      <c r="D2340" t="s">
        <v>13</v>
      </c>
      <c r="E2340">
        <v>55</v>
      </c>
      <c r="F2340">
        <v>7</v>
      </c>
      <c r="G2340" t="s">
        <v>4799</v>
      </c>
      <c r="H2340" t="s">
        <v>4805</v>
      </c>
      <c r="I2340">
        <v>13.99</v>
      </c>
      <c r="J2340">
        <v>3</v>
      </c>
      <c r="K2340">
        <v>1.83</v>
      </c>
      <c r="L2340">
        <v>0</v>
      </c>
      <c r="M2340" t="s">
        <v>4812</v>
      </c>
      <c r="N2340" t="s">
        <v>4900</v>
      </c>
      <c r="O2340" t="s">
        <v>4910</v>
      </c>
    </row>
    <row r="2341" spans="1:15" x14ac:dyDescent="0.35">
      <c r="A2341" t="s">
        <v>2314</v>
      </c>
      <c r="B2341">
        <v>23</v>
      </c>
      <c r="C2341" t="s">
        <v>4802</v>
      </c>
      <c r="D2341" t="s">
        <v>15</v>
      </c>
      <c r="E2341">
        <v>64</v>
      </c>
      <c r="F2341">
        <v>34</v>
      </c>
      <c r="G2341" t="s">
        <v>4797</v>
      </c>
      <c r="H2341" t="s">
        <v>4805</v>
      </c>
      <c r="I2341">
        <v>17.989999999999998</v>
      </c>
      <c r="J2341">
        <v>5</v>
      </c>
      <c r="K2341">
        <v>2.13</v>
      </c>
      <c r="L2341">
        <v>0</v>
      </c>
      <c r="M2341" t="s">
        <v>4808</v>
      </c>
      <c r="N2341" t="s">
        <v>4900</v>
      </c>
      <c r="O2341" t="s">
        <v>4912</v>
      </c>
    </row>
    <row r="2342" spans="1:15" x14ac:dyDescent="0.35">
      <c r="A2342" t="s">
        <v>2315</v>
      </c>
      <c r="B2342">
        <v>47</v>
      </c>
      <c r="C2342" t="s">
        <v>4802</v>
      </c>
      <c r="D2342" t="s">
        <v>13</v>
      </c>
      <c r="E2342">
        <v>79</v>
      </c>
      <c r="F2342">
        <v>5</v>
      </c>
      <c r="G2342" t="s">
        <v>4799</v>
      </c>
      <c r="H2342" t="s">
        <v>4805</v>
      </c>
      <c r="I2342">
        <v>13.99</v>
      </c>
      <c r="J2342">
        <v>3</v>
      </c>
      <c r="K2342">
        <v>2.63</v>
      </c>
      <c r="L2342">
        <v>0</v>
      </c>
      <c r="M2342" t="s">
        <v>4809</v>
      </c>
      <c r="N2342" t="s">
        <v>4900</v>
      </c>
      <c r="O2342" t="s">
        <v>4910</v>
      </c>
    </row>
    <row r="2343" spans="1:15" x14ac:dyDescent="0.35">
      <c r="A2343" t="s">
        <v>2316</v>
      </c>
      <c r="B2343">
        <v>44</v>
      </c>
      <c r="C2343" t="s">
        <v>4803</v>
      </c>
      <c r="D2343" t="s">
        <v>13</v>
      </c>
      <c r="E2343">
        <v>42</v>
      </c>
      <c r="F2343">
        <v>13</v>
      </c>
      <c r="G2343" t="s">
        <v>4798</v>
      </c>
      <c r="H2343" t="s">
        <v>4805</v>
      </c>
      <c r="I2343">
        <v>13.99</v>
      </c>
      <c r="J2343">
        <v>3</v>
      </c>
      <c r="K2343">
        <v>1.4</v>
      </c>
      <c r="L2343">
        <v>0</v>
      </c>
      <c r="M2343" t="s">
        <v>4811</v>
      </c>
      <c r="N2343" t="s">
        <v>4900</v>
      </c>
      <c r="O2343" t="s">
        <v>4910</v>
      </c>
    </row>
    <row r="2344" spans="1:15" x14ac:dyDescent="0.35">
      <c r="A2344" t="s">
        <v>2317</v>
      </c>
      <c r="B2344">
        <v>55</v>
      </c>
      <c r="C2344" t="s">
        <v>4802</v>
      </c>
      <c r="D2344" t="s">
        <v>13</v>
      </c>
      <c r="E2344">
        <v>65</v>
      </c>
      <c r="F2344">
        <v>47</v>
      </c>
      <c r="G2344" t="s">
        <v>4797</v>
      </c>
      <c r="H2344" t="s">
        <v>4806</v>
      </c>
      <c r="I2344">
        <v>13.99</v>
      </c>
      <c r="J2344">
        <v>2</v>
      </c>
      <c r="K2344">
        <v>2.17</v>
      </c>
      <c r="L2344">
        <v>0</v>
      </c>
      <c r="M2344" t="s">
        <v>4810</v>
      </c>
      <c r="N2344" t="s">
        <v>4900</v>
      </c>
      <c r="O2344" t="s">
        <v>4911</v>
      </c>
    </row>
    <row r="2345" spans="1:15" x14ac:dyDescent="0.35">
      <c r="A2345" t="s">
        <v>2318</v>
      </c>
      <c r="B2345">
        <v>38</v>
      </c>
      <c r="C2345" t="s">
        <v>4802</v>
      </c>
      <c r="D2345" t="s">
        <v>15</v>
      </c>
      <c r="E2345">
        <v>71</v>
      </c>
      <c r="F2345">
        <v>54</v>
      </c>
      <c r="G2345" t="s">
        <v>4799</v>
      </c>
      <c r="H2345" t="s">
        <v>4806</v>
      </c>
      <c r="I2345">
        <v>17.989999999999998</v>
      </c>
      <c r="J2345">
        <v>3</v>
      </c>
      <c r="K2345">
        <v>2.37</v>
      </c>
      <c r="L2345">
        <v>0</v>
      </c>
      <c r="M2345" t="s">
        <v>4810</v>
      </c>
      <c r="N2345" t="s">
        <v>4900</v>
      </c>
      <c r="O2345" t="s">
        <v>4910</v>
      </c>
    </row>
    <row r="2346" spans="1:15" x14ac:dyDescent="0.35">
      <c r="A2346" t="s">
        <v>2319</v>
      </c>
      <c r="B2346">
        <v>59</v>
      </c>
      <c r="C2346" t="s">
        <v>4803</v>
      </c>
      <c r="D2346" t="s">
        <v>15</v>
      </c>
      <c r="E2346">
        <v>115</v>
      </c>
      <c r="F2346">
        <v>17</v>
      </c>
      <c r="G2346" t="s">
        <v>4798</v>
      </c>
      <c r="H2346" t="s">
        <v>4806</v>
      </c>
      <c r="I2346">
        <v>17.989999999999998</v>
      </c>
      <c r="J2346">
        <v>2</v>
      </c>
      <c r="K2346">
        <v>3.83</v>
      </c>
      <c r="L2346">
        <v>0</v>
      </c>
      <c r="M2346" t="s">
        <v>4809</v>
      </c>
      <c r="N2346" t="s">
        <v>4900</v>
      </c>
      <c r="O2346" t="s">
        <v>4911</v>
      </c>
    </row>
    <row r="2347" spans="1:15" x14ac:dyDescent="0.35">
      <c r="A2347" t="s">
        <v>2320</v>
      </c>
      <c r="B2347">
        <v>20</v>
      </c>
      <c r="C2347" t="s">
        <v>4802</v>
      </c>
      <c r="D2347" t="s">
        <v>15</v>
      </c>
      <c r="E2347">
        <v>105</v>
      </c>
      <c r="F2347">
        <v>34</v>
      </c>
      <c r="G2347" t="s">
        <v>4799</v>
      </c>
      <c r="H2347" t="s">
        <v>4804</v>
      </c>
      <c r="I2347">
        <v>17.989999999999998</v>
      </c>
      <c r="J2347">
        <v>4</v>
      </c>
      <c r="K2347">
        <v>3.5</v>
      </c>
      <c r="L2347">
        <v>0</v>
      </c>
      <c r="M2347" t="s">
        <v>4809</v>
      </c>
      <c r="N2347" t="s">
        <v>4900</v>
      </c>
      <c r="O2347" t="s">
        <v>4912</v>
      </c>
    </row>
    <row r="2348" spans="1:15" x14ac:dyDescent="0.35">
      <c r="A2348" t="s">
        <v>2321</v>
      </c>
      <c r="B2348">
        <v>65</v>
      </c>
      <c r="C2348" t="s">
        <v>4803</v>
      </c>
      <c r="D2348" t="s">
        <v>15</v>
      </c>
      <c r="E2348">
        <v>73</v>
      </c>
      <c r="F2348">
        <v>31</v>
      </c>
      <c r="G2348" t="s">
        <v>4797</v>
      </c>
      <c r="H2348" t="s">
        <v>4805</v>
      </c>
      <c r="I2348">
        <v>17.989999999999998</v>
      </c>
      <c r="J2348">
        <v>3</v>
      </c>
      <c r="K2348">
        <v>2.4300000000000002</v>
      </c>
      <c r="L2348">
        <v>1</v>
      </c>
      <c r="M2348" t="s">
        <v>4810</v>
      </c>
      <c r="N2348" t="s">
        <v>4899</v>
      </c>
      <c r="O2348" t="s">
        <v>4911</v>
      </c>
    </row>
    <row r="2349" spans="1:15" x14ac:dyDescent="0.35">
      <c r="A2349" t="s">
        <v>4870</v>
      </c>
      <c r="B2349">
        <v>46</v>
      </c>
      <c r="C2349" t="s">
        <v>4803</v>
      </c>
      <c r="D2349" t="s">
        <v>13</v>
      </c>
      <c r="E2349">
        <v>33</v>
      </c>
      <c r="F2349">
        <v>6</v>
      </c>
      <c r="G2349" t="s">
        <v>4798</v>
      </c>
      <c r="H2349" t="s">
        <v>4804</v>
      </c>
      <c r="I2349">
        <v>13.99</v>
      </c>
      <c r="J2349">
        <v>2</v>
      </c>
      <c r="K2349">
        <v>1.1000000000000001</v>
      </c>
      <c r="L2349">
        <v>0</v>
      </c>
      <c r="M2349" t="s">
        <v>4812</v>
      </c>
      <c r="N2349" t="s">
        <v>4900</v>
      </c>
      <c r="O2349" t="s">
        <v>4910</v>
      </c>
    </row>
    <row r="2350" spans="1:15" x14ac:dyDescent="0.35">
      <c r="A2350" t="s">
        <v>2322</v>
      </c>
      <c r="B2350">
        <v>65</v>
      </c>
      <c r="C2350" t="s">
        <v>4803</v>
      </c>
      <c r="D2350" t="s">
        <v>13</v>
      </c>
      <c r="E2350">
        <v>49</v>
      </c>
      <c r="F2350">
        <v>13</v>
      </c>
      <c r="G2350" t="s">
        <v>4797</v>
      </c>
      <c r="H2350" t="s">
        <v>4804</v>
      </c>
      <c r="I2350">
        <v>13.99</v>
      </c>
      <c r="J2350">
        <v>2</v>
      </c>
      <c r="K2350">
        <v>1.63</v>
      </c>
      <c r="L2350">
        <v>0</v>
      </c>
      <c r="M2350" t="s">
        <v>4811</v>
      </c>
      <c r="N2350" t="s">
        <v>4900</v>
      </c>
      <c r="O2350" t="s">
        <v>4911</v>
      </c>
    </row>
    <row r="2351" spans="1:15" x14ac:dyDescent="0.35">
      <c r="A2351" t="s">
        <v>2323</v>
      </c>
      <c r="B2351">
        <v>47</v>
      </c>
      <c r="C2351" t="s">
        <v>4802</v>
      </c>
      <c r="D2351" t="s">
        <v>13</v>
      </c>
      <c r="E2351">
        <v>70</v>
      </c>
      <c r="F2351">
        <v>55</v>
      </c>
      <c r="G2351" t="s">
        <v>4797</v>
      </c>
      <c r="H2351" t="s">
        <v>4804</v>
      </c>
      <c r="I2351">
        <v>13.99</v>
      </c>
      <c r="J2351">
        <v>3</v>
      </c>
      <c r="K2351">
        <v>2.33</v>
      </c>
      <c r="L2351">
        <v>0</v>
      </c>
      <c r="M2351" t="s">
        <v>4808</v>
      </c>
      <c r="N2351" t="s">
        <v>4900</v>
      </c>
      <c r="O2351" t="s">
        <v>4910</v>
      </c>
    </row>
    <row r="2352" spans="1:15" x14ac:dyDescent="0.35">
      <c r="A2352" t="s">
        <v>2324</v>
      </c>
      <c r="B2352">
        <v>35</v>
      </c>
      <c r="C2352" t="s">
        <v>4802</v>
      </c>
      <c r="D2352" t="s">
        <v>13</v>
      </c>
      <c r="E2352">
        <v>33</v>
      </c>
      <c r="F2352">
        <v>39</v>
      </c>
      <c r="G2352" t="s">
        <v>4799</v>
      </c>
      <c r="H2352" t="s">
        <v>4806</v>
      </c>
      <c r="I2352">
        <v>13.99</v>
      </c>
      <c r="J2352">
        <v>1</v>
      </c>
      <c r="K2352">
        <v>1.1000000000000001</v>
      </c>
      <c r="L2352">
        <v>1</v>
      </c>
      <c r="M2352" t="s">
        <v>4808</v>
      </c>
      <c r="N2352" t="s">
        <v>4899</v>
      </c>
      <c r="O2352" t="s">
        <v>4910</v>
      </c>
    </row>
    <row r="2353" spans="1:15" x14ac:dyDescent="0.35">
      <c r="A2353" t="s">
        <v>2325</v>
      </c>
      <c r="B2353">
        <v>57</v>
      </c>
      <c r="C2353" t="s">
        <v>4802</v>
      </c>
      <c r="D2353" t="s">
        <v>15</v>
      </c>
      <c r="E2353">
        <v>52</v>
      </c>
      <c r="F2353">
        <v>55</v>
      </c>
      <c r="G2353" t="s">
        <v>4798</v>
      </c>
      <c r="H2353" t="s">
        <v>4806</v>
      </c>
      <c r="I2353">
        <v>17.989999999999998</v>
      </c>
      <c r="J2353">
        <v>2</v>
      </c>
      <c r="K2353">
        <v>1.73</v>
      </c>
      <c r="L2353">
        <v>0</v>
      </c>
      <c r="M2353" t="s">
        <v>4812</v>
      </c>
      <c r="N2353" t="s">
        <v>4900</v>
      </c>
      <c r="O2353" t="s">
        <v>4911</v>
      </c>
    </row>
    <row r="2354" spans="1:15" x14ac:dyDescent="0.35">
      <c r="A2354" t="s">
        <v>2326</v>
      </c>
      <c r="B2354">
        <v>63</v>
      </c>
      <c r="C2354" t="s">
        <v>4803</v>
      </c>
      <c r="D2354" t="s">
        <v>15</v>
      </c>
      <c r="E2354">
        <v>100</v>
      </c>
      <c r="F2354">
        <v>54</v>
      </c>
      <c r="G2354" t="s">
        <v>4799</v>
      </c>
      <c r="H2354" t="s">
        <v>4806</v>
      </c>
      <c r="I2354">
        <v>17.989999999999998</v>
      </c>
      <c r="J2354">
        <v>3</v>
      </c>
      <c r="K2354">
        <v>3.33</v>
      </c>
      <c r="L2354">
        <v>0</v>
      </c>
      <c r="M2354" t="s">
        <v>4808</v>
      </c>
      <c r="N2354" t="s">
        <v>4900</v>
      </c>
      <c r="O2354" t="s">
        <v>4911</v>
      </c>
    </row>
    <row r="2355" spans="1:15" x14ac:dyDescent="0.35">
      <c r="A2355" t="s">
        <v>2327</v>
      </c>
      <c r="B2355">
        <v>32</v>
      </c>
      <c r="C2355" t="s">
        <v>4802</v>
      </c>
      <c r="D2355" t="s">
        <v>13</v>
      </c>
      <c r="E2355">
        <v>47</v>
      </c>
      <c r="F2355">
        <v>48</v>
      </c>
      <c r="G2355" t="s">
        <v>4798</v>
      </c>
      <c r="H2355" t="s">
        <v>4805</v>
      </c>
      <c r="I2355">
        <v>13.99</v>
      </c>
      <c r="J2355">
        <v>3</v>
      </c>
      <c r="K2355">
        <v>2.0299999999999998</v>
      </c>
      <c r="L2355">
        <v>0</v>
      </c>
      <c r="M2355" t="s">
        <v>4809</v>
      </c>
      <c r="N2355" t="s">
        <v>4900</v>
      </c>
      <c r="O2355" t="s">
        <v>4912</v>
      </c>
    </row>
    <row r="2356" spans="1:15" x14ac:dyDescent="0.35">
      <c r="A2356" t="s">
        <v>2328</v>
      </c>
      <c r="B2356">
        <v>42</v>
      </c>
      <c r="C2356" t="s">
        <v>4803</v>
      </c>
      <c r="D2356" t="s">
        <v>15</v>
      </c>
      <c r="E2356">
        <v>61</v>
      </c>
      <c r="F2356">
        <v>1</v>
      </c>
      <c r="G2356" t="s">
        <v>4797</v>
      </c>
      <c r="H2356" t="s">
        <v>4806</v>
      </c>
      <c r="I2356">
        <v>17.989999999999998</v>
      </c>
      <c r="J2356">
        <v>3</v>
      </c>
      <c r="K2356">
        <v>2.0299999999999998</v>
      </c>
      <c r="L2356">
        <v>0</v>
      </c>
      <c r="M2356" t="s">
        <v>4810</v>
      </c>
      <c r="N2356" t="s">
        <v>4900</v>
      </c>
      <c r="O2356" t="s">
        <v>4910</v>
      </c>
    </row>
    <row r="2357" spans="1:15" x14ac:dyDescent="0.35">
      <c r="A2357" t="s">
        <v>2329</v>
      </c>
      <c r="B2357">
        <v>41</v>
      </c>
      <c r="C2357" t="s">
        <v>4803</v>
      </c>
      <c r="D2357" t="s">
        <v>13</v>
      </c>
      <c r="E2357">
        <v>30</v>
      </c>
      <c r="F2357">
        <v>18</v>
      </c>
      <c r="G2357" t="s">
        <v>4798</v>
      </c>
      <c r="H2357" t="s">
        <v>4805</v>
      </c>
      <c r="I2357">
        <v>13.99</v>
      </c>
      <c r="J2357">
        <v>1</v>
      </c>
      <c r="K2357">
        <v>1</v>
      </c>
      <c r="L2357">
        <v>0</v>
      </c>
      <c r="M2357" t="s">
        <v>4809</v>
      </c>
      <c r="N2357" t="s">
        <v>4900</v>
      </c>
      <c r="O2357" t="s">
        <v>4910</v>
      </c>
    </row>
    <row r="2358" spans="1:15" x14ac:dyDescent="0.35">
      <c r="A2358" t="s">
        <v>2330</v>
      </c>
      <c r="B2358">
        <v>40</v>
      </c>
      <c r="C2358" t="s">
        <v>4803</v>
      </c>
      <c r="D2358" t="s">
        <v>13</v>
      </c>
      <c r="E2358">
        <v>50</v>
      </c>
      <c r="F2358">
        <v>46</v>
      </c>
      <c r="G2358" t="s">
        <v>4798</v>
      </c>
      <c r="H2358" t="s">
        <v>4805</v>
      </c>
      <c r="I2358">
        <v>13.99</v>
      </c>
      <c r="J2358">
        <v>4</v>
      </c>
      <c r="K2358">
        <v>1.67</v>
      </c>
      <c r="L2358">
        <v>0</v>
      </c>
      <c r="M2358" t="s">
        <v>4808</v>
      </c>
      <c r="N2358" t="s">
        <v>4900</v>
      </c>
      <c r="O2358" t="s">
        <v>4910</v>
      </c>
    </row>
    <row r="2359" spans="1:15" x14ac:dyDescent="0.35">
      <c r="A2359" t="s">
        <v>2331</v>
      </c>
      <c r="B2359">
        <v>46</v>
      </c>
      <c r="C2359" t="s">
        <v>4802</v>
      </c>
      <c r="D2359" t="s">
        <v>13</v>
      </c>
      <c r="E2359">
        <v>45</v>
      </c>
      <c r="F2359">
        <v>19</v>
      </c>
      <c r="G2359" t="s">
        <v>4797</v>
      </c>
      <c r="H2359" t="s">
        <v>4805</v>
      </c>
      <c r="I2359">
        <v>13.99</v>
      </c>
      <c r="J2359">
        <v>4</v>
      </c>
      <c r="K2359">
        <v>1.5</v>
      </c>
      <c r="L2359">
        <v>0</v>
      </c>
      <c r="M2359" t="s">
        <v>4810</v>
      </c>
      <c r="N2359" t="s">
        <v>4900</v>
      </c>
      <c r="O2359" t="s">
        <v>4910</v>
      </c>
    </row>
    <row r="2360" spans="1:15" x14ac:dyDescent="0.35">
      <c r="A2360" t="s">
        <v>2332</v>
      </c>
      <c r="B2360">
        <v>18</v>
      </c>
      <c r="C2360" t="s">
        <v>4802</v>
      </c>
      <c r="D2360" t="s">
        <v>15</v>
      </c>
      <c r="E2360">
        <v>50</v>
      </c>
      <c r="F2360">
        <v>0</v>
      </c>
      <c r="G2360" t="s">
        <v>4798</v>
      </c>
      <c r="H2360" t="s">
        <v>4804</v>
      </c>
      <c r="I2360">
        <v>17.989999999999998</v>
      </c>
      <c r="J2360">
        <v>3</v>
      </c>
      <c r="K2360">
        <v>1.67</v>
      </c>
      <c r="L2360">
        <v>0</v>
      </c>
      <c r="M2360" t="s">
        <v>4811</v>
      </c>
      <c r="N2360" t="s">
        <v>4900</v>
      </c>
      <c r="O2360" t="s">
        <v>4912</v>
      </c>
    </row>
    <row r="2361" spans="1:15" x14ac:dyDescent="0.35">
      <c r="A2361" t="s">
        <v>2333</v>
      </c>
      <c r="B2361">
        <v>58</v>
      </c>
      <c r="C2361" t="s">
        <v>4802</v>
      </c>
      <c r="D2361" t="s">
        <v>15</v>
      </c>
      <c r="E2361">
        <v>102</v>
      </c>
      <c r="F2361">
        <v>45</v>
      </c>
      <c r="G2361" t="s">
        <v>4800</v>
      </c>
      <c r="H2361" t="s">
        <v>4805</v>
      </c>
      <c r="I2361">
        <v>17.989999999999998</v>
      </c>
      <c r="J2361">
        <v>5</v>
      </c>
      <c r="K2361">
        <v>3.4</v>
      </c>
      <c r="L2361">
        <v>1</v>
      </c>
      <c r="M2361" t="s">
        <v>4812</v>
      </c>
      <c r="N2361" t="s">
        <v>4899</v>
      </c>
      <c r="O2361" t="s">
        <v>4911</v>
      </c>
    </row>
    <row r="2362" spans="1:15" x14ac:dyDescent="0.35">
      <c r="A2362" t="s">
        <v>2334</v>
      </c>
      <c r="B2362">
        <v>37</v>
      </c>
      <c r="C2362" t="s">
        <v>4802</v>
      </c>
      <c r="D2362" t="s">
        <v>15</v>
      </c>
      <c r="E2362">
        <v>117</v>
      </c>
      <c r="F2362">
        <v>60</v>
      </c>
      <c r="G2362" t="s">
        <v>4797</v>
      </c>
      <c r="H2362" t="s">
        <v>4805</v>
      </c>
      <c r="I2362">
        <v>17.989999999999998</v>
      </c>
      <c r="J2362">
        <v>3</v>
      </c>
      <c r="K2362">
        <v>3.9</v>
      </c>
      <c r="L2362">
        <v>0</v>
      </c>
      <c r="M2362" t="s">
        <v>4811</v>
      </c>
      <c r="N2362" t="s">
        <v>4900</v>
      </c>
      <c r="O2362" t="s">
        <v>4910</v>
      </c>
    </row>
    <row r="2363" spans="1:15" x14ac:dyDescent="0.35">
      <c r="A2363" t="s">
        <v>2335</v>
      </c>
      <c r="B2363">
        <v>56</v>
      </c>
      <c r="C2363" t="s">
        <v>4803</v>
      </c>
      <c r="D2363" t="s">
        <v>13</v>
      </c>
      <c r="E2363">
        <v>31</v>
      </c>
      <c r="F2363">
        <v>52</v>
      </c>
      <c r="G2363" t="s">
        <v>4798</v>
      </c>
      <c r="H2363" t="s">
        <v>4806</v>
      </c>
      <c r="I2363">
        <v>13.99</v>
      </c>
      <c r="J2363">
        <v>1</v>
      </c>
      <c r="K2363">
        <v>1.03</v>
      </c>
      <c r="L2363">
        <v>0</v>
      </c>
      <c r="M2363" t="s">
        <v>4808</v>
      </c>
      <c r="N2363" t="s">
        <v>4900</v>
      </c>
      <c r="O2363" t="s">
        <v>4911</v>
      </c>
    </row>
    <row r="2364" spans="1:15" x14ac:dyDescent="0.35">
      <c r="A2364" t="s">
        <v>2336</v>
      </c>
      <c r="B2364">
        <v>29</v>
      </c>
      <c r="C2364" t="s">
        <v>4802</v>
      </c>
      <c r="D2364" t="s">
        <v>13</v>
      </c>
      <c r="E2364">
        <v>43</v>
      </c>
      <c r="F2364">
        <v>9</v>
      </c>
      <c r="G2364" t="s">
        <v>4799</v>
      </c>
      <c r="H2364" t="s">
        <v>4805</v>
      </c>
      <c r="I2364">
        <v>13.99</v>
      </c>
      <c r="J2364">
        <v>4</v>
      </c>
      <c r="K2364">
        <v>5</v>
      </c>
      <c r="L2364">
        <v>0</v>
      </c>
      <c r="M2364" t="s">
        <v>4811</v>
      </c>
      <c r="N2364" t="s">
        <v>4900</v>
      </c>
      <c r="O2364" t="s">
        <v>4912</v>
      </c>
    </row>
    <row r="2365" spans="1:15" x14ac:dyDescent="0.35">
      <c r="A2365" t="s">
        <v>2337</v>
      </c>
      <c r="B2365">
        <v>62</v>
      </c>
      <c r="C2365" t="s">
        <v>4802</v>
      </c>
      <c r="D2365" t="s">
        <v>13</v>
      </c>
      <c r="E2365">
        <v>70</v>
      </c>
      <c r="F2365">
        <v>27</v>
      </c>
      <c r="G2365" t="s">
        <v>4797</v>
      </c>
      <c r="H2365" t="s">
        <v>4806</v>
      </c>
      <c r="I2365">
        <v>13.99</v>
      </c>
      <c r="J2365">
        <v>2</v>
      </c>
      <c r="K2365">
        <v>2.33</v>
      </c>
      <c r="L2365">
        <v>0</v>
      </c>
      <c r="M2365" t="s">
        <v>4812</v>
      </c>
      <c r="N2365" t="s">
        <v>4900</v>
      </c>
      <c r="O2365" t="s">
        <v>4911</v>
      </c>
    </row>
    <row r="2366" spans="1:15" x14ac:dyDescent="0.35">
      <c r="A2366" t="s">
        <v>4871</v>
      </c>
      <c r="B2366">
        <v>37</v>
      </c>
      <c r="C2366" t="s">
        <v>4803</v>
      </c>
      <c r="D2366" t="s">
        <v>13</v>
      </c>
      <c r="E2366">
        <v>70</v>
      </c>
      <c r="F2366">
        <v>59</v>
      </c>
      <c r="G2366" t="s">
        <v>4798</v>
      </c>
      <c r="H2366" t="s">
        <v>4804</v>
      </c>
      <c r="I2366">
        <v>13.99</v>
      </c>
      <c r="J2366">
        <v>3</v>
      </c>
      <c r="K2366">
        <v>2.33</v>
      </c>
      <c r="L2366">
        <v>0</v>
      </c>
      <c r="M2366" t="s">
        <v>4808</v>
      </c>
      <c r="N2366" t="s">
        <v>4900</v>
      </c>
      <c r="O2366" t="s">
        <v>4910</v>
      </c>
    </row>
    <row r="2367" spans="1:15" x14ac:dyDescent="0.35">
      <c r="A2367" t="s">
        <v>2338</v>
      </c>
      <c r="B2367">
        <v>44</v>
      </c>
      <c r="C2367" t="s">
        <v>4802</v>
      </c>
      <c r="D2367" t="s">
        <v>13</v>
      </c>
      <c r="E2367">
        <v>80</v>
      </c>
      <c r="F2367">
        <v>10</v>
      </c>
      <c r="G2367" t="s">
        <v>4798</v>
      </c>
      <c r="H2367" t="s">
        <v>4805</v>
      </c>
      <c r="I2367">
        <v>13.99</v>
      </c>
      <c r="J2367">
        <v>3</v>
      </c>
      <c r="K2367">
        <v>2.0299999999999998</v>
      </c>
      <c r="L2367">
        <v>1</v>
      </c>
      <c r="M2367" t="s">
        <v>4809</v>
      </c>
      <c r="N2367" t="s">
        <v>4899</v>
      </c>
      <c r="O2367" t="s">
        <v>4910</v>
      </c>
    </row>
    <row r="2368" spans="1:15" x14ac:dyDescent="0.35">
      <c r="A2368" t="s">
        <v>2339</v>
      </c>
      <c r="B2368">
        <v>41</v>
      </c>
      <c r="C2368" t="s">
        <v>4803</v>
      </c>
      <c r="D2368" t="s">
        <v>15</v>
      </c>
      <c r="E2368">
        <v>64</v>
      </c>
      <c r="F2368">
        <v>43</v>
      </c>
      <c r="G2368" t="s">
        <v>4799</v>
      </c>
      <c r="H2368" t="s">
        <v>4807</v>
      </c>
      <c r="I2368">
        <v>17.989999999999998</v>
      </c>
      <c r="J2368">
        <v>2</v>
      </c>
      <c r="K2368">
        <v>2.0299999999999998</v>
      </c>
      <c r="L2368">
        <v>1</v>
      </c>
      <c r="M2368" t="s">
        <v>4812</v>
      </c>
      <c r="N2368" t="s">
        <v>4899</v>
      </c>
      <c r="O2368" t="s">
        <v>4910</v>
      </c>
    </row>
    <row r="2369" spans="1:15" x14ac:dyDescent="0.35">
      <c r="A2369" t="s">
        <v>2340</v>
      </c>
      <c r="B2369">
        <v>47</v>
      </c>
      <c r="C2369" t="s">
        <v>4803</v>
      </c>
      <c r="D2369" t="s">
        <v>13</v>
      </c>
      <c r="E2369">
        <v>73</v>
      </c>
      <c r="F2369">
        <v>48</v>
      </c>
      <c r="G2369" t="s">
        <v>4799</v>
      </c>
      <c r="H2369" t="s">
        <v>4806</v>
      </c>
      <c r="I2369">
        <v>13.99</v>
      </c>
      <c r="J2369">
        <v>2</v>
      </c>
      <c r="K2369">
        <v>2.4300000000000002</v>
      </c>
      <c r="L2369">
        <v>0</v>
      </c>
      <c r="M2369" t="s">
        <v>4808</v>
      </c>
      <c r="N2369" t="s">
        <v>4900</v>
      </c>
      <c r="O2369" t="s">
        <v>4910</v>
      </c>
    </row>
    <row r="2370" spans="1:15" x14ac:dyDescent="0.35">
      <c r="A2370" t="s">
        <v>2341</v>
      </c>
      <c r="B2370">
        <v>53</v>
      </c>
      <c r="C2370" t="s">
        <v>4802</v>
      </c>
      <c r="D2370" t="s">
        <v>15</v>
      </c>
      <c r="E2370">
        <v>68</v>
      </c>
      <c r="F2370">
        <v>7</v>
      </c>
      <c r="G2370" t="s">
        <v>4799</v>
      </c>
      <c r="H2370" t="s">
        <v>4806</v>
      </c>
      <c r="I2370">
        <v>17.989999999999998</v>
      </c>
      <c r="J2370">
        <v>2</v>
      </c>
      <c r="K2370">
        <v>2.27</v>
      </c>
      <c r="L2370">
        <v>0</v>
      </c>
      <c r="M2370" t="s">
        <v>4808</v>
      </c>
      <c r="N2370" t="s">
        <v>4900</v>
      </c>
      <c r="O2370" t="s">
        <v>4910</v>
      </c>
    </row>
    <row r="2371" spans="1:15" x14ac:dyDescent="0.35">
      <c r="A2371" t="s">
        <v>2342</v>
      </c>
      <c r="B2371">
        <v>58</v>
      </c>
      <c r="C2371" t="s">
        <v>4803</v>
      </c>
      <c r="D2371" t="s">
        <v>13</v>
      </c>
      <c r="E2371">
        <v>80</v>
      </c>
      <c r="F2371">
        <v>28</v>
      </c>
      <c r="G2371" t="s">
        <v>4798</v>
      </c>
      <c r="H2371" t="s">
        <v>4804</v>
      </c>
      <c r="I2371">
        <v>13.99</v>
      </c>
      <c r="J2371">
        <v>1</v>
      </c>
      <c r="K2371">
        <v>2.67</v>
      </c>
      <c r="L2371">
        <v>1</v>
      </c>
      <c r="M2371" t="s">
        <v>4808</v>
      </c>
      <c r="N2371" t="s">
        <v>4899</v>
      </c>
      <c r="O2371" t="s">
        <v>4911</v>
      </c>
    </row>
    <row r="2372" spans="1:15" x14ac:dyDescent="0.35">
      <c r="A2372" t="s">
        <v>2343</v>
      </c>
      <c r="B2372">
        <v>38</v>
      </c>
      <c r="C2372" t="s">
        <v>4802</v>
      </c>
      <c r="D2372" t="s">
        <v>15</v>
      </c>
      <c r="E2372">
        <v>57</v>
      </c>
      <c r="F2372">
        <v>10</v>
      </c>
      <c r="G2372" t="s">
        <v>4797</v>
      </c>
      <c r="H2372" t="s">
        <v>4805</v>
      </c>
      <c r="I2372">
        <v>17.989999999999998</v>
      </c>
      <c r="J2372">
        <v>5</v>
      </c>
      <c r="K2372">
        <v>1.9</v>
      </c>
      <c r="L2372">
        <v>0</v>
      </c>
      <c r="M2372" t="s">
        <v>4808</v>
      </c>
      <c r="N2372" t="s">
        <v>4900</v>
      </c>
      <c r="O2372" t="s">
        <v>4910</v>
      </c>
    </row>
    <row r="2373" spans="1:15" x14ac:dyDescent="0.35">
      <c r="A2373" t="s">
        <v>2344</v>
      </c>
      <c r="B2373">
        <v>24</v>
      </c>
      <c r="C2373" t="s">
        <v>4803</v>
      </c>
      <c r="D2373" t="s">
        <v>13</v>
      </c>
      <c r="E2373">
        <v>49</v>
      </c>
      <c r="F2373">
        <v>14</v>
      </c>
      <c r="G2373" t="s">
        <v>4799</v>
      </c>
      <c r="H2373" t="s">
        <v>4806</v>
      </c>
      <c r="I2373">
        <v>13.99</v>
      </c>
      <c r="J2373">
        <v>4</v>
      </c>
      <c r="K2373">
        <v>1.63</v>
      </c>
      <c r="L2373">
        <v>0</v>
      </c>
      <c r="M2373" t="s">
        <v>4811</v>
      </c>
      <c r="N2373" t="s">
        <v>4900</v>
      </c>
      <c r="O2373" t="s">
        <v>4912</v>
      </c>
    </row>
    <row r="2374" spans="1:15" x14ac:dyDescent="0.35">
      <c r="A2374" t="s">
        <v>2345</v>
      </c>
      <c r="B2374">
        <v>29</v>
      </c>
      <c r="C2374" t="s">
        <v>4802</v>
      </c>
      <c r="D2374" t="s">
        <v>13</v>
      </c>
      <c r="E2374">
        <v>44</v>
      </c>
      <c r="F2374">
        <v>37</v>
      </c>
      <c r="G2374" t="s">
        <v>4799</v>
      </c>
      <c r="H2374" t="s">
        <v>4805</v>
      </c>
      <c r="I2374">
        <v>13.99</v>
      </c>
      <c r="J2374">
        <v>3</v>
      </c>
      <c r="K2374">
        <v>1.47</v>
      </c>
      <c r="L2374">
        <v>0</v>
      </c>
      <c r="M2374" t="s">
        <v>4812</v>
      </c>
      <c r="N2374" t="s">
        <v>4900</v>
      </c>
      <c r="O2374" t="s">
        <v>4912</v>
      </c>
    </row>
    <row r="2375" spans="1:15" x14ac:dyDescent="0.35">
      <c r="A2375" t="s">
        <v>2346</v>
      </c>
      <c r="B2375">
        <v>50</v>
      </c>
      <c r="C2375" t="s">
        <v>4802</v>
      </c>
      <c r="D2375" t="s">
        <v>13</v>
      </c>
      <c r="E2375">
        <v>53</v>
      </c>
      <c r="F2375">
        <v>17</v>
      </c>
      <c r="G2375" t="s">
        <v>4800</v>
      </c>
      <c r="H2375" t="s">
        <v>4807</v>
      </c>
      <c r="I2375">
        <v>13.99</v>
      </c>
      <c r="J2375">
        <v>1</v>
      </c>
      <c r="K2375">
        <v>1.77</v>
      </c>
      <c r="L2375">
        <v>0</v>
      </c>
      <c r="M2375" t="s">
        <v>4811</v>
      </c>
      <c r="N2375" t="s">
        <v>4900</v>
      </c>
      <c r="O2375" t="s">
        <v>4910</v>
      </c>
    </row>
    <row r="2376" spans="1:15" x14ac:dyDescent="0.35">
      <c r="A2376" t="s">
        <v>2347</v>
      </c>
      <c r="B2376">
        <v>27</v>
      </c>
      <c r="C2376" t="s">
        <v>4803</v>
      </c>
      <c r="D2376" t="s">
        <v>13</v>
      </c>
      <c r="E2376">
        <v>63</v>
      </c>
      <c r="F2376">
        <v>36</v>
      </c>
      <c r="G2376" t="s">
        <v>4797</v>
      </c>
      <c r="H2376" t="s">
        <v>4804</v>
      </c>
      <c r="I2376">
        <v>13.99</v>
      </c>
      <c r="J2376">
        <v>4</v>
      </c>
      <c r="K2376">
        <v>2.1</v>
      </c>
      <c r="L2376">
        <v>0</v>
      </c>
      <c r="M2376" t="s">
        <v>4809</v>
      </c>
      <c r="N2376" t="s">
        <v>4900</v>
      </c>
      <c r="O2376" t="s">
        <v>4912</v>
      </c>
    </row>
    <row r="2377" spans="1:15" x14ac:dyDescent="0.35">
      <c r="A2377" t="s">
        <v>2348</v>
      </c>
      <c r="B2377">
        <v>64</v>
      </c>
      <c r="C2377" t="s">
        <v>4803</v>
      </c>
      <c r="D2377" t="s">
        <v>13</v>
      </c>
      <c r="E2377">
        <v>60</v>
      </c>
      <c r="F2377">
        <v>60</v>
      </c>
      <c r="G2377" t="s">
        <v>4799</v>
      </c>
      <c r="H2377" t="s">
        <v>4805</v>
      </c>
      <c r="I2377">
        <v>13.99</v>
      </c>
      <c r="J2377">
        <v>2</v>
      </c>
      <c r="K2377">
        <v>2</v>
      </c>
      <c r="L2377">
        <v>0</v>
      </c>
      <c r="M2377" t="s">
        <v>4812</v>
      </c>
      <c r="N2377" t="s">
        <v>4900</v>
      </c>
      <c r="O2377" t="s">
        <v>4911</v>
      </c>
    </row>
    <row r="2378" spans="1:15" x14ac:dyDescent="0.35">
      <c r="A2378" t="s">
        <v>2349</v>
      </c>
      <c r="B2378">
        <v>37</v>
      </c>
      <c r="C2378" t="s">
        <v>4803</v>
      </c>
      <c r="D2378" t="s">
        <v>13</v>
      </c>
      <c r="E2378">
        <v>71</v>
      </c>
      <c r="F2378">
        <v>58</v>
      </c>
      <c r="G2378" t="s">
        <v>4797</v>
      </c>
      <c r="H2378" t="s">
        <v>4804</v>
      </c>
      <c r="I2378">
        <v>13.99</v>
      </c>
      <c r="J2378">
        <v>3</v>
      </c>
      <c r="K2378">
        <v>2.37</v>
      </c>
      <c r="L2378">
        <v>0</v>
      </c>
      <c r="M2378" t="s">
        <v>4809</v>
      </c>
      <c r="N2378" t="s">
        <v>4900</v>
      </c>
      <c r="O2378" t="s">
        <v>4910</v>
      </c>
    </row>
    <row r="2379" spans="1:15" x14ac:dyDescent="0.35">
      <c r="A2379" t="s">
        <v>2350</v>
      </c>
      <c r="B2379">
        <v>57</v>
      </c>
      <c r="C2379" t="s">
        <v>4803</v>
      </c>
      <c r="D2379" t="s">
        <v>15</v>
      </c>
      <c r="E2379">
        <v>34</v>
      </c>
      <c r="F2379">
        <v>55</v>
      </c>
      <c r="G2379" t="s">
        <v>4799</v>
      </c>
      <c r="H2379" t="s">
        <v>4806</v>
      </c>
      <c r="I2379">
        <v>17.989999999999998</v>
      </c>
      <c r="J2379">
        <v>1</v>
      </c>
      <c r="K2379">
        <v>1.1299999999999999</v>
      </c>
      <c r="L2379">
        <v>0</v>
      </c>
      <c r="M2379" t="s">
        <v>4810</v>
      </c>
      <c r="N2379" t="s">
        <v>4900</v>
      </c>
      <c r="O2379" t="s">
        <v>4911</v>
      </c>
    </row>
    <row r="2380" spans="1:15" x14ac:dyDescent="0.35">
      <c r="A2380" t="s">
        <v>2351</v>
      </c>
      <c r="B2380">
        <v>45</v>
      </c>
      <c r="C2380" t="s">
        <v>4802</v>
      </c>
      <c r="D2380" t="s">
        <v>13</v>
      </c>
      <c r="E2380">
        <v>33</v>
      </c>
      <c r="F2380">
        <v>19</v>
      </c>
      <c r="G2380" t="s">
        <v>4799</v>
      </c>
      <c r="H2380" t="s">
        <v>4805</v>
      </c>
      <c r="I2380">
        <v>13.99</v>
      </c>
      <c r="J2380">
        <v>1</v>
      </c>
      <c r="K2380">
        <v>1.1000000000000001</v>
      </c>
      <c r="L2380">
        <v>0</v>
      </c>
      <c r="M2380" t="s">
        <v>4811</v>
      </c>
      <c r="N2380" t="s">
        <v>4900</v>
      </c>
      <c r="O2380" t="s">
        <v>4910</v>
      </c>
    </row>
    <row r="2381" spans="1:15" x14ac:dyDescent="0.35">
      <c r="A2381" t="s">
        <v>2352</v>
      </c>
      <c r="B2381">
        <v>65</v>
      </c>
      <c r="C2381" t="s">
        <v>4803</v>
      </c>
      <c r="D2381" t="s">
        <v>14</v>
      </c>
      <c r="E2381">
        <v>46</v>
      </c>
      <c r="F2381">
        <v>42</v>
      </c>
      <c r="G2381" t="s">
        <v>4798</v>
      </c>
      <c r="H2381" t="s">
        <v>4806</v>
      </c>
      <c r="I2381">
        <v>8.99</v>
      </c>
      <c r="J2381">
        <v>2</v>
      </c>
      <c r="K2381">
        <v>5</v>
      </c>
      <c r="L2381">
        <v>0</v>
      </c>
      <c r="M2381" t="s">
        <v>4811</v>
      </c>
      <c r="N2381" t="s">
        <v>4900</v>
      </c>
      <c r="O2381" t="s">
        <v>4911</v>
      </c>
    </row>
    <row r="2382" spans="1:15" x14ac:dyDescent="0.35">
      <c r="A2382" t="s">
        <v>2353</v>
      </c>
      <c r="B2382">
        <v>63</v>
      </c>
      <c r="C2382" t="s">
        <v>4803</v>
      </c>
      <c r="D2382" t="s">
        <v>13</v>
      </c>
      <c r="E2382">
        <v>51</v>
      </c>
      <c r="F2382">
        <v>29</v>
      </c>
      <c r="G2382" t="s">
        <v>4798</v>
      </c>
      <c r="H2382" t="s">
        <v>4805</v>
      </c>
      <c r="I2382">
        <v>13.99</v>
      </c>
      <c r="J2382">
        <v>1</v>
      </c>
      <c r="K2382">
        <v>1.7</v>
      </c>
      <c r="L2382">
        <v>0</v>
      </c>
      <c r="M2382" t="s">
        <v>4812</v>
      </c>
      <c r="N2382" t="s">
        <v>4900</v>
      </c>
      <c r="O2382" t="s">
        <v>4911</v>
      </c>
    </row>
    <row r="2383" spans="1:15" x14ac:dyDescent="0.35">
      <c r="A2383" t="s">
        <v>2354</v>
      </c>
      <c r="B2383">
        <v>30</v>
      </c>
      <c r="C2383" t="s">
        <v>4802</v>
      </c>
      <c r="D2383" t="s">
        <v>13</v>
      </c>
      <c r="E2383">
        <v>80</v>
      </c>
      <c r="F2383">
        <v>21</v>
      </c>
      <c r="G2383" t="s">
        <v>4798</v>
      </c>
      <c r="H2383" t="s">
        <v>4805</v>
      </c>
      <c r="I2383">
        <v>13.99</v>
      </c>
      <c r="J2383">
        <v>4</v>
      </c>
      <c r="K2383">
        <v>2.67</v>
      </c>
      <c r="L2383">
        <v>0</v>
      </c>
      <c r="M2383" t="s">
        <v>4809</v>
      </c>
      <c r="N2383" t="s">
        <v>4900</v>
      </c>
      <c r="O2383" t="s">
        <v>4912</v>
      </c>
    </row>
    <row r="2384" spans="1:15" x14ac:dyDescent="0.35">
      <c r="A2384" t="s">
        <v>2355</v>
      </c>
      <c r="B2384">
        <v>58</v>
      </c>
      <c r="C2384" t="s">
        <v>4803</v>
      </c>
      <c r="D2384" t="s">
        <v>13</v>
      </c>
      <c r="E2384">
        <v>58</v>
      </c>
      <c r="F2384" t="s">
        <v>4814</v>
      </c>
      <c r="G2384" t="s">
        <v>4797</v>
      </c>
      <c r="H2384" t="s">
        <v>4806</v>
      </c>
      <c r="I2384">
        <v>13.99</v>
      </c>
      <c r="J2384">
        <v>4</v>
      </c>
      <c r="K2384">
        <v>1.93</v>
      </c>
      <c r="L2384">
        <v>0</v>
      </c>
      <c r="M2384" t="s">
        <v>4810</v>
      </c>
      <c r="N2384" t="s">
        <v>4900</v>
      </c>
      <c r="O2384" t="s">
        <v>4911</v>
      </c>
    </row>
    <row r="2385" spans="1:15" x14ac:dyDescent="0.35">
      <c r="A2385" t="s">
        <v>2356</v>
      </c>
      <c r="B2385">
        <v>42</v>
      </c>
      <c r="C2385" t="s">
        <v>4802</v>
      </c>
      <c r="D2385" t="s">
        <v>13</v>
      </c>
      <c r="E2385">
        <v>40</v>
      </c>
      <c r="F2385">
        <v>6</v>
      </c>
      <c r="G2385" t="s">
        <v>4797</v>
      </c>
      <c r="H2385" t="s">
        <v>4804</v>
      </c>
      <c r="I2385">
        <v>13.99</v>
      </c>
      <c r="J2385">
        <v>4</v>
      </c>
      <c r="K2385">
        <v>1.33</v>
      </c>
      <c r="L2385">
        <v>0</v>
      </c>
      <c r="M2385" t="s">
        <v>4808</v>
      </c>
      <c r="N2385" t="s">
        <v>4900</v>
      </c>
      <c r="O2385" t="s">
        <v>4910</v>
      </c>
    </row>
    <row r="2386" spans="1:15" x14ac:dyDescent="0.35">
      <c r="A2386" t="s">
        <v>2357</v>
      </c>
      <c r="B2386">
        <v>21</v>
      </c>
      <c r="C2386" t="s">
        <v>4803</v>
      </c>
      <c r="D2386" t="s">
        <v>13</v>
      </c>
      <c r="E2386">
        <v>32</v>
      </c>
      <c r="F2386">
        <v>38</v>
      </c>
      <c r="G2386" t="s">
        <v>4798</v>
      </c>
      <c r="H2386" t="s">
        <v>4805</v>
      </c>
      <c r="I2386">
        <v>13.99</v>
      </c>
      <c r="J2386">
        <v>3</v>
      </c>
      <c r="K2386">
        <v>1.07</v>
      </c>
      <c r="L2386">
        <v>0</v>
      </c>
      <c r="M2386" t="s">
        <v>4808</v>
      </c>
      <c r="N2386" t="s">
        <v>4900</v>
      </c>
      <c r="O2386" t="s">
        <v>4912</v>
      </c>
    </row>
    <row r="2387" spans="1:15" x14ac:dyDescent="0.35">
      <c r="A2387" t="s">
        <v>2358</v>
      </c>
      <c r="B2387">
        <v>28</v>
      </c>
      <c r="C2387" t="s">
        <v>4803</v>
      </c>
      <c r="D2387" t="s">
        <v>13</v>
      </c>
      <c r="E2387">
        <v>45</v>
      </c>
      <c r="F2387">
        <v>999</v>
      </c>
      <c r="G2387" t="s">
        <v>4797</v>
      </c>
      <c r="H2387" t="s">
        <v>4805</v>
      </c>
      <c r="I2387">
        <v>13.99</v>
      </c>
      <c r="J2387">
        <v>1</v>
      </c>
      <c r="K2387">
        <v>1.5</v>
      </c>
      <c r="L2387">
        <v>1</v>
      </c>
      <c r="M2387" t="s">
        <v>4811</v>
      </c>
      <c r="N2387" t="s">
        <v>4899</v>
      </c>
      <c r="O2387" t="s">
        <v>4912</v>
      </c>
    </row>
    <row r="2388" spans="1:15" x14ac:dyDescent="0.35">
      <c r="A2388" t="s">
        <v>2359</v>
      </c>
      <c r="B2388">
        <v>30</v>
      </c>
      <c r="C2388" t="s">
        <v>4803</v>
      </c>
      <c r="D2388" t="s">
        <v>13</v>
      </c>
      <c r="E2388">
        <v>77</v>
      </c>
      <c r="F2388">
        <v>19</v>
      </c>
      <c r="G2388" t="s">
        <v>4797</v>
      </c>
      <c r="H2388" t="s">
        <v>4804</v>
      </c>
      <c r="I2388">
        <v>13.99</v>
      </c>
      <c r="J2388">
        <v>3</v>
      </c>
      <c r="K2388">
        <v>2.57</v>
      </c>
      <c r="L2388">
        <v>0</v>
      </c>
      <c r="M2388" t="s">
        <v>4809</v>
      </c>
      <c r="N2388" t="s">
        <v>4900</v>
      </c>
      <c r="O2388" t="s">
        <v>4912</v>
      </c>
    </row>
    <row r="2389" spans="1:15" x14ac:dyDescent="0.35">
      <c r="A2389" t="s">
        <v>2360</v>
      </c>
      <c r="B2389">
        <v>60</v>
      </c>
      <c r="C2389" t="s">
        <v>4802</v>
      </c>
      <c r="D2389" t="s">
        <v>13</v>
      </c>
      <c r="E2389">
        <v>69</v>
      </c>
      <c r="F2389">
        <v>34</v>
      </c>
      <c r="G2389" t="s">
        <v>4799</v>
      </c>
      <c r="H2389" t="s">
        <v>4806</v>
      </c>
      <c r="I2389">
        <v>13.99</v>
      </c>
      <c r="J2389">
        <v>4</v>
      </c>
      <c r="K2389">
        <v>2.2999999999999998</v>
      </c>
      <c r="L2389">
        <v>0</v>
      </c>
      <c r="M2389" t="s">
        <v>4809</v>
      </c>
      <c r="N2389" t="s">
        <v>4900</v>
      </c>
      <c r="O2389" t="s">
        <v>4911</v>
      </c>
    </row>
    <row r="2390" spans="1:15" x14ac:dyDescent="0.35">
      <c r="A2390" t="s">
        <v>2361</v>
      </c>
      <c r="B2390">
        <v>21</v>
      </c>
      <c r="C2390" t="s">
        <v>4803</v>
      </c>
      <c r="D2390" t="s">
        <v>13</v>
      </c>
      <c r="E2390">
        <v>74</v>
      </c>
      <c r="F2390">
        <v>33</v>
      </c>
      <c r="G2390" t="s">
        <v>4797</v>
      </c>
      <c r="H2390" t="s">
        <v>4806</v>
      </c>
      <c r="I2390">
        <v>13.99</v>
      </c>
      <c r="J2390">
        <v>4</v>
      </c>
      <c r="K2390">
        <v>2.4700000000000002</v>
      </c>
      <c r="L2390">
        <v>0</v>
      </c>
      <c r="M2390" t="s">
        <v>4808</v>
      </c>
      <c r="N2390" t="s">
        <v>4900</v>
      </c>
      <c r="O2390" t="s">
        <v>4912</v>
      </c>
    </row>
    <row r="2391" spans="1:15" x14ac:dyDescent="0.35">
      <c r="A2391" t="s">
        <v>2362</v>
      </c>
      <c r="B2391">
        <v>62</v>
      </c>
      <c r="C2391" t="s">
        <v>4803</v>
      </c>
      <c r="D2391" t="s">
        <v>15</v>
      </c>
      <c r="E2391">
        <v>94</v>
      </c>
      <c r="F2391">
        <v>57</v>
      </c>
      <c r="G2391" t="s">
        <v>4797</v>
      </c>
      <c r="H2391" t="s">
        <v>4806</v>
      </c>
      <c r="I2391">
        <v>17.989999999999998</v>
      </c>
      <c r="J2391">
        <v>4</v>
      </c>
      <c r="K2391">
        <v>3.13</v>
      </c>
      <c r="L2391">
        <v>0</v>
      </c>
      <c r="M2391" t="s">
        <v>4811</v>
      </c>
      <c r="N2391" t="s">
        <v>4900</v>
      </c>
      <c r="O2391" t="s">
        <v>4911</v>
      </c>
    </row>
    <row r="2392" spans="1:15" x14ac:dyDescent="0.35">
      <c r="A2392" t="s">
        <v>2363</v>
      </c>
      <c r="B2392">
        <v>38</v>
      </c>
      <c r="C2392" t="s">
        <v>4803</v>
      </c>
      <c r="D2392" t="s">
        <v>13</v>
      </c>
      <c r="E2392">
        <v>40</v>
      </c>
      <c r="F2392">
        <v>10</v>
      </c>
      <c r="G2392" t="s">
        <v>4797</v>
      </c>
      <c r="H2392" t="s">
        <v>4804</v>
      </c>
      <c r="I2392">
        <v>13.99</v>
      </c>
      <c r="J2392">
        <v>1</v>
      </c>
      <c r="K2392">
        <v>1.33</v>
      </c>
      <c r="L2392">
        <v>0</v>
      </c>
      <c r="M2392" t="s">
        <v>4810</v>
      </c>
      <c r="N2392" t="s">
        <v>4900</v>
      </c>
      <c r="O2392" t="s">
        <v>4910</v>
      </c>
    </row>
    <row r="2393" spans="1:15" x14ac:dyDescent="0.35">
      <c r="A2393" t="s">
        <v>2364</v>
      </c>
      <c r="B2393">
        <v>37</v>
      </c>
      <c r="C2393" t="s">
        <v>4802</v>
      </c>
      <c r="D2393" t="s">
        <v>15</v>
      </c>
      <c r="E2393">
        <v>86</v>
      </c>
      <c r="F2393">
        <v>50</v>
      </c>
      <c r="G2393" t="s">
        <v>4797</v>
      </c>
      <c r="H2393" t="s">
        <v>4805</v>
      </c>
      <c r="I2393">
        <v>17.989999999999998</v>
      </c>
      <c r="J2393">
        <v>5</v>
      </c>
      <c r="K2393">
        <v>2.87</v>
      </c>
      <c r="L2393">
        <v>0</v>
      </c>
      <c r="M2393" t="s">
        <v>4810</v>
      </c>
      <c r="N2393" t="s">
        <v>4900</v>
      </c>
      <c r="O2393" t="s">
        <v>4910</v>
      </c>
    </row>
    <row r="2394" spans="1:15" x14ac:dyDescent="0.35">
      <c r="A2394" t="s">
        <v>2365</v>
      </c>
      <c r="B2394">
        <v>54</v>
      </c>
      <c r="C2394" t="s">
        <v>4803</v>
      </c>
      <c r="D2394" t="s">
        <v>15</v>
      </c>
      <c r="E2394">
        <v>112</v>
      </c>
      <c r="F2394">
        <v>1</v>
      </c>
      <c r="G2394" t="s">
        <v>4798</v>
      </c>
      <c r="H2394" t="s">
        <v>4805</v>
      </c>
      <c r="I2394">
        <v>17.989999999999998</v>
      </c>
      <c r="J2394">
        <v>2</v>
      </c>
      <c r="K2394">
        <v>3.73</v>
      </c>
      <c r="L2394">
        <v>0</v>
      </c>
      <c r="M2394" t="s">
        <v>4812</v>
      </c>
      <c r="N2394" t="s">
        <v>4900</v>
      </c>
      <c r="O2394" t="s">
        <v>4910</v>
      </c>
    </row>
    <row r="2395" spans="1:15" x14ac:dyDescent="0.35">
      <c r="A2395" t="s">
        <v>2366</v>
      </c>
      <c r="B2395">
        <v>27</v>
      </c>
      <c r="C2395" t="s">
        <v>4802</v>
      </c>
      <c r="D2395" t="s">
        <v>15</v>
      </c>
      <c r="E2395">
        <v>111</v>
      </c>
      <c r="F2395">
        <v>37</v>
      </c>
      <c r="G2395" t="s">
        <v>4798</v>
      </c>
      <c r="H2395" t="s">
        <v>4805</v>
      </c>
      <c r="I2395">
        <v>17.989999999999998</v>
      </c>
      <c r="J2395">
        <v>3</v>
      </c>
      <c r="K2395">
        <v>3.7</v>
      </c>
      <c r="L2395">
        <v>0</v>
      </c>
      <c r="M2395" t="s">
        <v>4809</v>
      </c>
      <c r="N2395" t="s">
        <v>4900</v>
      </c>
      <c r="O2395" t="s">
        <v>4912</v>
      </c>
    </row>
    <row r="2396" spans="1:15" x14ac:dyDescent="0.35">
      <c r="A2396" t="s">
        <v>2367</v>
      </c>
      <c r="B2396">
        <v>52</v>
      </c>
      <c r="C2396" t="s">
        <v>4802</v>
      </c>
      <c r="D2396" t="s">
        <v>13</v>
      </c>
      <c r="E2396">
        <v>53</v>
      </c>
      <c r="F2396">
        <v>17</v>
      </c>
      <c r="G2396" t="s">
        <v>4798</v>
      </c>
      <c r="H2396" t="s">
        <v>4806</v>
      </c>
      <c r="I2396">
        <v>13.99</v>
      </c>
      <c r="J2396">
        <v>3</v>
      </c>
      <c r="K2396">
        <v>1.77</v>
      </c>
      <c r="L2396">
        <v>0</v>
      </c>
      <c r="M2396" t="s">
        <v>4809</v>
      </c>
      <c r="N2396" t="s">
        <v>4900</v>
      </c>
      <c r="O2396" t="s">
        <v>4910</v>
      </c>
    </row>
    <row r="2397" spans="1:15" x14ac:dyDescent="0.35">
      <c r="A2397" t="s">
        <v>2368</v>
      </c>
      <c r="B2397">
        <v>62</v>
      </c>
      <c r="C2397" t="s">
        <v>4802</v>
      </c>
      <c r="D2397" t="s">
        <v>13</v>
      </c>
      <c r="E2397">
        <v>33</v>
      </c>
      <c r="F2397">
        <v>30</v>
      </c>
      <c r="G2397" t="s">
        <v>4799</v>
      </c>
      <c r="H2397" t="s">
        <v>4806</v>
      </c>
      <c r="I2397">
        <v>13.99</v>
      </c>
      <c r="J2397">
        <v>3</v>
      </c>
      <c r="K2397">
        <v>1.1000000000000001</v>
      </c>
      <c r="L2397">
        <v>0</v>
      </c>
      <c r="M2397" t="s">
        <v>4812</v>
      </c>
      <c r="N2397" t="s">
        <v>4900</v>
      </c>
      <c r="O2397" t="s">
        <v>4911</v>
      </c>
    </row>
    <row r="2398" spans="1:15" x14ac:dyDescent="0.35">
      <c r="A2398" t="s">
        <v>2369</v>
      </c>
      <c r="B2398">
        <v>39</v>
      </c>
      <c r="C2398" t="s">
        <v>4803</v>
      </c>
      <c r="D2398" t="s">
        <v>15</v>
      </c>
      <c r="E2398">
        <v>83</v>
      </c>
      <c r="F2398">
        <v>54</v>
      </c>
      <c r="G2398" t="s">
        <v>4799</v>
      </c>
      <c r="H2398" t="s">
        <v>4804</v>
      </c>
      <c r="I2398">
        <v>17.989999999999998</v>
      </c>
      <c r="J2398">
        <v>4</v>
      </c>
      <c r="K2398">
        <v>2.77</v>
      </c>
      <c r="L2398">
        <v>0</v>
      </c>
      <c r="M2398" t="s">
        <v>4810</v>
      </c>
      <c r="N2398" t="s">
        <v>4900</v>
      </c>
      <c r="O2398" t="s">
        <v>4910</v>
      </c>
    </row>
    <row r="2399" spans="1:15" x14ac:dyDescent="0.35">
      <c r="A2399" t="s">
        <v>2370</v>
      </c>
      <c r="B2399">
        <v>46</v>
      </c>
      <c r="C2399" t="s">
        <v>4803</v>
      </c>
      <c r="D2399" t="s">
        <v>13</v>
      </c>
      <c r="E2399">
        <v>69</v>
      </c>
      <c r="F2399">
        <v>41</v>
      </c>
      <c r="G2399" t="s">
        <v>4798</v>
      </c>
      <c r="H2399" t="s">
        <v>4804</v>
      </c>
      <c r="I2399">
        <v>13.99</v>
      </c>
      <c r="J2399">
        <v>3</v>
      </c>
      <c r="K2399">
        <v>2.2999999999999998</v>
      </c>
      <c r="L2399">
        <v>0</v>
      </c>
      <c r="M2399" t="s">
        <v>4812</v>
      </c>
      <c r="N2399" t="s">
        <v>4900</v>
      </c>
      <c r="O2399" t="s">
        <v>4910</v>
      </c>
    </row>
    <row r="2400" spans="1:15" x14ac:dyDescent="0.35">
      <c r="A2400" t="s">
        <v>2371</v>
      </c>
      <c r="B2400">
        <v>59</v>
      </c>
      <c r="C2400" t="s">
        <v>4802</v>
      </c>
      <c r="D2400" t="s">
        <v>13</v>
      </c>
      <c r="E2400">
        <v>65</v>
      </c>
      <c r="F2400">
        <v>43</v>
      </c>
      <c r="G2400" t="s">
        <v>4797</v>
      </c>
      <c r="H2400" t="s">
        <v>4805</v>
      </c>
      <c r="I2400">
        <v>13.99</v>
      </c>
      <c r="J2400">
        <v>4</v>
      </c>
      <c r="K2400">
        <v>2.17</v>
      </c>
      <c r="L2400">
        <v>1</v>
      </c>
      <c r="M2400" t="s">
        <v>4810</v>
      </c>
      <c r="N2400" t="s">
        <v>4899</v>
      </c>
      <c r="O2400" t="s">
        <v>4911</v>
      </c>
    </row>
    <row r="2401" spans="1:15" x14ac:dyDescent="0.35">
      <c r="A2401" t="s">
        <v>2372</v>
      </c>
      <c r="B2401">
        <v>56</v>
      </c>
      <c r="C2401" t="s">
        <v>4803</v>
      </c>
      <c r="D2401" t="s">
        <v>13</v>
      </c>
      <c r="E2401">
        <v>33</v>
      </c>
      <c r="F2401">
        <v>22</v>
      </c>
      <c r="G2401" t="s">
        <v>4799</v>
      </c>
      <c r="H2401" t="s">
        <v>4805</v>
      </c>
      <c r="I2401">
        <v>13.99</v>
      </c>
      <c r="J2401">
        <v>1</v>
      </c>
      <c r="K2401">
        <v>1.1000000000000001</v>
      </c>
      <c r="L2401">
        <v>0</v>
      </c>
      <c r="M2401" t="s">
        <v>4810</v>
      </c>
      <c r="N2401" t="s">
        <v>4900</v>
      </c>
      <c r="O2401" t="s">
        <v>4911</v>
      </c>
    </row>
    <row r="2402" spans="1:15" x14ac:dyDescent="0.35">
      <c r="A2402" t="s">
        <v>2373</v>
      </c>
      <c r="B2402">
        <v>59</v>
      </c>
      <c r="C2402" t="s">
        <v>4802</v>
      </c>
      <c r="D2402" t="s">
        <v>13</v>
      </c>
      <c r="E2402">
        <v>64</v>
      </c>
      <c r="F2402">
        <v>1</v>
      </c>
      <c r="G2402" t="s">
        <v>4798</v>
      </c>
      <c r="H2402" t="s">
        <v>4806</v>
      </c>
      <c r="I2402">
        <v>13.99</v>
      </c>
      <c r="J2402">
        <v>1</v>
      </c>
      <c r="K2402">
        <v>2.13</v>
      </c>
      <c r="L2402">
        <v>0</v>
      </c>
      <c r="M2402" t="s">
        <v>4812</v>
      </c>
      <c r="N2402" t="s">
        <v>4900</v>
      </c>
      <c r="O2402" t="s">
        <v>4911</v>
      </c>
    </row>
    <row r="2403" spans="1:15" x14ac:dyDescent="0.35">
      <c r="A2403" t="s">
        <v>2374</v>
      </c>
      <c r="B2403">
        <v>33</v>
      </c>
      <c r="C2403" t="s">
        <v>4803</v>
      </c>
      <c r="D2403" t="s">
        <v>15</v>
      </c>
      <c r="E2403">
        <v>73</v>
      </c>
      <c r="F2403">
        <v>22</v>
      </c>
      <c r="G2403" t="s">
        <v>4799</v>
      </c>
      <c r="H2403" t="s">
        <v>4804</v>
      </c>
      <c r="I2403">
        <v>17.989999999999998</v>
      </c>
      <c r="J2403">
        <v>4</v>
      </c>
      <c r="K2403">
        <v>2.4300000000000002</v>
      </c>
      <c r="L2403">
        <v>0</v>
      </c>
      <c r="M2403" t="s">
        <v>4812</v>
      </c>
      <c r="N2403" t="s">
        <v>4900</v>
      </c>
      <c r="O2403" t="s">
        <v>4912</v>
      </c>
    </row>
    <row r="2404" spans="1:15" x14ac:dyDescent="0.35">
      <c r="A2404" t="s">
        <v>2375</v>
      </c>
      <c r="B2404">
        <v>60</v>
      </c>
      <c r="C2404" t="s">
        <v>4802</v>
      </c>
      <c r="D2404" t="s">
        <v>13</v>
      </c>
      <c r="E2404">
        <v>80</v>
      </c>
      <c r="F2404">
        <v>10</v>
      </c>
      <c r="G2404" t="s">
        <v>4798</v>
      </c>
      <c r="H2404" t="s">
        <v>4805</v>
      </c>
      <c r="I2404">
        <v>13.99</v>
      </c>
      <c r="J2404">
        <v>4</v>
      </c>
      <c r="K2404">
        <v>2.67</v>
      </c>
      <c r="L2404">
        <v>0</v>
      </c>
      <c r="M2404" t="s">
        <v>4810</v>
      </c>
      <c r="N2404" t="s">
        <v>4900</v>
      </c>
      <c r="O2404" t="s">
        <v>4911</v>
      </c>
    </row>
    <row r="2405" spans="1:15" x14ac:dyDescent="0.35">
      <c r="A2405" t="s">
        <v>2376</v>
      </c>
      <c r="B2405">
        <v>64</v>
      </c>
      <c r="C2405" t="s">
        <v>4803</v>
      </c>
      <c r="D2405" t="s">
        <v>13</v>
      </c>
      <c r="E2405">
        <v>42</v>
      </c>
      <c r="F2405">
        <v>20</v>
      </c>
      <c r="G2405" t="s">
        <v>4799</v>
      </c>
      <c r="H2405" t="s">
        <v>4807</v>
      </c>
      <c r="I2405">
        <v>13.99</v>
      </c>
      <c r="J2405">
        <v>3</v>
      </c>
      <c r="K2405">
        <v>1.4</v>
      </c>
      <c r="L2405">
        <v>0</v>
      </c>
      <c r="M2405" t="s">
        <v>4810</v>
      </c>
      <c r="N2405" t="s">
        <v>4900</v>
      </c>
      <c r="O2405" t="s">
        <v>4911</v>
      </c>
    </row>
    <row r="2406" spans="1:15" x14ac:dyDescent="0.35">
      <c r="A2406" t="s">
        <v>2377</v>
      </c>
      <c r="B2406">
        <v>20</v>
      </c>
      <c r="C2406" t="s">
        <v>4802</v>
      </c>
      <c r="D2406" t="s">
        <v>13</v>
      </c>
      <c r="E2406">
        <v>58</v>
      </c>
      <c r="F2406">
        <v>29</v>
      </c>
      <c r="G2406" t="s">
        <v>4799</v>
      </c>
      <c r="H2406" t="s">
        <v>4805</v>
      </c>
      <c r="I2406">
        <v>13.99</v>
      </c>
      <c r="J2406">
        <v>3</v>
      </c>
      <c r="K2406">
        <v>1.93</v>
      </c>
      <c r="L2406">
        <v>0</v>
      </c>
      <c r="M2406" t="s">
        <v>4812</v>
      </c>
      <c r="N2406" t="s">
        <v>4900</v>
      </c>
      <c r="O2406" t="s">
        <v>4912</v>
      </c>
    </row>
    <row r="2407" spans="1:15" x14ac:dyDescent="0.35">
      <c r="A2407" t="s">
        <v>2378</v>
      </c>
      <c r="B2407">
        <v>23</v>
      </c>
      <c r="C2407" t="s">
        <v>4802</v>
      </c>
      <c r="D2407" t="s">
        <v>13</v>
      </c>
      <c r="E2407">
        <v>32</v>
      </c>
      <c r="F2407">
        <v>26</v>
      </c>
      <c r="G2407" t="s">
        <v>4799</v>
      </c>
      <c r="H2407" t="s">
        <v>4805</v>
      </c>
      <c r="I2407">
        <v>13.99</v>
      </c>
      <c r="J2407">
        <v>4</v>
      </c>
      <c r="K2407">
        <v>1.07</v>
      </c>
      <c r="L2407">
        <v>0</v>
      </c>
      <c r="M2407" t="s">
        <v>4810</v>
      </c>
      <c r="N2407" t="s">
        <v>4900</v>
      </c>
      <c r="O2407" t="s">
        <v>4912</v>
      </c>
    </row>
    <row r="2408" spans="1:15" x14ac:dyDescent="0.35">
      <c r="A2408" t="s">
        <v>2379</v>
      </c>
      <c r="B2408">
        <v>33</v>
      </c>
      <c r="C2408" t="s">
        <v>4802</v>
      </c>
      <c r="D2408" t="s">
        <v>15</v>
      </c>
      <c r="E2408">
        <v>105</v>
      </c>
      <c r="F2408">
        <v>0</v>
      </c>
      <c r="G2408" t="s">
        <v>4799</v>
      </c>
      <c r="H2408" t="s">
        <v>4804</v>
      </c>
      <c r="I2408">
        <v>17.989999999999998</v>
      </c>
      <c r="J2408">
        <v>3</v>
      </c>
      <c r="K2408">
        <v>3.5</v>
      </c>
      <c r="L2408">
        <v>0</v>
      </c>
      <c r="M2408" t="s">
        <v>4811</v>
      </c>
      <c r="N2408" t="s">
        <v>4900</v>
      </c>
      <c r="O2408" t="s">
        <v>4912</v>
      </c>
    </row>
    <row r="2409" spans="1:15" x14ac:dyDescent="0.35">
      <c r="A2409" t="s">
        <v>2380</v>
      </c>
      <c r="B2409">
        <v>30</v>
      </c>
      <c r="C2409" t="s">
        <v>4803</v>
      </c>
      <c r="D2409" t="s">
        <v>13</v>
      </c>
      <c r="E2409">
        <v>56</v>
      </c>
      <c r="F2409">
        <v>24</v>
      </c>
      <c r="G2409" t="s">
        <v>4798</v>
      </c>
      <c r="H2409" t="s">
        <v>4806</v>
      </c>
      <c r="I2409">
        <v>13.99</v>
      </c>
      <c r="J2409">
        <v>3</v>
      </c>
      <c r="K2409">
        <v>1.87</v>
      </c>
      <c r="L2409">
        <v>0</v>
      </c>
      <c r="M2409" t="s">
        <v>4808</v>
      </c>
      <c r="N2409" t="s">
        <v>4900</v>
      </c>
      <c r="O2409" t="s">
        <v>4912</v>
      </c>
    </row>
    <row r="2410" spans="1:15" x14ac:dyDescent="0.35">
      <c r="A2410" t="s">
        <v>2381</v>
      </c>
      <c r="B2410">
        <v>33</v>
      </c>
      <c r="C2410" t="s">
        <v>4802</v>
      </c>
      <c r="D2410" t="s">
        <v>13</v>
      </c>
      <c r="E2410">
        <v>69</v>
      </c>
      <c r="F2410">
        <v>14</v>
      </c>
      <c r="G2410" t="s">
        <v>4798</v>
      </c>
      <c r="H2410" t="s">
        <v>4806</v>
      </c>
      <c r="I2410">
        <v>13.99</v>
      </c>
      <c r="J2410">
        <v>2</v>
      </c>
      <c r="K2410">
        <v>2.2999999999999998</v>
      </c>
      <c r="L2410">
        <v>0</v>
      </c>
      <c r="M2410" t="s">
        <v>4811</v>
      </c>
      <c r="N2410" t="s">
        <v>4900</v>
      </c>
      <c r="O2410" t="s">
        <v>4912</v>
      </c>
    </row>
    <row r="2411" spans="1:15" x14ac:dyDescent="0.35">
      <c r="A2411" t="s">
        <v>2382</v>
      </c>
      <c r="B2411">
        <v>24</v>
      </c>
      <c r="C2411" t="s">
        <v>4802</v>
      </c>
      <c r="D2411" t="s">
        <v>15</v>
      </c>
      <c r="E2411">
        <v>116</v>
      </c>
      <c r="F2411">
        <v>9</v>
      </c>
      <c r="G2411" t="s">
        <v>4798</v>
      </c>
      <c r="H2411" t="s">
        <v>4806</v>
      </c>
      <c r="I2411">
        <v>17.989999999999998</v>
      </c>
      <c r="J2411">
        <v>4</v>
      </c>
      <c r="K2411">
        <v>3.87</v>
      </c>
      <c r="L2411">
        <v>0</v>
      </c>
      <c r="M2411" t="s">
        <v>4811</v>
      </c>
      <c r="N2411" t="s">
        <v>4900</v>
      </c>
      <c r="O2411" t="s">
        <v>4912</v>
      </c>
    </row>
    <row r="2412" spans="1:15" x14ac:dyDescent="0.35">
      <c r="A2412" t="s">
        <v>2383</v>
      </c>
      <c r="B2412">
        <v>30</v>
      </c>
      <c r="C2412" t="s">
        <v>4803</v>
      </c>
      <c r="D2412" t="s">
        <v>13</v>
      </c>
      <c r="E2412">
        <v>42</v>
      </c>
      <c r="F2412">
        <v>32</v>
      </c>
      <c r="G2412" t="s">
        <v>4797</v>
      </c>
      <c r="H2412" t="s">
        <v>4804</v>
      </c>
      <c r="I2412">
        <v>13.99</v>
      </c>
      <c r="J2412">
        <v>4</v>
      </c>
      <c r="K2412">
        <v>1.4</v>
      </c>
      <c r="L2412">
        <v>0</v>
      </c>
      <c r="M2412" t="s">
        <v>4811</v>
      </c>
      <c r="N2412" t="s">
        <v>4900</v>
      </c>
      <c r="O2412" t="s">
        <v>4912</v>
      </c>
    </row>
    <row r="2413" spans="1:15" x14ac:dyDescent="0.35">
      <c r="A2413" t="s">
        <v>2384</v>
      </c>
      <c r="B2413">
        <v>18</v>
      </c>
      <c r="C2413" t="s">
        <v>4802</v>
      </c>
      <c r="D2413" t="s">
        <v>13</v>
      </c>
      <c r="E2413">
        <v>35</v>
      </c>
      <c r="F2413">
        <v>43</v>
      </c>
      <c r="G2413" t="s">
        <v>4799</v>
      </c>
      <c r="H2413" t="s">
        <v>4804</v>
      </c>
      <c r="I2413">
        <v>13.99</v>
      </c>
      <c r="J2413">
        <v>3</v>
      </c>
      <c r="K2413">
        <v>1.17</v>
      </c>
      <c r="L2413">
        <v>1</v>
      </c>
      <c r="M2413" t="s">
        <v>4808</v>
      </c>
      <c r="N2413" t="s">
        <v>4899</v>
      </c>
      <c r="O2413" t="s">
        <v>4912</v>
      </c>
    </row>
    <row r="2414" spans="1:15" x14ac:dyDescent="0.35">
      <c r="A2414" t="s">
        <v>2385</v>
      </c>
      <c r="B2414">
        <v>54</v>
      </c>
      <c r="C2414" t="s">
        <v>4802</v>
      </c>
      <c r="D2414" t="s">
        <v>13</v>
      </c>
      <c r="E2414">
        <v>45</v>
      </c>
      <c r="F2414">
        <v>15</v>
      </c>
      <c r="G2414" t="s">
        <v>4799</v>
      </c>
      <c r="H2414" t="s">
        <v>4805</v>
      </c>
      <c r="I2414">
        <v>13.99</v>
      </c>
      <c r="J2414">
        <v>4</v>
      </c>
      <c r="K2414">
        <v>1.5</v>
      </c>
      <c r="L2414">
        <v>0</v>
      </c>
      <c r="M2414" t="s">
        <v>4809</v>
      </c>
      <c r="N2414" t="s">
        <v>4900</v>
      </c>
      <c r="O2414" t="s">
        <v>4910</v>
      </c>
    </row>
    <row r="2415" spans="1:15" x14ac:dyDescent="0.35">
      <c r="A2415" t="s">
        <v>2386</v>
      </c>
      <c r="B2415">
        <v>65</v>
      </c>
      <c r="C2415" t="s">
        <v>4803</v>
      </c>
      <c r="D2415" t="s">
        <v>15</v>
      </c>
      <c r="E2415">
        <v>86</v>
      </c>
      <c r="F2415">
        <v>21</v>
      </c>
      <c r="G2415" t="s">
        <v>4797</v>
      </c>
      <c r="H2415" t="s">
        <v>4804</v>
      </c>
      <c r="I2415">
        <v>17.989999999999998</v>
      </c>
      <c r="J2415">
        <v>2</v>
      </c>
      <c r="K2415">
        <v>2.87</v>
      </c>
      <c r="L2415">
        <v>0</v>
      </c>
      <c r="M2415" t="s">
        <v>4811</v>
      </c>
      <c r="N2415" t="s">
        <v>4900</v>
      </c>
      <c r="O2415" t="s">
        <v>4911</v>
      </c>
    </row>
    <row r="2416" spans="1:15" x14ac:dyDescent="0.35">
      <c r="A2416" t="s">
        <v>2387</v>
      </c>
      <c r="B2416">
        <v>61</v>
      </c>
      <c r="C2416" t="s">
        <v>4802</v>
      </c>
      <c r="D2416" t="s">
        <v>13</v>
      </c>
      <c r="E2416">
        <v>38</v>
      </c>
      <c r="F2416">
        <v>34</v>
      </c>
      <c r="G2416" t="s">
        <v>4799</v>
      </c>
      <c r="H2416" t="s">
        <v>4805</v>
      </c>
      <c r="I2416">
        <v>13.99</v>
      </c>
      <c r="J2416">
        <v>4</v>
      </c>
      <c r="K2416">
        <v>1.27</v>
      </c>
      <c r="L2416">
        <v>0</v>
      </c>
      <c r="M2416" t="s">
        <v>4811</v>
      </c>
      <c r="N2416" t="s">
        <v>4900</v>
      </c>
      <c r="O2416" t="s">
        <v>4911</v>
      </c>
    </row>
    <row r="2417" spans="1:15" x14ac:dyDescent="0.35">
      <c r="A2417" t="s">
        <v>2388</v>
      </c>
      <c r="B2417">
        <v>48</v>
      </c>
      <c r="C2417" t="s">
        <v>4803</v>
      </c>
      <c r="D2417" t="s">
        <v>15</v>
      </c>
      <c r="E2417">
        <v>92</v>
      </c>
      <c r="F2417">
        <v>50</v>
      </c>
      <c r="G2417" t="s">
        <v>4799</v>
      </c>
      <c r="H2417" t="s">
        <v>4805</v>
      </c>
      <c r="I2417">
        <v>17.989999999999998</v>
      </c>
      <c r="J2417">
        <v>4</v>
      </c>
      <c r="K2417">
        <v>3.07</v>
      </c>
      <c r="L2417">
        <v>0</v>
      </c>
      <c r="M2417" t="s">
        <v>4809</v>
      </c>
      <c r="N2417" t="s">
        <v>4900</v>
      </c>
      <c r="O2417" t="s">
        <v>4910</v>
      </c>
    </row>
    <row r="2418" spans="1:15" x14ac:dyDescent="0.35">
      <c r="A2418" t="s">
        <v>2389</v>
      </c>
      <c r="B2418">
        <v>59</v>
      </c>
      <c r="C2418" t="s">
        <v>4802</v>
      </c>
      <c r="D2418" t="s">
        <v>13</v>
      </c>
      <c r="E2418">
        <v>34</v>
      </c>
      <c r="F2418">
        <v>38</v>
      </c>
      <c r="G2418" t="s">
        <v>4798</v>
      </c>
      <c r="H2418" t="s">
        <v>4804</v>
      </c>
      <c r="I2418">
        <v>13.99</v>
      </c>
      <c r="J2418">
        <v>2</v>
      </c>
      <c r="K2418">
        <v>1.1299999999999999</v>
      </c>
      <c r="L2418">
        <v>0</v>
      </c>
      <c r="M2418" t="s">
        <v>4810</v>
      </c>
      <c r="N2418" t="s">
        <v>4900</v>
      </c>
      <c r="O2418" t="s">
        <v>4911</v>
      </c>
    </row>
    <row r="2419" spans="1:15" x14ac:dyDescent="0.35">
      <c r="A2419" t="s">
        <v>2390</v>
      </c>
      <c r="B2419">
        <v>61</v>
      </c>
      <c r="C2419" t="s">
        <v>4803</v>
      </c>
      <c r="D2419" t="s">
        <v>13</v>
      </c>
      <c r="E2419">
        <v>70</v>
      </c>
      <c r="F2419">
        <v>26</v>
      </c>
      <c r="G2419" t="s">
        <v>4797</v>
      </c>
      <c r="H2419" t="s">
        <v>4805</v>
      </c>
      <c r="I2419">
        <v>13.99</v>
      </c>
      <c r="J2419">
        <v>1</v>
      </c>
      <c r="K2419">
        <v>2.33</v>
      </c>
      <c r="L2419">
        <v>0</v>
      </c>
      <c r="M2419" t="s">
        <v>4808</v>
      </c>
      <c r="N2419" t="s">
        <v>4900</v>
      </c>
      <c r="O2419" t="s">
        <v>4911</v>
      </c>
    </row>
    <row r="2420" spans="1:15" x14ac:dyDescent="0.35">
      <c r="A2420" t="s">
        <v>2391</v>
      </c>
      <c r="B2420">
        <v>25</v>
      </c>
      <c r="C2420" t="s">
        <v>4802</v>
      </c>
      <c r="D2420" t="s">
        <v>13</v>
      </c>
      <c r="E2420">
        <v>55</v>
      </c>
      <c r="F2420">
        <v>22</v>
      </c>
      <c r="G2420" t="s">
        <v>4798</v>
      </c>
      <c r="H2420" t="s">
        <v>4804</v>
      </c>
      <c r="I2420">
        <v>13.99</v>
      </c>
      <c r="J2420">
        <v>1</v>
      </c>
      <c r="K2420">
        <v>1.83</v>
      </c>
      <c r="L2420">
        <v>1</v>
      </c>
      <c r="M2420" t="s">
        <v>4811</v>
      </c>
      <c r="N2420" t="s">
        <v>4899</v>
      </c>
      <c r="O2420" t="s">
        <v>4912</v>
      </c>
    </row>
    <row r="2421" spans="1:15" x14ac:dyDescent="0.35">
      <c r="A2421" t="s">
        <v>2392</v>
      </c>
      <c r="B2421">
        <v>38</v>
      </c>
      <c r="C2421" t="s">
        <v>4803</v>
      </c>
      <c r="D2421" t="s">
        <v>13</v>
      </c>
      <c r="E2421">
        <v>65</v>
      </c>
      <c r="F2421">
        <v>39</v>
      </c>
      <c r="G2421" t="s">
        <v>4799</v>
      </c>
      <c r="H2421" t="s">
        <v>4804</v>
      </c>
      <c r="I2421">
        <v>13.99</v>
      </c>
      <c r="J2421">
        <v>3</v>
      </c>
      <c r="K2421">
        <v>2.17</v>
      </c>
      <c r="L2421">
        <v>1</v>
      </c>
      <c r="M2421" t="s">
        <v>4811</v>
      </c>
      <c r="N2421" t="s">
        <v>4899</v>
      </c>
      <c r="O2421" t="s">
        <v>4910</v>
      </c>
    </row>
    <row r="2422" spans="1:15" x14ac:dyDescent="0.35">
      <c r="A2422" t="s">
        <v>2393</v>
      </c>
      <c r="B2422">
        <v>53</v>
      </c>
      <c r="C2422" t="s">
        <v>4802</v>
      </c>
      <c r="D2422" t="s">
        <v>13</v>
      </c>
      <c r="E2422">
        <v>73</v>
      </c>
      <c r="F2422">
        <v>33</v>
      </c>
      <c r="G2422" t="s">
        <v>4798</v>
      </c>
      <c r="H2422" t="s">
        <v>4804</v>
      </c>
      <c r="I2422">
        <v>13.99</v>
      </c>
      <c r="J2422">
        <v>4</v>
      </c>
      <c r="K2422">
        <v>2.4300000000000002</v>
      </c>
      <c r="L2422">
        <v>0</v>
      </c>
      <c r="M2422" t="s">
        <v>4811</v>
      </c>
      <c r="N2422" t="s">
        <v>4900</v>
      </c>
      <c r="O2422" t="s">
        <v>4910</v>
      </c>
    </row>
    <row r="2423" spans="1:15" x14ac:dyDescent="0.35">
      <c r="A2423" t="s">
        <v>2394</v>
      </c>
      <c r="B2423">
        <v>36</v>
      </c>
      <c r="C2423" t="s">
        <v>4803</v>
      </c>
      <c r="D2423" t="s">
        <v>13</v>
      </c>
      <c r="E2423">
        <v>78</v>
      </c>
      <c r="F2423">
        <v>59</v>
      </c>
      <c r="G2423" t="s">
        <v>4798</v>
      </c>
      <c r="H2423" t="s">
        <v>4804</v>
      </c>
      <c r="I2423">
        <v>13.99</v>
      </c>
      <c r="J2423">
        <v>3</v>
      </c>
      <c r="K2423">
        <v>2.6</v>
      </c>
      <c r="L2423">
        <v>1</v>
      </c>
      <c r="M2423" t="s">
        <v>4812</v>
      </c>
      <c r="N2423" t="s">
        <v>4899</v>
      </c>
      <c r="O2423" t="s">
        <v>4910</v>
      </c>
    </row>
    <row r="2424" spans="1:15" x14ac:dyDescent="0.35">
      <c r="A2424" t="s">
        <v>2395</v>
      </c>
      <c r="B2424">
        <v>52</v>
      </c>
      <c r="C2424" t="s">
        <v>4802</v>
      </c>
      <c r="D2424" t="s">
        <v>13</v>
      </c>
      <c r="E2424">
        <v>52</v>
      </c>
      <c r="F2424">
        <v>31</v>
      </c>
      <c r="G2424" t="s">
        <v>4797</v>
      </c>
      <c r="H2424" t="s">
        <v>4805</v>
      </c>
      <c r="I2424">
        <v>13.99</v>
      </c>
      <c r="J2424">
        <v>1</v>
      </c>
      <c r="K2424">
        <v>1.73</v>
      </c>
      <c r="L2424">
        <v>0</v>
      </c>
      <c r="M2424" t="s">
        <v>4811</v>
      </c>
      <c r="N2424" t="s">
        <v>4900</v>
      </c>
      <c r="O2424" t="s">
        <v>4910</v>
      </c>
    </row>
    <row r="2425" spans="1:15" x14ac:dyDescent="0.35">
      <c r="A2425" t="s">
        <v>2396</v>
      </c>
      <c r="B2425">
        <v>64</v>
      </c>
      <c r="C2425" t="s">
        <v>4802</v>
      </c>
      <c r="D2425" t="s">
        <v>13</v>
      </c>
      <c r="E2425">
        <v>60</v>
      </c>
      <c r="F2425">
        <v>48</v>
      </c>
      <c r="G2425" t="s">
        <v>4798</v>
      </c>
      <c r="H2425" t="s">
        <v>4806</v>
      </c>
      <c r="I2425">
        <v>13.99</v>
      </c>
      <c r="J2425">
        <v>4</v>
      </c>
      <c r="K2425">
        <v>2.0299999999999998</v>
      </c>
      <c r="L2425">
        <v>0</v>
      </c>
      <c r="M2425" t="s">
        <v>4809</v>
      </c>
      <c r="N2425" t="s">
        <v>4900</v>
      </c>
      <c r="O2425" t="s">
        <v>4911</v>
      </c>
    </row>
    <row r="2426" spans="1:15" x14ac:dyDescent="0.35">
      <c r="A2426" t="s">
        <v>2397</v>
      </c>
      <c r="B2426">
        <v>42</v>
      </c>
      <c r="C2426" t="s">
        <v>4803</v>
      </c>
      <c r="D2426" t="s">
        <v>14</v>
      </c>
      <c r="E2426">
        <v>35</v>
      </c>
      <c r="F2426">
        <v>24</v>
      </c>
      <c r="G2426" t="s">
        <v>4797</v>
      </c>
      <c r="H2426" t="s">
        <v>4806</v>
      </c>
      <c r="I2426">
        <v>8.99</v>
      </c>
      <c r="J2426">
        <v>1</v>
      </c>
      <c r="K2426">
        <v>1.17</v>
      </c>
      <c r="L2426">
        <v>0</v>
      </c>
      <c r="M2426" t="s">
        <v>4809</v>
      </c>
      <c r="N2426" t="s">
        <v>4900</v>
      </c>
      <c r="O2426" t="s">
        <v>4910</v>
      </c>
    </row>
    <row r="2427" spans="1:15" x14ac:dyDescent="0.35">
      <c r="A2427" t="s">
        <v>2398</v>
      </c>
      <c r="B2427">
        <v>51</v>
      </c>
      <c r="C2427" t="s">
        <v>4802</v>
      </c>
      <c r="D2427" t="s">
        <v>13</v>
      </c>
      <c r="E2427">
        <v>72</v>
      </c>
      <c r="F2427">
        <v>24</v>
      </c>
      <c r="G2427" t="s">
        <v>4799</v>
      </c>
      <c r="H2427" t="s">
        <v>4805</v>
      </c>
      <c r="I2427">
        <v>13.99</v>
      </c>
      <c r="J2427">
        <v>2</v>
      </c>
      <c r="K2427">
        <v>2.4</v>
      </c>
      <c r="L2427">
        <v>1</v>
      </c>
      <c r="M2427" t="s">
        <v>4812</v>
      </c>
      <c r="N2427" t="s">
        <v>4899</v>
      </c>
      <c r="O2427" t="s">
        <v>4910</v>
      </c>
    </row>
    <row r="2428" spans="1:15" x14ac:dyDescent="0.35">
      <c r="A2428" t="s">
        <v>2399</v>
      </c>
      <c r="B2428">
        <v>31</v>
      </c>
      <c r="C2428" t="s">
        <v>4803</v>
      </c>
      <c r="D2428" t="s">
        <v>14</v>
      </c>
      <c r="E2428">
        <v>35</v>
      </c>
      <c r="F2428">
        <v>49</v>
      </c>
      <c r="G2428" t="s">
        <v>4798</v>
      </c>
      <c r="H2428" t="s">
        <v>4804</v>
      </c>
      <c r="I2428">
        <v>8.99</v>
      </c>
      <c r="J2428">
        <v>1</v>
      </c>
      <c r="K2428">
        <v>1.17</v>
      </c>
      <c r="L2428">
        <v>0</v>
      </c>
      <c r="M2428" t="s">
        <v>4810</v>
      </c>
      <c r="N2428" t="s">
        <v>4900</v>
      </c>
      <c r="O2428" t="s">
        <v>4912</v>
      </c>
    </row>
    <row r="2429" spans="1:15" x14ac:dyDescent="0.35">
      <c r="A2429" t="s">
        <v>2400</v>
      </c>
      <c r="B2429">
        <v>61</v>
      </c>
      <c r="C2429" t="s">
        <v>4803</v>
      </c>
      <c r="D2429" t="s">
        <v>13</v>
      </c>
      <c r="E2429">
        <v>62</v>
      </c>
      <c r="F2429">
        <v>16</v>
      </c>
      <c r="G2429" t="s">
        <v>4797</v>
      </c>
      <c r="H2429" t="s">
        <v>4805</v>
      </c>
      <c r="I2429">
        <v>13.99</v>
      </c>
      <c r="J2429">
        <v>2</v>
      </c>
      <c r="K2429">
        <v>2.0699999999999998</v>
      </c>
      <c r="L2429">
        <v>0</v>
      </c>
      <c r="M2429" t="s">
        <v>4811</v>
      </c>
      <c r="N2429" t="s">
        <v>4900</v>
      </c>
      <c r="O2429" t="s">
        <v>4911</v>
      </c>
    </row>
    <row r="2430" spans="1:15" x14ac:dyDescent="0.35">
      <c r="A2430" t="s">
        <v>2401</v>
      </c>
      <c r="B2430">
        <v>22</v>
      </c>
      <c r="C2430" t="s">
        <v>4803</v>
      </c>
      <c r="D2430" t="s">
        <v>13</v>
      </c>
      <c r="E2430">
        <v>32</v>
      </c>
      <c r="F2430">
        <v>54</v>
      </c>
      <c r="G2430" t="s">
        <v>4798</v>
      </c>
      <c r="H2430" t="s">
        <v>4804</v>
      </c>
      <c r="I2430">
        <v>13.99</v>
      </c>
      <c r="J2430">
        <v>3</v>
      </c>
      <c r="K2430">
        <v>1.07</v>
      </c>
      <c r="L2430">
        <v>1</v>
      </c>
      <c r="M2430" t="s">
        <v>4808</v>
      </c>
      <c r="N2430" t="s">
        <v>4899</v>
      </c>
      <c r="O2430" t="s">
        <v>4912</v>
      </c>
    </row>
    <row r="2431" spans="1:15" x14ac:dyDescent="0.35">
      <c r="A2431" t="s">
        <v>2402</v>
      </c>
      <c r="B2431">
        <v>44</v>
      </c>
      <c r="C2431" t="s">
        <v>4802</v>
      </c>
      <c r="D2431" t="s">
        <v>13</v>
      </c>
      <c r="E2431">
        <v>53</v>
      </c>
      <c r="F2431">
        <v>33</v>
      </c>
      <c r="G2431" t="s">
        <v>4799</v>
      </c>
      <c r="H2431" t="s">
        <v>4805</v>
      </c>
      <c r="I2431">
        <v>13.99</v>
      </c>
      <c r="J2431">
        <v>2</v>
      </c>
      <c r="K2431">
        <v>1.77</v>
      </c>
      <c r="L2431">
        <v>0</v>
      </c>
      <c r="M2431" t="s">
        <v>4812</v>
      </c>
      <c r="N2431" t="s">
        <v>4900</v>
      </c>
      <c r="O2431" t="s">
        <v>4910</v>
      </c>
    </row>
    <row r="2432" spans="1:15" x14ac:dyDescent="0.35">
      <c r="A2432" t="s">
        <v>2403</v>
      </c>
      <c r="B2432">
        <v>33</v>
      </c>
      <c r="C2432" t="s">
        <v>4803</v>
      </c>
      <c r="D2432" t="s">
        <v>15</v>
      </c>
      <c r="E2432">
        <v>112</v>
      </c>
      <c r="F2432">
        <v>18</v>
      </c>
      <c r="G2432" t="s">
        <v>4798</v>
      </c>
      <c r="H2432" t="s">
        <v>4804</v>
      </c>
      <c r="I2432">
        <v>17.989999999999998</v>
      </c>
      <c r="J2432">
        <v>2</v>
      </c>
      <c r="K2432">
        <v>3.73</v>
      </c>
      <c r="L2432">
        <v>0</v>
      </c>
      <c r="M2432" t="s">
        <v>4812</v>
      </c>
      <c r="N2432" t="s">
        <v>4900</v>
      </c>
      <c r="O2432" t="s">
        <v>4912</v>
      </c>
    </row>
    <row r="2433" spans="1:15" x14ac:dyDescent="0.35">
      <c r="A2433" t="s">
        <v>2404</v>
      </c>
      <c r="B2433">
        <v>24</v>
      </c>
      <c r="C2433" t="s">
        <v>4803</v>
      </c>
      <c r="D2433" t="s">
        <v>15</v>
      </c>
      <c r="E2433">
        <v>72</v>
      </c>
      <c r="F2433">
        <v>5</v>
      </c>
      <c r="G2433" t="s">
        <v>4800</v>
      </c>
      <c r="H2433" t="s">
        <v>4804</v>
      </c>
      <c r="I2433">
        <v>17.989999999999998</v>
      </c>
      <c r="J2433">
        <v>5</v>
      </c>
      <c r="K2433">
        <v>2.4</v>
      </c>
      <c r="L2433">
        <v>0</v>
      </c>
      <c r="M2433" t="s">
        <v>4809</v>
      </c>
      <c r="N2433" t="s">
        <v>4900</v>
      </c>
      <c r="O2433" t="s">
        <v>4912</v>
      </c>
    </row>
    <row r="2434" spans="1:15" x14ac:dyDescent="0.35">
      <c r="A2434" t="s">
        <v>2405</v>
      </c>
      <c r="B2434">
        <v>43</v>
      </c>
      <c r="C2434" t="s">
        <v>4803</v>
      </c>
      <c r="D2434" t="s">
        <v>13</v>
      </c>
      <c r="E2434">
        <v>62</v>
      </c>
      <c r="F2434">
        <v>24</v>
      </c>
      <c r="G2434" t="s">
        <v>4799</v>
      </c>
      <c r="H2434" t="s">
        <v>4804</v>
      </c>
      <c r="I2434">
        <v>13.99</v>
      </c>
      <c r="J2434">
        <v>2</v>
      </c>
      <c r="K2434">
        <v>2.0699999999999998</v>
      </c>
      <c r="L2434">
        <v>0</v>
      </c>
      <c r="M2434" t="s">
        <v>4810</v>
      </c>
      <c r="N2434" t="s">
        <v>4900</v>
      </c>
      <c r="O2434" t="s">
        <v>4910</v>
      </c>
    </row>
    <row r="2435" spans="1:15" x14ac:dyDescent="0.35">
      <c r="A2435" t="s">
        <v>2406</v>
      </c>
      <c r="B2435">
        <v>23</v>
      </c>
      <c r="C2435" t="s">
        <v>4803</v>
      </c>
      <c r="D2435" t="s">
        <v>13</v>
      </c>
      <c r="E2435">
        <v>78</v>
      </c>
      <c r="F2435">
        <v>34</v>
      </c>
      <c r="G2435" t="s">
        <v>4797</v>
      </c>
      <c r="H2435" t="s">
        <v>4806</v>
      </c>
      <c r="I2435">
        <v>13.99</v>
      </c>
      <c r="J2435">
        <v>1</v>
      </c>
      <c r="K2435">
        <v>2.6</v>
      </c>
      <c r="L2435">
        <v>0</v>
      </c>
      <c r="M2435" t="s">
        <v>4811</v>
      </c>
      <c r="N2435" t="s">
        <v>4900</v>
      </c>
      <c r="O2435" t="s">
        <v>4912</v>
      </c>
    </row>
    <row r="2436" spans="1:15" x14ac:dyDescent="0.35">
      <c r="A2436" t="s">
        <v>2407</v>
      </c>
      <c r="B2436">
        <v>47</v>
      </c>
      <c r="C2436" t="s">
        <v>4802</v>
      </c>
      <c r="D2436" t="s">
        <v>13</v>
      </c>
      <c r="E2436">
        <v>70</v>
      </c>
      <c r="F2436">
        <v>50</v>
      </c>
      <c r="G2436" t="s">
        <v>4798</v>
      </c>
      <c r="H2436" t="s">
        <v>4804</v>
      </c>
      <c r="I2436">
        <v>13.99</v>
      </c>
      <c r="J2436">
        <v>1</v>
      </c>
      <c r="K2436">
        <v>2.33</v>
      </c>
      <c r="L2436">
        <v>0</v>
      </c>
      <c r="M2436" t="s">
        <v>4809</v>
      </c>
      <c r="N2436" t="s">
        <v>4900</v>
      </c>
      <c r="O2436" t="s">
        <v>4910</v>
      </c>
    </row>
    <row r="2437" spans="1:15" x14ac:dyDescent="0.35">
      <c r="A2437" t="s">
        <v>2408</v>
      </c>
      <c r="B2437">
        <v>27</v>
      </c>
      <c r="C2437" t="s">
        <v>4803</v>
      </c>
      <c r="D2437" t="s">
        <v>13</v>
      </c>
      <c r="E2437">
        <v>43</v>
      </c>
      <c r="F2437">
        <v>34</v>
      </c>
      <c r="G2437" t="s">
        <v>4798</v>
      </c>
      <c r="H2437" t="s">
        <v>4804</v>
      </c>
      <c r="I2437">
        <v>13.99</v>
      </c>
      <c r="J2437">
        <v>1</v>
      </c>
      <c r="K2437">
        <v>1.43</v>
      </c>
      <c r="L2437">
        <v>0</v>
      </c>
      <c r="M2437" t="s">
        <v>4812</v>
      </c>
      <c r="N2437" t="s">
        <v>4900</v>
      </c>
      <c r="O2437" t="s">
        <v>4912</v>
      </c>
    </row>
    <row r="2438" spans="1:15" x14ac:dyDescent="0.35">
      <c r="A2438" t="s">
        <v>4835</v>
      </c>
      <c r="B2438">
        <v>65</v>
      </c>
      <c r="C2438" t="s">
        <v>4803</v>
      </c>
      <c r="D2438" t="s">
        <v>15</v>
      </c>
      <c r="E2438">
        <v>84</v>
      </c>
      <c r="F2438">
        <v>6</v>
      </c>
      <c r="G2438" t="s">
        <v>4798</v>
      </c>
      <c r="H2438" t="s">
        <v>4804</v>
      </c>
      <c r="I2438">
        <v>17.989999999999998</v>
      </c>
      <c r="J2438">
        <v>3</v>
      </c>
      <c r="K2438">
        <v>2.8</v>
      </c>
      <c r="L2438">
        <v>0</v>
      </c>
      <c r="M2438" t="s">
        <v>4809</v>
      </c>
      <c r="N2438" t="s">
        <v>4900</v>
      </c>
      <c r="O2438" t="s">
        <v>4911</v>
      </c>
    </row>
    <row r="2439" spans="1:15" x14ac:dyDescent="0.35">
      <c r="A2439" t="s">
        <v>2409</v>
      </c>
      <c r="B2439">
        <v>34</v>
      </c>
      <c r="C2439" t="s">
        <v>4803</v>
      </c>
      <c r="D2439" t="s">
        <v>15</v>
      </c>
      <c r="E2439">
        <v>72</v>
      </c>
      <c r="F2439">
        <v>31</v>
      </c>
      <c r="G2439" t="s">
        <v>4799</v>
      </c>
      <c r="H2439" t="s">
        <v>4805</v>
      </c>
      <c r="I2439">
        <v>17.989999999999998</v>
      </c>
      <c r="J2439">
        <v>4</v>
      </c>
      <c r="K2439">
        <v>2.4</v>
      </c>
      <c r="L2439">
        <v>0</v>
      </c>
      <c r="M2439" t="s">
        <v>4809</v>
      </c>
      <c r="N2439" t="s">
        <v>4900</v>
      </c>
      <c r="O2439" t="s">
        <v>4912</v>
      </c>
    </row>
    <row r="2440" spans="1:15" x14ac:dyDescent="0.35">
      <c r="A2440" t="s">
        <v>2410</v>
      </c>
      <c r="B2440">
        <v>43</v>
      </c>
      <c r="C2440" t="s">
        <v>4802</v>
      </c>
      <c r="D2440" t="s">
        <v>15</v>
      </c>
      <c r="E2440">
        <v>113</v>
      </c>
      <c r="F2440">
        <v>35</v>
      </c>
      <c r="G2440" t="s">
        <v>4799</v>
      </c>
      <c r="H2440" t="s">
        <v>4805</v>
      </c>
      <c r="I2440">
        <v>17.989999999999998</v>
      </c>
      <c r="J2440">
        <v>2</v>
      </c>
      <c r="K2440">
        <v>3.77</v>
      </c>
      <c r="L2440">
        <v>0</v>
      </c>
      <c r="M2440" t="s">
        <v>4809</v>
      </c>
      <c r="N2440" t="s">
        <v>4900</v>
      </c>
      <c r="O2440" t="s">
        <v>4910</v>
      </c>
    </row>
    <row r="2441" spans="1:15" x14ac:dyDescent="0.35">
      <c r="A2441" t="s">
        <v>2411</v>
      </c>
      <c r="B2441">
        <v>55</v>
      </c>
      <c r="C2441" t="s">
        <v>4803</v>
      </c>
      <c r="D2441" t="s">
        <v>13</v>
      </c>
      <c r="E2441">
        <v>72</v>
      </c>
      <c r="F2441">
        <v>15</v>
      </c>
      <c r="G2441" t="s">
        <v>4798</v>
      </c>
      <c r="H2441" t="s">
        <v>4805</v>
      </c>
      <c r="I2441">
        <v>13.99</v>
      </c>
      <c r="J2441">
        <v>2</v>
      </c>
      <c r="K2441">
        <v>2.4</v>
      </c>
      <c r="L2441">
        <v>0</v>
      </c>
      <c r="M2441" t="s">
        <v>4812</v>
      </c>
      <c r="N2441" t="s">
        <v>4900</v>
      </c>
      <c r="O2441" t="s">
        <v>4911</v>
      </c>
    </row>
    <row r="2442" spans="1:15" x14ac:dyDescent="0.35">
      <c r="A2442" t="s">
        <v>2412</v>
      </c>
      <c r="B2442">
        <v>57</v>
      </c>
      <c r="C2442" t="s">
        <v>4803</v>
      </c>
      <c r="D2442" t="s">
        <v>15</v>
      </c>
      <c r="E2442">
        <v>37</v>
      </c>
      <c r="F2442">
        <v>34</v>
      </c>
      <c r="G2442" t="s">
        <v>4798</v>
      </c>
      <c r="H2442" t="s">
        <v>4804</v>
      </c>
      <c r="I2442">
        <v>17.989999999999998</v>
      </c>
      <c r="J2442">
        <v>1</v>
      </c>
      <c r="K2442">
        <v>1.23</v>
      </c>
      <c r="L2442">
        <v>0</v>
      </c>
      <c r="M2442" t="s">
        <v>4809</v>
      </c>
      <c r="N2442" t="s">
        <v>4900</v>
      </c>
      <c r="O2442" t="s">
        <v>4911</v>
      </c>
    </row>
    <row r="2443" spans="1:15" x14ac:dyDescent="0.35">
      <c r="A2443" t="s">
        <v>2413</v>
      </c>
      <c r="B2443">
        <v>63</v>
      </c>
      <c r="C2443" t="s">
        <v>4803</v>
      </c>
      <c r="D2443" t="s">
        <v>13</v>
      </c>
      <c r="E2443">
        <v>69</v>
      </c>
      <c r="F2443">
        <v>33</v>
      </c>
      <c r="G2443" t="s">
        <v>4799</v>
      </c>
      <c r="H2443" t="s">
        <v>4804</v>
      </c>
      <c r="I2443">
        <v>13.99</v>
      </c>
      <c r="J2443">
        <v>2</v>
      </c>
      <c r="K2443">
        <v>2.2999999999999998</v>
      </c>
      <c r="L2443">
        <v>0</v>
      </c>
      <c r="M2443" t="s">
        <v>4810</v>
      </c>
      <c r="N2443" t="s">
        <v>4900</v>
      </c>
      <c r="O2443" t="s">
        <v>4911</v>
      </c>
    </row>
    <row r="2444" spans="1:15" x14ac:dyDescent="0.35">
      <c r="A2444" t="s">
        <v>2414</v>
      </c>
      <c r="B2444">
        <v>23</v>
      </c>
      <c r="C2444" t="s">
        <v>4803</v>
      </c>
      <c r="D2444" t="s">
        <v>13</v>
      </c>
      <c r="E2444">
        <v>70</v>
      </c>
      <c r="F2444">
        <v>45</v>
      </c>
      <c r="G2444" t="s">
        <v>4799</v>
      </c>
      <c r="H2444" t="s">
        <v>4805</v>
      </c>
      <c r="I2444">
        <v>13.99</v>
      </c>
      <c r="J2444">
        <v>3</v>
      </c>
      <c r="K2444">
        <v>2.33</v>
      </c>
      <c r="L2444">
        <v>0</v>
      </c>
      <c r="M2444" t="s">
        <v>4812</v>
      </c>
      <c r="N2444" t="s">
        <v>4900</v>
      </c>
      <c r="O2444" t="s">
        <v>4912</v>
      </c>
    </row>
    <row r="2445" spans="1:15" x14ac:dyDescent="0.35">
      <c r="A2445" t="s">
        <v>2415</v>
      </c>
      <c r="B2445">
        <v>42</v>
      </c>
      <c r="C2445" t="s">
        <v>4803</v>
      </c>
      <c r="D2445" t="s">
        <v>15</v>
      </c>
      <c r="E2445">
        <v>73</v>
      </c>
      <c r="F2445">
        <v>46</v>
      </c>
      <c r="G2445" t="s">
        <v>4799</v>
      </c>
      <c r="H2445" t="s">
        <v>4805</v>
      </c>
      <c r="I2445">
        <v>17.989999999999998</v>
      </c>
      <c r="J2445">
        <v>3</v>
      </c>
      <c r="K2445">
        <v>2.4300000000000002</v>
      </c>
      <c r="L2445">
        <v>1</v>
      </c>
      <c r="M2445" t="s">
        <v>4811</v>
      </c>
      <c r="N2445" t="s">
        <v>4899</v>
      </c>
      <c r="O2445" t="s">
        <v>4910</v>
      </c>
    </row>
    <row r="2446" spans="1:15" x14ac:dyDescent="0.35">
      <c r="A2446" t="s">
        <v>2416</v>
      </c>
      <c r="B2446">
        <v>41</v>
      </c>
      <c r="C2446" t="s">
        <v>4802</v>
      </c>
      <c r="D2446" t="s">
        <v>13</v>
      </c>
      <c r="E2446">
        <v>52</v>
      </c>
      <c r="F2446">
        <v>29</v>
      </c>
      <c r="G2446" t="s">
        <v>4798</v>
      </c>
      <c r="H2446" t="s">
        <v>4806</v>
      </c>
      <c r="I2446">
        <v>13.99</v>
      </c>
      <c r="J2446">
        <v>4</v>
      </c>
      <c r="K2446">
        <v>1.73</v>
      </c>
      <c r="L2446">
        <v>1</v>
      </c>
      <c r="M2446" t="s">
        <v>4811</v>
      </c>
      <c r="N2446" t="s">
        <v>4899</v>
      </c>
      <c r="O2446" t="s">
        <v>4910</v>
      </c>
    </row>
    <row r="2447" spans="1:15" x14ac:dyDescent="0.35">
      <c r="A2447" t="s">
        <v>2417</v>
      </c>
      <c r="B2447">
        <v>31</v>
      </c>
      <c r="C2447" t="s">
        <v>4802</v>
      </c>
      <c r="D2447" t="s">
        <v>13</v>
      </c>
      <c r="E2447">
        <v>38</v>
      </c>
      <c r="F2447">
        <v>51</v>
      </c>
      <c r="G2447" t="s">
        <v>4798</v>
      </c>
      <c r="H2447" t="s">
        <v>4805</v>
      </c>
      <c r="I2447">
        <v>13.99</v>
      </c>
      <c r="J2447">
        <v>2</v>
      </c>
      <c r="K2447">
        <v>1.27</v>
      </c>
      <c r="L2447">
        <v>1</v>
      </c>
      <c r="M2447" t="s">
        <v>4809</v>
      </c>
      <c r="N2447" t="s">
        <v>4899</v>
      </c>
      <c r="O2447" t="s">
        <v>4912</v>
      </c>
    </row>
    <row r="2448" spans="1:15" x14ac:dyDescent="0.35">
      <c r="A2448" t="s">
        <v>2418</v>
      </c>
      <c r="B2448">
        <v>61</v>
      </c>
      <c r="C2448" t="s">
        <v>4803</v>
      </c>
      <c r="D2448" t="s">
        <v>13</v>
      </c>
      <c r="E2448">
        <v>52</v>
      </c>
      <c r="F2448">
        <v>11</v>
      </c>
      <c r="G2448" t="s">
        <v>4797</v>
      </c>
      <c r="H2448" t="s">
        <v>4804</v>
      </c>
      <c r="I2448">
        <v>13.99</v>
      </c>
      <c r="J2448">
        <v>4</v>
      </c>
      <c r="K2448">
        <v>1.73</v>
      </c>
      <c r="L2448">
        <v>0</v>
      </c>
      <c r="M2448" t="s">
        <v>4811</v>
      </c>
      <c r="N2448" t="s">
        <v>4900</v>
      </c>
      <c r="O2448" t="s">
        <v>4911</v>
      </c>
    </row>
    <row r="2449" spans="1:15" x14ac:dyDescent="0.35">
      <c r="A2449" t="s">
        <v>2419</v>
      </c>
      <c r="B2449">
        <v>28</v>
      </c>
      <c r="C2449" t="s">
        <v>4803</v>
      </c>
      <c r="D2449" t="s">
        <v>15</v>
      </c>
      <c r="E2449">
        <v>63</v>
      </c>
      <c r="F2449">
        <v>5</v>
      </c>
      <c r="G2449" t="s">
        <v>4799</v>
      </c>
      <c r="H2449" t="s">
        <v>4804</v>
      </c>
      <c r="I2449">
        <v>17.989999999999998</v>
      </c>
      <c r="J2449">
        <v>4</v>
      </c>
      <c r="K2449">
        <v>2.1</v>
      </c>
      <c r="L2449">
        <v>0</v>
      </c>
      <c r="M2449" t="s">
        <v>4812</v>
      </c>
      <c r="N2449" t="s">
        <v>4900</v>
      </c>
      <c r="O2449" t="s">
        <v>4912</v>
      </c>
    </row>
    <row r="2450" spans="1:15" x14ac:dyDescent="0.35">
      <c r="A2450" t="s">
        <v>2420</v>
      </c>
      <c r="B2450">
        <v>65</v>
      </c>
      <c r="C2450" t="s">
        <v>4803</v>
      </c>
      <c r="D2450" t="s">
        <v>15</v>
      </c>
      <c r="E2450">
        <v>93</v>
      </c>
      <c r="F2450">
        <v>53</v>
      </c>
      <c r="G2450" t="s">
        <v>4800</v>
      </c>
      <c r="H2450" t="s">
        <v>4805</v>
      </c>
      <c r="I2450">
        <v>17.989999999999998</v>
      </c>
      <c r="J2450">
        <v>3</v>
      </c>
      <c r="K2450">
        <v>2.0299999999999998</v>
      </c>
      <c r="L2450">
        <v>0</v>
      </c>
      <c r="M2450" t="s">
        <v>4808</v>
      </c>
      <c r="N2450" t="s">
        <v>4900</v>
      </c>
      <c r="O2450" t="s">
        <v>4911</v>
      </c>
    </row>
    <row r="2451" spans="1:15" x14ac:dyDescent="0.35">
      <c r="A2451" t="s">
        <v>2421</v>
      </c>
      <c r="B2451">
        <v>61</v>
      </c>
      <c r="C2451" t="s">
        <v>4803</v>
      </c>
      <c r="D2451" t="s">
        <v>13</v>
      </c>
      <c r="E2451">
        <v>79</v>
      </c>
      <c r="F2451">
        <v>45</v>
      </c>
      <c r="G2451" t="s">
        <v>4798</v>
      </c>
      <c r="H2451" t="s">
        <v>4804</v>
      </c>
      <c r="I2451">
        <v>13.99</v>
      </c>
      <c r="J2451">
        <v>4</v>
      </c>
      <c r="K2451">
        <v>2.63</v>
      </c>
      <c r="L2451">
        <v>0</v>
      </c>
      <c r="M2451" t="s">
        <v>4808</v>
      </c>
      <c r="N2451" t="s">
        <v>4900</v>
      </c>
      <c r="O2451" t="s">
        <v>4911</v>
      </c>
    </row>
    <row r="2452" spans="1:15" x14ac:dyDescent="0.35">
      <c r="A2452" t="s">
        <v>2422</v>
      </c>
      <c r="B2452">
        <v>36</v>
      </c>
      <c r="C2452" t="s">
        <v>4802</v>
      </c>
      <c r="D2452" t="s">
        <v>13</v>
      </c>
      <c r="E2452">
        <v>70</v>
      </c>
      <c r="F2452">
        <v>24</v>
      </c>
      <c r="G2452" t="s">
        <v>4799</v>
      </c>
      <c r="H2452" t="s">
        <v>4805</v>
      </c>
      <c r="I2452">
        <v>13.99</v>
      </c>
      <c r="J2452">
        <v>2</v>
      </c>
      <c r="K2452">
        <v>2.33</v>
      </c>
      <c r="L2452">
        <v>1</v>
      </c>
      <c r="M2452" t="s">
        <v>4812</v>
      </c>
      <c r="N2452" t="s">
        <v>4899</v>
      </c>
      <c r="O2452" t="s">
        <v>4910</v>
      </c>
    </row>
    <row r="2453" spans="1:15" x14ac:dyDescent="0.35">
      <c r="A2453" t="s">
        <v>2423</v>
      </c>
      <c r="B2453">
        <v>18</v>
      </c>
      <c r="C2453" t="s">
        <v>4802</v>
      </c>
      <c r="D2453" t="s">
        <v>13</v>
      </c>
      <c r="E2453">
        <v>46</v>
      </c>
      <c r="F2453">
        <v>34</v>
      </c>
      <c r="G2453" t="s">
        <v>4798</v>
      </c>
      <c r="H2453" t="s">
        <v>4805</v>
      </c>
      <c r="I2453">
        <v>13.99</v>
      </c>
      <c r="J2453">
        <v>1</v>
      </c>
      <c r="K2453">
        <v>1.53</v>
      </c>
      <c r="L2453">
        <v>0</v>
      </c>
      <c r="M2453" t="s">
        <v>4811</v>
      </c>
      <c r="N2453" t="s">
        <v>4900</v>
      </c>
      <c r="O2453" t="s">
        <v>4912</v>
      </c>
    </row>
    <row r="2454" spans="1:15" x14ac:dyDescent="0.35">
      <c r="A2454" t="s">
        <v>2424</v>
      </c>
      <c r="B2454">
        <v>25</v>
      </c>
      <c r="C2454" t="s">
        <v>4803</v>
      </c>
      <c r="D2454" t="s">
        <v>13</v>
      </c>
      <c r="E2454">
        <v>75</v>
      </c>
      <c r="F2454">
        <v>49</v>
      </c>
      <c r="G2454" t="s">
        <v>4799</v>
      </c>
      <c r="H2454" t="s">
        <v>4805</v>
      </c>
      <c r="I2454">
        <v>13.99</v>
      </c>
      <c r="J2454">
        <v>2</v>
      </c>
      <c r="K2454">
        <v>2.0299999999999998</v>
      </c>
      <c r="L2454">
        <v>0</v>
      </c>
      <c r="M2454" t="s">
        <v>4808</v>
      </c>
      <c r="N2454" t="s">
        <v>4900</v>
      </c>
      <c r="O2454" t="s">
        <v>4912</v>
      </c>
    </row>
    <row r="2455" spans="1:15" x14ac:dyDescent="0.35">
      <c r="A2455" t="s">
        <v>2425</v>
      </c>
      <c r="B2455">
        <v>59</v>
      </c>
      <c r="C2455" t="s">
        <v>4802</v>
      </c>
      <c r="D2455" t="s">
        <v>13</v>
      </c>
      <c r="E2455">
        <v>69</v>
      </c>
      <c r="F2455">
        <v>59</v>
      </c>
      <c r="G2455" t="s">
        <v>4798</v>
      </c>
      <c r="H2455" t="s">
        <v>4805</v>
      </c>
      <c r="I2455">
        <v>13.99</v>
      </c>
      <c r="J2455">
        <v>3</v>
      </c>
      <c r="K2455">
        <v>2.2999999999999998</v>
      </c>
      <c r="L2455">
        <v>0</v>
      </c>
      <c r="M2455" t="s">
        <v>4810</v>
      </c>
      <c r="N2455" t="s">
        <v>4900</v>
      </c>
      <c r="O2455" t="s">
        <v>4911</v>
      </c>
    </row>
    <row r="2456" spans="1:15" x14ac:dyDescent="0.35">
      <c r="A2456" t="s">
        <v>2426</v>
      </c>
      <c r="B2456">
        <v>20</v>
      </c>
      <c r="C2456" t="s">
        <v>4802</v>
      </c>
      <c r="D2456" t="s">
        <v>13</v>
      </c>
      <c r="E2456">
        <v>77</v>
      </c>
      <c r="F2456">
        <v>53</v>
      </c>
      <c r="G2456" t="s">
        <v>4798</v>
      </c>
      <c r="H2456" t="s">
        <v>4805</v>
      </c>
      <c r="I2456">
        <v>13.99</v>
      </c>
      <c r="J2456">
        <v>4</v>
      </c>
      <c r="K2456">
        <v>2.57</v>
      </c>
      <c r="L2456">
        <v>0</v>
      </c>
      <c r="M2456" t="s">
        <v>4810</v>
      </c>
      <c r="N2456" t="s">
        <v>4900</v>
      </c>
      <c r="O2456" t="s">
        <v>4912</v>
      </c>
    </row>
    <row r="2457" spans="1:15" x14ac:dyDescent="0.35">
      <c r="A2457" t="s">
        <v>2427</v>
      </c>
      <c r="B2457">
        <v>19</v>
      </c>
      <c r="C2457" t="s">
        <v>4802</v>
      </c>
      <c r="D2457" t="s">
        <v>15</v>
      </c>
      <c r="E2457">
        <v>100</v>
      </c>
      <c r="F2457">
        <v>8</v>
      </c>
      <c r="G2457" t="s">
        <v>4799</v>
      </c>
      <c r="H2457" t="s">
        <v>4804</v>
      </c>
      <c r="I2457">
        <v>17.989999999999998</v>
      </c>
      <c r="J2457">
        <v>3</v>
      </c>
      <c r="K2457">
        <v>3.33</v>
      </c>
      <c r="L2457">
        <v>0</v>
      </c>
      <c r="M2457" t="s">
        <v>4812</v>
      </c>
      <c r="N2457" t="s">
        <v>4900</v>
      </c>
      <c r="O2457" t="s">
        <v>4912</v>
      </c>
    </row>
    <row r="2458" spans="1:15" x14ac:dyDescent="0.35">
      <c r="A2458" t="s">
        <v>2428</v>
      </c>
      <c r="B2458">
        <v>47</v>
      </c>
      <c r="C2458" t="s">
        <v>4803</v>
      </c>
      <c r="D2458" t="s">
        <v>13</v>
      </c>
      <c r="E2458">
        <v>61</v>
      </c>
      <c r="F2458">
        <v>42</v>
      </c>
      <c r="G2458" t="s">
        <v>4798</v>
      </c>
      <c r="H2458" t="s">
        <v>4806</v>
      </c>
      <c r="I2458">
        <v>13.99</v>
      </c>
      <c r="J2458">
        <v>3</v>
      </c>
      <c r="K2458">
        <v>2.0299999999999998</v>
      </c>
      <c r="L2458">
        <v>0</v>
      </c>
      <c r="M2458" t="s">
        <v>4811</v>
      </c>
      <c r="N2458" t="s">
        <v>4900</v>
      </c>
      <c r="O2458" t="s">
        <v>4910</v>
      </c>
    </row>
    <row r="2459" spans="1:15" x14ac:dyDescent="0.35">
      <c r="A2459" t="s">
        <v>2429</v>
      </c>
      <c r="B2459">
        <v>43</v>
      </c>
      <c r="C2459" t="s">
        <v>4803</v>
      </c>
      <c r="D2459" t="s">
        <v>13</v>
      </c>
      <c r="E2459">
        <v>72</v>
      </c>
      <c r="F2459">
        <v>47</v>
      </c>
      <c r="G2459" t="s">
        <v>4798</v>
      </c>
      <c r="H2459" t="s">
        <v>4806</v>
      </c>
      <c r="I2459">
        <v>13.99</v>
      </c>
      <c r="J2459">
        <v>4</v>
      </c>
      <c r="K2459">
        <v>2.4</v>
      </c>
      <c r="L2459">
        <v>0</v>
      </c>
      <c r="M2459" t="s">
        <v>4809</v>
      </c>
      <c r="N2459" t="s">
        <v>4900</v>
      </c>
      <c r="O2459" t="s">
        <v>4910</v>
      </c>
    </row>
    <row r="2460" spans="1:15" x14ac:dyDescent="0.35">
      <c r="A2460" t="s">
        <v>2430</v>
      </c>
      <c r="B2460">
        <v>34</v>
      </c>
      <c r="C2460" t="s">
        <v>4803</v>
      </c>
      <c r="D2460" t="s">
        <v>13</v>
      </c>
      <c r="E2460">
        <v>38</v>
      </c>
      <c r="F2460">
        <v>39</v>
      </c>
      <c r="G2460" t="s">
        <v>4798</v>
      </c>
      <c r="H2460" t="s">
        <v>4806</v>
      </c>
      <c r="I2460">
        <v>13.99</v>
      </c>
      <c r="J2460">
        <v>4</v>
      </c>
      <c r="K2460">
        <v>1.27</v>
      </c>
      <c r="L2460">
        <v>1</v>
      </c>
      <c r="M2460" t="s">
        <v>4812</v>
      </c>
      <c r="N2460" t="s">
        <v>4899</v>
      </c>
      <c r="O2460" t="s">
        <v>4912</v>
      </c>
    </row>
    <row r="2461" spans="1:15" x14ac:dyDescent="0.35">
      <c r="A2461" t="s">
        <v>2431</v>
      </c>
      <c r="B2461">
        <v>49</v>
      </c>
      <c r="C2461" t="s">
        <v>4803</v>
      </c>
      <c r="D2461" t="s">
        <v>13</v>
      </c>
      <c r="E2461">
        <v>41</v>
      </c>
      <c r="F2461">
        <v>44</v>
      </c>
      <c r="G2461" t="s">
        <v>4798</v>
      </c>
      <c r="H2461" t="s">
        <v>4806</v>
      </c>
      <c r="I2461">
        <v>13.99</v>
      </c>
      <c r="J2461">
        <v>1</v>
      </c>
      <c r="K2461">
        <v>1.37</v>
      </c>
      <c r="L2461">
        <v>0</v>
      </c>
      <c r="M2461" t="s">
        <v>4809</v>
      </c>
      <c r="N2461" t="s">
        <v>4900</v>
      </c>
      <c r="O2461" t="s">
        <v>4910</v>
      </c>
    </row>
    <row r="2462" spans="1:15" x14ac:dyDescent="0.35">
      <c r="A2462" t="s">
        <v>2432</v>
      </c>
      <c r="B2462">
        <v>65</v>
      </c>
      <c r="C2462" t="s">
        <v>4802</v>
      </c>
      <c r="D2462" t="s">
        <v>13</v>
      </c>
      <c r="E2462">
        <v>80</v>
      </c>
      <c r="F2462">
        <v>13</v>
      </c>
      <c r="G2462" t="s">
        <v>4799</v>
      </c>
      <c r="H2462" t="s">
        <v>4805</v>
      </c>
      <c r="I2462">
        <v>13.99</v>
      </c>
      <c r="J2462">
        <v>3</v>
      </c>
      <c r="K2462">
        <v>2.67</v>
      </c>
      <c r="L2462">
        <v>0</v>
      </c>
      <c r="M2462" t="s">
        <v>4808</v>
      </c>
      <c r="N2462" t="s">
        <v>4900</v>
      </c>
      <c r="O2462" t="s">
        <v>4911</v>
      </c>
    </row>
    <row r="2463" spans="1:15" x14ac:dyDescent="0.35">
      <c r="A2463" t="s">
        <v>2433</v>
      </c>
      <c r="B2463">
        <v>37</v>
      </c>
      <c r="C2463" t="s">
        <v>4803</v>
      </c>
      <c r="D2463" t="s">
        <v>13</v>
      </c>
      <c r="E2463">
        <v>54</v>
      </c>
      <c r="F2463">
        <v>56</v>
      </c>
      <c r="G2463" t="s">
        <v>4798</v>
      </c>
      <c r="H2463" t="s">
        <v>4804</v>
      </c>
      <c r="I2463">
        <v>13.99</v>
      </c>
      <c r="J2463">
        <v>2</v>
      </c>
      <c r="K2463">
        <v>1.8</v>
      </c>
      <c r="L2463">
        <v>0</v>
      </c>
      <c r="M2463" t="s">
        <v>4811</v>
      </c>
      <c r="N2463" t="s">
        <v>4900</v>
      </c>
      <c r="O2463" t="s">
        <v>4910</v>
      </c>
    </row>
    <row r="2464" spans="1:15" x14ac:dyDescent="0.35">
      <c r="A2464" t="s">
        <v>2434</v>
      </c>
      <c r="B2464">
        <v>33</v>
      </c>
      <c r="C2464" t="s">
        <v>4802</v>
      </c>
      <c r="D2464" t="s">
        <v>13</v>
      </c>
      <c r="E2464">
        <v>79</v>
      </c>
      <c r="F2464">
        <v>13</v>
      </c>
      <c r="G2464" t="s">
        <v>4797</v>
      </c>
      <c r="H2464" t="s">
        <v>4806</v>
      </c>
      <c r="I2464">
        <v>13.99</v>
      </c>
      <c r="J2464">
        <v>1</v>
      </c>
      <c r="K2464">
        <v>2.63</v>
      </c>
      <c r="L2464">
        <v>0</v>
      </c>
      <c r="M2464" t="s">
        <v>4809</v>
      </c>
      <c r="N2464" t="s">
        <v>4900</v>
      </c>
      <c r="O2464" t="s">
        <v>4912</v>
      </c>
    </row>
    <row r="2465" spans="1:15" x14ac:dyDescent="0.35">
      <c r="A2465" t="s">
        <v>2435</v>
      </c>
      <c r="B2465">
        <v>29</v>
      </c>
      <c r="C2465" t="s">
        <v>4802</v>
      </c>
      <c r="D2465" t="s">
        <v>13</v>
      </c>
      <c r="E2465">
        <v>77</v>
      </c>
      <c r="F2465">
        <v>5</v>
      </c>
      <c r="G2465" t="s">
        <v>4798</v>
      </c>
      <c r="H2465" t="s">
        <v>4805</v>
      </c>
      <c r="I2465">
        <v>13.99</v>
      </c>
      <c r="J2465">
        <v>4</v>
      </c>
      <c r="K2465">
        <v>2.57</v>
      </c>
      <c r="L2465">
        <v>0</v>
      </c>
      <c r="M2465" t="s">
        <v>4809</v>
      </c>
      <c r="N2465" t="s">
        <v>4900</v>
      </c>
      <c r="O2465" t="s">
        <v>4912</v>
      </c>
    </row>
    <row r="2466" spans="1:15" x14ac:dyDescent="0.35">
      <c r="A2466" t="s">
        <v>2436</v>
      </c>
      <c r="B2466">
        <v>44</v>
      </c>
      <c r="C2466" t="s">
        <v>4803</v>
      </c>
      <c r="D2466" t="s">
        <v>14</v>
      </c>
      <c r="E2466">
        <v>45</v>
      </c>
      <c r="F2466">
        <v>36</v>
      </c>
      <c r="G2466" t="s">
        <v>4798</v>
      </c>
      <c r="H2466" t="s">
        <v>4806</v>
      </c>
      <c r="I2466">
        <v>8.99</v>
      </c>
      <c r="J2466">
        <v>2</v>
      </c>
      <c r="K2466">
        <v>1.5</v>
      </c>
      <c r="L2466">
        <v>0</v>
      </c>
      <c r="M2466" t="s">
        <v>4808</v>
      </c>
      <c r="N2466" t="s">
        <v>4900</v>
      </c>
      <c r="O2466" t="s">
        <v>4910</v>
      </c>
    </row>
    <row r="2467" spans="1:15" x14ac:dyDescent="0.35">
      <c r="A2467" t="s">
        <v>2437</v>
      </c>
      <c r="B2467">
        <v>55</v>
      </c>
      <c r="C2467" t="s">
        <v>4803</v>
      </c>
      <c r="D2467" t="s">
        <v>13</v>
      </c>
      <c r="E2467">
        <v>36</v>
      </c>
      <c r="F2467">
        <v>22</v>
      </c>
      <c r="G2467" t="s">
        <v>4797</v>
      </c>
      <c r="H2467" t="s">
        <v>4804</v>
      </c>
      <c r="I2467">
        <v>13.99</v>
      </c>
      <c r="J2467">
        <v>2</v>
      </c>
      <c r="K2467">
        <v>1.2</v>
      </c>
      <c r="L2467">
        <v>1</v>
      </c>
      <c r="M2467" t="s">
        <v>4809</v>
      </c>
      <c r="N2467" t="s">
        <v>4899</v>
      </c>
      <c r="O2467" t="s">
        <v>4911</v>
      </c>
    </row>
    <row r="2468" spans="1:15" x14ac:dyDescent="0.35">
      <c r="A2468" t="s">
        <v>2438</v>
      </c>
      <c r="B2468">
        <v>64</v>
      </c>
      <c r="C2468" t="s">
        <v>4802</v>
      </c>
      <c r="D2468" t="s">
        <v>13</v>
      </c>
      <c r="E2468">
        <v>76</v>
      </c>
      <c r="F2468">
        <v>11</v>
      </c>
      <c r="G2468" t="s">
        <v>4799</v>
      </c>
      <c r="H2468" t="s">
        <v>4805</v>
      </c>
      <c r="I2468">
        <v>13.99</v>
      </c>
      <c r="J2468">
        <v>3</v>
      </c>
      <c r="K2468">
        <v>5</v>
      </c>
      <c r="L2468">
        <v>0</v>
      </c>
      <c r="M2468" t="s">
        <v>4812</v>
      </c>
      <c r="N2468" t="s">
        <v>4900</v>
      </c>
      <c r="O2468" t="s">
        <v>4911</v>
      </c>
    </row>
    <row r="2469" spans="1:15" x14ac:dyDescent="0.35">
      <c r="A2469" t="s">
        <v>2439</v>
      </c>
      <c r="B2469">
        <v>48</v>
      </c>
      <c r="C2469" t="s">
        <v>4802</v>
      </c>
      <c r="D2469" t="s">
        <v>15</v>
      </c>
      <c r="E2469">
        <v>91</v>
      </c>
      <c r="F2469">
        <v>12</v>
      </c>
      <c r="G2469" t="s">
        <v>4797</v>
      </c>
      <c r="H2469" t="s">
        <v>4804</v>
      </c>
      <c r="I2469">
        <v>17.989999999999998</v>
      </c>
      <c r="J2469">
        <v>5</v>
      </c>
      <c r="K2469">
        <v>3.03</v>
      </c>
      <c r="L2469">
        <v>0</v>
      </c>
      <c r="M2469" t="s">
        <v>4811</v>
      </c>
      <c r="N2469" t="s">
        <v>4900</v>
      </c>
      <c r="O2469" t="s">
        <v>4910</v>
      </c>
    </row>
    <row r="2470" spans="1:15" x14ac:dyDescent="0.35">
      <c r="A2470" t="s">
        <v>2440</v>
      </c>
      <c r="B2470">
        <v>26</v>
      </c>
      <c r="C2470" t="s">
        <v>4802</v>
      </c>
      <c r="D2470" t="s">
        <v>13</v>
      </c>
      <c r="E2470">
        <v>63</v>
      </c>
      <c r="F2470">
        <v>55</v>
      </c>
      <c r="G2470" t="s">
        <v>4799</v>
      </c>
      <c r="H2470" t="s">
        <v>4805</v>
      </c>
      <c r="I2470">
        <v>13.99</v>
      </c>
      <c r="J2470">
        <v>1</v>
      </c>
      <c r="K2470">
        <v>2.1</v>
      </c>
      <c r="L2470">
        <v>0</v>
      </c>
      <c r="M2470" t="s">
        <v>4810</v>
      </c>
      <c r="N2470" t="s">
        <v>4900</v>
      </c>
      <c r="O2470" t="s">
        <v>4912</v>
      </c>
    </row>
    <row r="2471" spans="1:15" x14ac:dyDescent="0.35">
      <c r="A2471" t="s">
        <v>2441</v>
      </c>
      <c r="B2471">
        <v>53</v>
      </c>
      <c r="C2471" t="s">
        <v>4802</v>
      </c>
      <c r="D2471" t="s">
        <v>15</v>
      </c>
      <c r="E2471">
        <v>116</v>
      </c>
      <c r="F2471">
        <v>9</v>
      </c>
      <c r="G2471" t="s">
        <v>4798</v>
      </c>
      <c r="H2471" t="s">
        <v>4805</v>
      </c>
      <c r="I2471">
        <v>17.989999999999998</v>
      </c>
      <c r="J2471">
        <v>3</v>
      </c>
      <c r="K2471">
        <v>2.0299999999999998</v>
      </c>
      <c r="L2471">
        <v>0</v>
      </c>
      <c r="M2471" t="s">
        <v>4809</v>
      </c>
      <c r="N2471" t="s">
        <v>4900</v>
      </c>
      <c r="O2471" t="s">
        <v>4910</v>
      </c>
    </row>
    <row r="2472" spans="1:15" x14ac:dyDescent="0.35">
      <c r="A2472" t="s">
        <v>2442</v>
      </c>
      <c r="B2472">
        <v>63</v>
      </c>
      <c r="C2472" t="s">
        <v>4802</v>
      </c>
      <c r="D2472" t="s">
        <v>14</v>
      </c>
      <c r="E2472">
        <v>16</v>
      </c>
      <c r="F2472">
        <v>8</v>
      </c>
      <c r="G2472" t="s">
        <v>4797</v>
      </c>
      <c r="H2472" t="s">
        <v>4805</v>
      </c>
      <c r="I2472">
        <v>8.99</v>
      </c>
      <c r="J2472">
        <v>1</v>
      </c>
      <c r="K2472">
        <v>0.53</v>
      </c>
      <c r="L2472">
        <v>1</v>
      </c>
      <c r="M2472" t="s">
        <v>4811</v>
      </c>
      <c r="N2472" t="s">
        <v>4899</v>
      </c>
      <c r="O2472" t="s">
        <v>4911</v>
      </c>
    </row>
    <row r="2473" spans="1:15" x14ac:dyDescent="0.35">
      <c r="A2473" t="s">
        <v>2443</v>
      </c>
      <c r="B2473">
        <v>62</v>
      </c>
      <c r="C2473" t="s">
        <v>4803</v>
      </c>
      <c r="D2473" t="s">
        <v>13</v>
      </c>
      <c r="E2473">
        <v>39</v>
      </c>
      <c r="F2473">
        <v>15</v>
      </c>
      <c r="G2473" t="s">
        <v>4798</v>
      </c>
      <c r="H2473" t="s">
        <v>4804</v>
      </c>
      <c r="I2473">
        <v>13.99</v>
      </c>
      <c r="J2473">
        <v>4</v>
      </c>
      <c r="K2473">
        <v>1.3</v>
      </c>
      <c r="L2473">
        <v>0</v>
      </c>
      <c r="M2473" t="s">
        <v>4811</v>
      </c>
      <c r="N2473" t="s">
        <v>4900</v>
      </c>
      <c r="O2473" t="s">
        <v>4911</v>
      </c>
    </row>
    <row r="2474" spans="1:15" x14ac:dyDescent="0.35">
      <c r="A2474" t="s">
        <v>2444</v>
      </c>
      <c r="B2474">
        <v>38</v>
      </c>
      <c r="C2474" t="s">
        <v>4803</v>
      </c>
      <c r="D2474" t="s">
        <v>15</v>
      </c>
      <c r="E2474">
        <v>112</v>
      </c>
      <c r="F2474">
        <v>7</v>
      </c>
      <c r="G2474" t="s">
        <v>4799</v>
      </c>
      <c r="H2474" t="s">
        <v>4804</v>
      </c>
      <c r="I2474">
        <v>17.989999999999998</v>
      </c>
      <c r="J2474">
        <v>5</v>
      </c>
      <c r="K2474">
        <v>3.73</v>
      </c>
      <c r="L2474">
        <v>0</v>
      </c>
      <c r="M2474" t="s">
        <v>4808</v>
      </c>
      <c r="N2474" t="s">
        <v>4900</v>
      </c>
      <c r="O2474" t="s">
        <v>4910</v>
      </c>
    </row>
    <row r="2475" spans="1:15" x14ac:dyDescent="0.35">
      <c r="A2475" t="s">
        <v>2445</v>
      </c>
      <c r="B2475">
        <v>50</v>
      </c>
      <c r="C2475" t="s">
        <v>4802</v>
      </c>
      <c r="D2475" t="s">
        <v>13</v>
      </c>
      <c r="E2475">
        <v>59</v>
      </c>
      <c r="F2475">
        <v>49</v>
      </c>
      <c r="G2475" t="s">
        <v>4798</v>
      </c>
      <c r="H2475" t="s">
        <v>4804</v>
      </c>
      <c r="I2475">
        <v>13.99</v>
      </c>
      <c r="J2475">
        <v>3</v>
      </c>
      <c r="K2475">
        <v>1.97</v>
      </c>
      <c r="L2475">
        <v>0</v>
      </c>
      <c r="M2475" t="s">
        <v>4808</v>
      </c>
      <c r="N2475" t="s">
        <v>4900</v>
      </c>
      <c r="O2475" t="s">
        <v>4910</v>
      </c>
    </row>
    <row r="2476" spans="1:15" x14ac:dyDescent="0.35">
      <c r="A2476" t="s">
        <v>2446</v>
      </c>
      <c r="B2476">
        <v>24</v>
      </c>
      <c r="C2476" t="s">
        <v>4803</v>
      </c>
      <c r="D2476" t="s">
        <v>13</v>
      </c>
      <c r="E2476">
        <v>36</v>
      </c>
      <c r="F2476">
        <v>33</v>
      </c>
      <c r="G2476" t="s">
        <v>4798</v>
      </c>
      <c r="H2476" t="s">
        <v>4806</v>
      </c>
      <c r="I2476">
        <v>13.99</v>
      </c>
      <c r="J2476">
        <v>2</v>
      </c>
      <c r="K2476">
        <v>1.2</v>
      </c>
      <c r="L2476">
        <v>0</v>
      </c>
      <c r="M2476" t="s">
        <v>4810</v>
      </c>
      <c r="N2476" t="s">
        <v>4900</v>
      </c>
      <c r="O2476" t="s">
        <v>4912</v>
      </c>
    </row>
    <row r="2477" spans="1:15" x14ac:dyDescent="0.35">
      <c r="A2477" t="s">
        <v>2447</v>
      </c>
      <c r="B2477">
        <v>54</v>
      </c>
      <c r="C2477" t="s">
        <v>4803</v>
      </c>
      <c r="D2477" t="s">
        <v>13</v>
      </c>
      <c r="E2477">
        <v>40</v>
      </c>
      <c r="F2477">
        <v>52</v>
      </c>
      <c r="G2477" t="s">
        <v>4800</v>
      </c>
      <c r="H2477" t="s">
        <v>4804</v>
      </c>
      <c r="I2477">
        <v>13.99</v>
      </c>
      <c r="J2477">
        <v>2</v>
      </c>
      <c r="K2477">
        <v>2.0299999999999998</v>
      </c>
      <c r="L2477">
        <v>0</v>
      </c>
      <c r="M2477" t="s">
        <v>4810</v>
      </c>
      <c r="N2477" t="s">
        <v>4900</v>
      </c>
      <c r="O2477" t="s">
        <v>4910</v>
      </c>
    </row>
    <row r="2478" spans="1:15" x14ac:dyDescent="0.35">
      <c r="A2478" t="s">
        <v>2448</v>
      </c>
      <c r="B2478">
        <v>59</v>
      </c>
      <c r="C2478" t="s">
        <v>4803</v>
      </c>
      <c r="D2478" t="s">
        <v>13</v>
      </c>
      <c r="E2478">
        <v>34</v>
      </c>
      <c r="F2478">
        <v>51</v>
      </c>
      <c r="G2478" t="s">
        <v>4798</v>
      </c>
      <c r="H2478" t="s">
        <v>4804</v>
      </c>
      <c r="I2478">
        <v>13.99</v>
      </c>
      <c r="J2478">
        <v>1</v>
      </c>
      <c r="K2478">
        <v>1.1299999999999999</v>
      </c>
      <c r="L2478">
        <v>0</v>
      </c>
      <c r="M2478" t="s">
        <v>4809</v>
      </c>
      <c r="N2478" t="s">
        <v>4900</v>
      </c>
      <c r="O2478" t="s">
        <v>4911</v>
      </c>
    </row>
    <row r="2479" spans="1:15" x14ac:dyDescent="0.35">
      <c r="A2479" t="s">
        <v>2449</v>
      </c>
      <c r="B2479">
        <v>29</v>
      </c>
      <c r="C2479" t="s">
        <v>4802</v>
      </c>
      <c r="D2479" t="s">
        <v>13</v>
      </c>
      <c r="E2479">
        <v>53</v>
      </c>
      <c r="F2479">
        <v>36</v>
      </c>
      <c r="G2479" t="s">
        <v>4799</v>
      </c>
      <c r="H2479" t="s">
        <v>4806</v>
      </c>
      <c r="I2479">
        <v>13.99</v>
      </c>
      <c r="J2479">
        <v>1</v>
      </c>
      <c r="K2479">
        <v>1.77</v>
      </c>
      <c r="L2479">
        <v>0</v>
      </c>
      <c r="M2479" t="s">
        <v>4810</v>
      </c>
      <c r="N2479" t="s">
        <v>4900</v>
      </c>
      <c r="O2479" t="s">
        <v>4912</v>
      </c>
    </row>
    <row r="2480" spans="1:15" x14ac:dyDescent="0.35">
      <c r="A2480" t="s">
        <v>2450</v>
      </c>
      <c r="B2480">
        <v>33</v>
      </c>
      <c r="C2480" t="s">
        <v>4803</v>
      </c>
      <c r="D2480" t="s">
        <v>13</v>
      </c>
      <c r="E2480">
        <v>71</v>
      </c>
      <c r="F2480">
        <v>999</v>
      </c>
      <c r="G2480" t="s">
        <v>4797</v>
      </c>
      <c r="H2480" t="s">
        <v>4805</v>
      </c>
      <c r="I2480">
        <v>13.99</v>
      </c>
      <c r="J2480">
        <v>2</v>
      </c>
      <c r="K2480">
        <v>2.37</v>
      </c>
      <c r="L2480">
        <v>0</v>
      </c>
      <c r="M2480" t="s">
        <v>4808</v>
      </c>
      <c r="N2480" t="s">
        <v>4900</v>
      </c>
      <c r="O2480" t="s">
        <v>4912</v>
      </c>
    </row>
    <row r="2481" spans="1:15" x14ac:dyDescent="0.35">
      <c r="A2481" t="s">
        <v>2451</v>
      </c>
      <c r="B2481">
        <v>34</v>
      </c>
      <c r="C2481" t="s">
        <v>4802</v>
      </c>
      <c r="D2481" t="s">
        <v>13</v>
      </c>
      <c r="E2481">
        <v>42</v>
      </c>
      <c r="F2481">
        <v>53</v>
      </c>
      <c r="G2481" t="s">
        <v>4799</v>
      </c>
      <c r="H2481" t="s">
        <v>4805</v>
      </c>
      <c r="I2481">
        <v>13.99</v>
      </c>
      <c r="J2481">
        <v>3</v>
      </c>
      <c r="K2481">
        <v>1.4</v>
      </c>
      <c r="L2481">
        <v>0</v>
      </c>
      <c r="M2481" t="s">
        <v>4812</v>
      </c>
      <c r="N2481" t="s">
        <v>4900</v>
      </c>
      <c r="O2481" t="s">
        <v>4912</v>
      </c>
    </row>
    <row r="2482" spans="1:15" x14ac:dyDescent="0.35">
      <c r="A2482" t="s">
        <v>2452</v>
      </c>
      <c r="B2482">
        <v>42</v>
      </c>
      <c r="C2482" t="s">
        <v>4802</v>
      </c>
      <c r="D2482" t="s">
        <v>13</v>
      </c>
      <c r="E2482">
        <v>78</v>
      </c>
      <c r="F2482">
        <v>23</v>
      </c>
      <c r="G2482" t="s">
        <v>4798</v>
      </c>
      <c r="H2482" t="s">
        <v>4805</v>
      </c>
      <c r="I2482">
        <v>13.99</v>
      </c>
      <c r="J2482">
        <v>4</v>
      </c>
      <c r="K2482">
        <v>2.6</v>
      </c>
      <c r="L2482">
        <v>0</v>
      </c>
      <c r="M2482" t="s">
        <v>4812</v>
      </c>
      <c r="N2482" t="s">
        <v>4900</v>
      </c>
      <c r="O2482" t="s">
        <v>4910</v>
      </c>
    </row>
    <row r="2483" spans="1:15" x14ac:dyDescent="0.35">
      <c r="A2483" t="s">
        <v>2453</v>
      </c>
      <c r="B2483">
        <v>28</v>
      </c>
      <c r="C2483" t="s">
        <v>4802</v>
      </c>
      <c r="D2483" t="s">
        <v>13</v>
      </c>
      <c r="E2483">
        <v>39</v>
      </c>
      <c r="F2483">
        <v>43</v>
      </c>
      <c r="G2483" t="s">
        <v>4799</v>
      </c>
      <c r="H2483" t="s">
        <v>4804</v>
      </c>
      <c r="I2483">
        <v>13.99</v>
      </c>
      <c r="J2483">
        <v>3</v>
      </c>
      <c r="K2483">
        <v>2.0299999999999998</v>
      </c>
      <c r="L2483">
        <v>0</v>
      </c>
      <c r="M2483" t="s">
        <v>4809</v>
      </c>
      <c r="N2483" t="s">
        <v>4900</v>
      </c>
      <c r="O2483" t="s">
        <v>4912</v>
      </c>
    </row>
    <row r="2484" spans="1:15" x14ac:dyDescent="0.35">
      <c r="A2484" t="s">
        <v>2454</v>
      </c>
      <c r="B2484">
        <v>31</v>
      </c>
      <c r="C2484" t="s">
        <v>4803</v>
      </c>
      <c r="D2484" t="s">
        <v>13</v>
      </c>
      <c r="E2484">
        <v>45</v>
      </c>
      <c r="F2484">
        <v>53</v>
      </c>
      <c r="G2484" t="s">
        <v>4797</v>
      </c>
      <c r="H2484" t="s">
        <v>4806</v>
      </c>
      <c r="I2484">
        <v>13.99</v>
      </c>
      <c r="J2484">
        <v>4</v>
      </c>
      <c r="K2484">
        <v>1.5</v>
      </c>
      <c r="L2484">
        <v>0</v>
      </c>
      <c r="M2484" t="s">
        <v>4810</v>
      </c>
      <c r="N2484" t="s">
        <v>4900</v>
      </c>
      <c r="O2484" t="s">
        <v>4912</v>
      </c>
    </row>
    <row r="2485" spans="1:15" x14ac:dyDescent="0.35">
      <c r="A2485" t="s">
        <v>2455</v>
      </c>
      <c r="B2485">
        <v>46</v>
      </c>
      <c r="C2485" t="s">
        <v>4802</v>
      </c>
      <c r="D2485" t="s">
        <v>13</v>
      </c>
      <c r="E2485">
        <v>58</v>
      </c>
      <c r="F2485">
        <v>57</v>
      </c>
      <c r="G2485" t="s">
        <v>4799</v>
      </c>
      <c r="H2485" t="s">
        <v>4805</v>
      </c>
      <c r="I2485">
        <v>13.99</v>
      </c>
      <c r="J2485">
        <v>3</v>
      </c>
      <c r="K2485">
        <v>1.93</v>
      </c>
      <c r="L2485">
        <v>0</v>
      </c>
      <c r="M2485" t="s">
        <v>4811</v>
      </c>
      <c r="N2485" t="s">
        <v>4900</v>
      </c>
      <c r="O2485" t="s">
        <v>4910</v>
      </c>
    </row>
    <row r="2486" spans="1:15" x14ac:dyDescent="0.35">
      <c r="A2486" t="s">
        <v>2456</v>
      </c>
      <c r="B2486">
        <v>34</v>
      </c>
      <c r="C2486" t="s">
        <v>4802</v>
      </c>
      <c r="D2486" t="s">
        <v>15</v>
      </c>
      <c r="E2486">
        <v>50</v>
      </c>
      <c r="F2486">
        <v>10</v>
      </c>
      <c r="G2486" t="s">
        <v>4799</v>
      </c>
      <c r="H2486" t="s">
        <v>4805</v>
      </c>
      <c r="I2486">
        <v>17.989999999999998</v>
      </c>
      <c r="J2486">
        <v>3</v>
      </c>
      <c r="K2486">
        <v>1.67</v>
      </c>
      <c r="L2486">
        <v>0</v>
      </c>
      <c r="M2486" t="s">
        <v>4810</v>
      </c>
      <c r="N2486" t="s">
        <v>4900</v>
      </c>
      <c r="O2486" t="s">
        <v>4912</v>
      </c>
    </row>
    <row r="2487" spans="1:15" x14ac:dyDescent="0.35">
      <c r="A2487" t="s">
        <v>2457</v>
      </c>
      <c r="B2487">
        <v>48</v>
      </c>
      <c r="C2487" t="s">
        <v>4803</v>
      </c>
      <c r="D2487" t="s">
        <v>15</v>
      </c>
      <c r="E2487">
        <v>64</v>
      </c>
      <c r="F2487">
        <v>53</v>
      </c>
      <c r="G2487" t="s">
        <v>4798</v>
      </c>
      <c r="H2487" t="s">
        <v>4805</v>
      </c>
      <c r="I2487">
        <v>17.989999999999998</v>
      </c>
      <c r="J2487">
        <v>5</v>
      </c>
      <c r="K2487">
        <v>2.13</v>
      </c>
      <c r="L2487">
        <v>0</v>
      </c>
      <c r="M2487" t="s">
        <v>4810</v>
      </c>
      <c r="N2487" t="s">
        <v>4900</v>
      </c>
      <c r="O2487" t="s">
        <v>4910</v>
      </c>
    </row>
    <row r="2488" spans="1:15" x14ac:dyDescent="0.35">
      <c r="A2488" t="s">
        <v>2458</v>
      </c>
      <c r="B2488">
        <v>18</v>
      </c>
      <c r="C2488" t="s">
        <v>4802</v>
      </c>
      <c r="D2488" t="s">
        <v>15</v>
      </c>
      <c r="E2488">
        <v>119</v>
      </c>
      <c r="F2488">
        <v>42</v>
      </c>
      <c r="G2488" t="s">
        <v>4799</v>
      </c>
      <c r="H2488" t="s">
        <v>4805</v>
      </c>
      <c r="I2488">
        <v>17.989999999999998</v>
      </c>
      <c r="J2488">
        <v>5</v>
      </c>
      <c r="K2488">
        <v>3.97</v>
      </c>
      <c r="L2488">
        <v>1</v>
      </c>
      <c r="M2488" t="s">
        <v>4811</v>
      </c>
      <c r="N2488" t="s">
        <v>4899</v>
      </c>
      <c r="O2488" t="s">
        <v>4912</v>
      </c>
    </row>
    <row r="2489" spans="1:15" x14ac:dyDescent="0.35">
      <c r="A2489" t="s">
        <v>2459</v>
      </c>
      <c r="B2489">
        <v>19</v>
      </c>
      <c r="C2489" t="s">
        <v>4802</v>
      </c>
      <c r="D2489" t="s">
        <v>13</v>
      </c>
      <c r="E2489">
        <v>73</v>
      </c>
      <c r="F2489">
        <v>53</v>
      </c>
      <c r="G2489" t="s">
        <v>4797</v>
      </c>
      <c r="H2489" t="s">
        <v>4806</v>
      </c>
      <c r="I2489">
        <v>13.99</v>
      </c>
      <c r="J2489">
        <v>2</v>
      </c>
      <c r="K2489">
        <v>2.4300000000000002</v>
      </c>
      <c r="L2489">
        <v>0</v>
      </c>
      <c r="M2489" t="s">
        <v>4810</v>
      </c>
      <c r="N2489" t="s">
        <v>4900</v>
      </c>
      <c r="O2489" t="s">
        <v>4912</v>
      </c>
    </row>
    <row r="2490" spans="1:15" x14ac:dyDescent="0.35">
      <c r="A2490" t="s">
        <v>2460</v>
      </c>
      <c r="B2490">
        <v>59</v>
      </c>
      <c r="C2490" t="s">
        <v>4802</v>
      </c>
      <c r="D2490" t="s">
        <v>13</v>
      </c>
      <c r="E2490">
        <v>37</v>
      </c>
      <c r="F2490">
        <v>6</v>
      </c>
      <c r="G2490" t="s">
        <v>4800</v>
      </c>
      <c r="H2490" t="s">
        <v>4804</v>
      </c>
      <c r="I2490">
        <v>13.99</v>
      </c>
      <c r="J2490">
        <v>1</v>
      </c>
      <c r="K2490">
        <v>1.23</v>
      </c>
      <c r="L2490">
        <v>0</v>
      </c>
      <c r="M2490" t="s">
        <v>4808</v>
      </c>
      <c r="N2490" t="s">
        <v>4900</v>
      </c>
      <c r="O2490" t="s">
        <v>4911</v>
      </c>
    </row>
    <row r="2491" spans="1:15" x14ac:dyDescent="0.35">
      <c r="A2491" t="s">
        <v>2461</v>
      </c>
      <c r="B2491">
        <v>30</v>
      </c>
      <c r="C2491" t="s">
        <v>4803</v>
      </c>
      <c r="D2491" t="s">
        <v>13</v>
      </c>
      <c r="E2491">
        <v>68</v>
      </c>
      <c r="F2491">
        <v>51</v>
      </c>
      <c r="G2491" t="s">
        <v>4798</v>
      </c>
      <c r="H2491" t="s">
        <v>4806</v>
      </c>
      <c r="I2491">
        <v>13.99</v>
      </c>
      <c r="J2491">
        <v>4</v>
      </c>
      <c r="K2491">
        <v>2.27</v>
      </c>
      <c r="L2491">
        <v>0</v>
      </c>
      <c r="M2491" t="s">
        <v>4810</v>
      </c>
      <c r="N2491" t="s">
        <v>4900</v>
      </c>
      <c r="O2491" t="s">
        <v>4912</v>
      </c>
    </row>
    <row r="2492" spans="1:15" x14ac:dyDescent="0.35">
      <c r="A2492" t="s">
        <v>2462</v>
      </c>
      <c r="B2492">
        <v>59</v>
      </c>
      <c r="C2492" t="s">
        <v>4802</v>
      </c>
      <c r="D2492" t="s">
        <v>15</v>
      </c>
      <c r="E2492">
        <v>103</v>
      </c>
      <c r="F2492">
        <v>999</v>
      </c>
      <c r="G2492" t="s">
        <v>4798</v>
      </c>
      <c r="H2492" t="s">
        <v>4804</v>
      </c>
      <c r="I2492">
        <v>17.989999999999998</v>
      </c>
      <c r="J2492">
        <v>5</v>
      </c>
      <c r="K2492">
        <v>5</v>
      </c>
      <c r="L2492">
        <v>0</v>
      </c>
      <c r="M2492" t="s">
        <v>4812</v>
      </c>
      <c r="N2492" t="s">
        <v>4900</v>
      </c>
      <c r="O2492" t="s">
        <v>4911</v>
      </c>
    </row>
    <row r="2493" spans="1:15" x14ac:dyDescent="0.35">
      <c r="A2493" t="s">
        <v>2463</v>
      </c>
      <c r="B2493">
        <v>42</v>
      </c>
      <c r="C2493" t="s">
        <v>4803</v>
      </c>
      <c r="D2493" t="s">
        <v>13</v>
      </c>
      <c r="E2493">
        <v>39</v>
      </c>
      <c r="F2493">
        <v>2</v>
      </c>
      <c r="G2493" t="s">
        <v>4797</v>
      </c>
      <c r="H2493" t="s">
        <v>4806</v>
      </c>
      <c r="I2493">
        <v>13.99</v>
      </c>
      <c r="J2493">
        <v>2</v>
      </c>
      <c r="K2493">
        <v>1.3</v>
      </c>
      <c r="L2493">
        <v>1</v>
      </c>
      <c r="M2493" t="s">
        <v>4812</v>
      </c>
      <c r="N2493" t="s">
        <v>4899</v>
      </c>
      <c r="O2493" t="s">
        <v>4910</v>
      </c>
    </row>
    <row r="2494" spans="1:15" x14ac:dyDescent="0.35">
      <c r="A2494" t="s">
        <v>2464</v>
      </c>
      <c r="B2494">
        <v>52</v>
      </c>
      <c r="C2494" t="s">
        <v>4803</v>
      </c>
      <c r="D2494" t="s">
        <v>14</v>
      </c>
      <c r="E2494">
        <v>31</v>
      </c>
      <c r="F2494">
        <v>36</v>
      </c>
      <c r="G2494" t="s">
        <v>4798</v>
      </c>
      <c r="H2494" t="s">
        <v>4804</v>
      </c>
      <c r="I2494">
        <v>8.99</v>
      </c>
      <c r="J2494">
        <v>2</v>
      </c>
      <c r="K2494">
        <v>1.03</v>
      </c>
      <c r="L2494">
        <v>1</v>
      </c>
      <c r="M2494" t="s">
        <v>4810</v>
      </c>
      <c r="N2494" t="s">
        <v>4899</v>
      </c>
      <c r="O2494" t="s">
        <v>4910</v>
      </c>
    </row>
    <row r="2495" spans="1:15" x14ac:dyDescent="0.35">
      <c r="A2495" t="s">
        <v>4872</v>
      </c>
      <c r="B2495">
        <v>27</v>
      </c>
      <c r="C2495" t="s">
        <v>4803</v>
      </c>
      <c r="D2495" t="s">
        <v>13</v>
      </c>
      <c r="E2495">
        <v>67</v>
      </c>
      <c r="F2495">
        <v>26</v>
      </c>
      <c r="G2495" t="s">
        <v>4797</v>
      </c>
      <c r="H2495" t="s">
        <v>4805</v>
      </c>
      <c r="I2495">
        <v>13.99</v>
      </c>
      <c r="J2495">
        <v>1</v>
      </c>
      <c r="K2495">
        <v>2.23</v>
      </c>
      <c r="L2495">
        <v>0</v>
      </c>
      <c r="M2495" t="s">
        <v>4809</v>
      </c>
      <c r="N2495" t="s">
        <v>4900</v>
      </c>
      <c r="O2495" t="s">
        <v>4912</v>
      </c>
    </row>
    <row r="2496" spans="1:15" x14ac:dyDescent="0.35">
      <c r="A2496" t="s">
        <v>2465</v>
      </c>
      <c r="B2496">
        <v>38</v>
      </c>
      <c r="C2496" t="s">
        <v>4803</v>
      </c>
      <c r="D2496" t="s">
        <v>13</v>
      </c>
      <c r="E2496">
        <v>70</v>
      </c>
      <c r="F2496">
        <v>5</v>
      </c>
      <c r="G2496" t="s">
        <v>4798</v>
      </c>
      <c r="H2496" t="s">
        <v>4804</v>
      </c>
      <c r="I2496">
        <v>13.99</v>
      </c>
      <c r="J2496">
        <v>1</v>
      </c>
      <c r="K2496">
        <v>2.33</v>
      </c>
      <c r="L2496">
        <v>0</v>
      </c>
      <c r="M2496" t="s">
        <v>4811</v>
      </c>
      <c r="N2496" t="s">
        <v>4900</v>
      </c>
      <c r="O2496" t="s">
        <v>4910</v>
      </c>
    </row>
    <row r="2497" spans="1:15" x14ac:dyDescent="0.35">
      <c r="A2497" t="s">
        <v>4836</v>
      </c>
      <c r="B2497">
        <v>41</v>
      </c>
      <c r="C2497" t="s">
        <v>4802</v>
      </c>
      <c r="D2497" t="s">
        <v>15</v>
      </c>
      <c r="E2497">
        <v>86</v>
      </c>
      <c r="F2497">
        <v>38</v>
      </c>
      <c r="G2497" t="s">
        <v>4798</v>
      </c>
      <c r="H2497" t="s">
        <v>4805</v>
      </c>
      <c r="I2497">
        <v>17.989999999999998</v>
      </c>
      <c r="J2497">
        <v>5</v>
      </c>
      <c r="K2497">
        <v>2.87</v>
      </c>
      <c r="L2497">
        <v>0</v>
      </c>
      <c r="M2497" t="s">
        <v>4808</v>
      </c>
      <c r="N2497" t="s">
        <v>4900</v>
      </c>
      <c r="O2497" t="s">
        <v>4910</v>
      </c>
    </row>
    <row r="2498" spans="1:15" x14ac:dyDescent="0.35">
      <c r="A2498" t="s">
        <v>2466</v>
      </c>
      <c r="B2498">
        <v>64</v>
      </c>
      <c r="C2498" t="s">
        <v>4802</v>
      </c>
      <c r="D2498" t="s">
        <v>15</v>
      </c>
      <c r="E2498">
        <v>70</v>
      </c>
      <c r="F2498">
        <v>19</v>
      </c>
      <c r="G2498" t="s">
        <v>4797</v>
      </c>
      <c r="H2498" t="s">
        <v>4805</v>
      </c>
      <c r="I2498">
        <v>17.989999999999998</v>
      </c>
      <c r="J2498">
        <v>4</v>
      </c>
      <c r="K2498">
        <v>2.33</v>
      </c>
      <c r="L2498">
        <v>0</v>
      </c>
      <c r="M2498" t="s">
        <v>4812</v>
      </c>
      <c r="N2498" t="s">
        <v>4900</v>
      </c>
      <c r="O2498" t="s">
        <v>4911</v>
      </c>
    </row>
    <row r="2499" spans="1:15" x14ac:dyDescent="0.35">
      <c r="A2499" t="s">
        <v>2467</v>
      </c>
      <c r="B2499">
        <v>56</v>
      </c>
      <c r="C2499" t="s">
        <v>4803</v>
      </c>
      <c r="D2499" t="s">
        <v>13</v>
      </c>
      <c r="E2499">
        <v>80</v>
      </c>
      <c r="F2499">
        <v>50</v>
      </c>
      <c r="G2499" t="s">
        <v>4800</v>
      </c>
      <c r="H2499" t="s">
        <v>4807</v>
      </c>
      <c r="I2499">
        <v>13.99</v>
      </c>
      <c r="J2499">
        <v>4</v>
      </c>
      <c r="K2499">
        <v>2.67</v>
      </c>
      <c r="L2499">
        <v>0</v>
      </c>
      <c r="M2499" t="s">
        <v>4812</v>
      </c>
      <c r="N2499" t="s">
        <v>4900</v>
      </c>
      <c r="O2499" t="s">
        <v>4911</v>
      </c>
    </row>
    <row r="2500" spans="1:15" x14ac:dyDescent="0.35">
      <c r="A2500" t="s">
        <v>4873</v>
      </c>
      <c r="B2500">
        <v>64</v>
      </c>
      <c r="C2500" t="s">
        <v>4803</v>
      </c>
      <c r="D2500" t="s">
        <v>13</v>
      </c>
      <c r="E2500">
        <v>40</v>
      </c>
      <c r="F2500">
        <v>55</v>
      </c>
      <c r="G2500" t="s">
        <v>4799</v>
      </c>
      <c r="H2500" t="s">
        <v>4804</v>
      </c>
      <c r="I2500">
        <v>13.99</v>
      </c>
      <c r="J2500">
        <v>3</v>
      </c>
      <c r="K2500">
        <v>1.33</v>
      </c>
      <c r="L2500">
        <v>0</v>
      </c>
      <c r="M2500" t="s">
        <v>4811</v>
      </c>
      <c r="N2500" t="s">
        <v>4900</v>
      </c>
      <c r="O2500" t="s">
        <v>4911</v>
      </c>
    </row>
    <row r="2501" spans="1:15" x14ac:dyDescent="0.35">
      <c r="A2501" t="s">
        <v>2468</v>
      </c>
      <c r="B2501">
        <v>30</v>
      </c>
      <c r="C2501" t="s">
        <v>4803</v>
      </c>
      <c r="D2501" t="s">
        <v>13</v>
      </c>
      <c r="E2501">
        <v>44</v>
      </c>
      <c r="F2501">
        <v>33</v>
      </c>
      <c r="G2501" t="s">
        <v>4798</v>
      </c>
      <c r="H2501" t="s">
        <v>4805</v>
      </c>
      <c r="I2501">
        <v>13.99</v>
      </c>
      <c r="J2501">
        <v>4</v>
      </c>
      <c r="K2501">
        <v>1.47</v>
      </c>
      <c r="L2501">
        <v>1</v>
      </c>
      <c r="M2501" t="s">
        <v>4812</v>
      </c>
      <c r="N2501" t="s">
        <v>4899</v>
      </c>
      <c r="O2501" t="s">
        <v>4912</v>
      </c>
    </row>
    <row r="2502" spans="1:15" x14ac:dyDescent="0.35">
      <c r="A2502" t="s">
        <v>2469</v>
      </c>
      <c r="B2502">
        <v>57</v>
      </c>
      <c r="C2502" t="s">
        <v>4802</v>
      </c>
      <c r="D2502" t="s">
        <v>15</v>
      </c>
      <c r="E2502">
        <v>71</v>
      </c>
      <c r="F2502">
        <v>20</v>
      </c>
      <c r="G2502" t="s">
        <v>4798</v>
      </c>
      <c r="H2502" t="s">
        <v>4804</v>
      </c>
      <c r="I2502">
        <v>17.989999999999998</v>
      </c>
      <c r="J2502">
        <v>3</v>
      </c>
      <c r="K2502">
        <v>2.37</v>
      </c>
      <c r="L2502">
        <v>0</v>
      </c>
      <c r="M2502" t="s">
        <v>4809</v>
      </c>
      <c r="N2502" t="s">
        <v>4900</v>
      </c>
      <c r="O2502" t="s">
        <v>4911</v>
      </c>
    </row>
    <row r="2503" spans="1:15" x14ac:dyDescent="0.35">
      <c r="A2503" t="s">
        <v>2470</v>
      </c>
      <c r="B2503">
        <v>46</v>
      </c>
      <c r="C2503" t="s">
        <v>4803</v>
      </c>
      <c r="D2503" t="s">
        <v>13</v>
      </c>
      <c r="E2503">
        <v>49</v>
      </c>
      <c r="F2503">
        <v>60</v>
      </c>
      <c r="G2503" t="s">
        <v>4797</v>
      </c>
      <c r="H2503" t="s">
        <v>4807</v>
      </c>
      <c r="I2503">
        <v>13.99</v>
      </c>
      <c r="J2503">
        <v>2</v>
      </c>
      <c r="K2503">
        <v>1.63</v>
      </c>
      <c r="L2503">
        <v>0</v>
      </c>
      <c r="M2503" t="s">
        <v>4810</v>
      </c>
      <c r="N2503" t="s">
        <v>4900</v>
      </c>
      <c r="O2503" t="s">
        <v>4910</v>
      </c>
    </row>
    <row r="2504" spans="1:15" x14ac:dyDescent="0.35">
      <c r="A2504" t="s">
        <v>2471</v>
      </c>
      <c r="B2504">
        <v>31</v>
      </c>
      <c r="C2504" t="s">
        <v>4803</v>
      </c>
      <c r="D2504" t="s">
        <v>13</v>
      </c>
      <c r="E2504">
        <v>60</v>
      </c>
      <c r="F2504">
        <v>14</v>
      </c>
      <c r="G2504" t="s">
        <v>4798</v>
      </c>
      <c r="H2504" t="s">
        <v>4805</v>
      </c>
      <c r="I2504">
        <v>13.99</v>
      </c>
      <c r="J2504">
        <v>2</v>
      </c>
      <c r="K2504">
        <v>2</v>
      </c>
      <c r="L2504">
        <v>0</v>
      </c>
      <c r="M2504" t="s">
        <v>4810</v>
      </c>
      <c r="N2504" t="s">
        <v>4900</v>
      </c>
      <c r="O2504" t="s">
        <v>4912</v>
      </c>
    </row>
    <row r="2505" spans="1:15" x14ac:dyDescent="0.35">
      <c r="A2505" t="s">
        <v>2472</v>
      </c>
      <c r="B2505">
        <v>32</v>
      </c>
      <c r="C2505" t="s">
        <v>4803</v>
      </c>
      <c r="D2505" t="s">
        <v>13</v>
      </c>
      <c r="E2505">
        <v>42</v>
      </c>
      <c r="F2505">
        <v>46</v>
      </c>
      <c r="G2505" t="s">
        <v>4799</v>
      </c>
      <c r="H2505" t="s">
        <v>4806</v>
      </c>
      <c r="I2505">
        <v>13.99</v>
      </c>
      <c r="J2505">
        <v>2</v>
      </c>
      <c r="K2505">
        <v>1.4</v>
      </c>
      <c r="L2505">
        <v>1</v>
      </c>
      <c r="M2505" t="s">
        <v>4811</v>
      </c>
      <c r="N2505" t="s">
        <v>4899</v>
      </c>
      <c r="O2505" t="s">
        <v>4912</v>
      </c>
    </row>
    <row r="2506" spans="1:15" x14ac:dyDescent="0.35">
      <c r="A2506" t="s">
        <v>2473</v>
      </c>
      <c r="B2506">
        <v>22</v>
      </c>
      <c r="C2506" t="s">
        <v>4802</v>
      </c>
      <c r="D2506" t="s">
        <v>13</v>
      </c>
      <c r="E2506">
        <v>52</v>
      </c>
      <c r="F2506">
        <v>29</v>
      </c>
      <c r="G2506" t="s">
        <v>4798</v>
      </c>
      <c r="H2506" t="s">
        <v>4805</v>
      </c>
      <c r="I2506">
        <v>13.99</v>
      </c>
      <c r="J2506">
        <v>3</v>
      </c>
      <c r="K2506">
        <v>1.73</v>
      </c>
      <c r="L2506">
        <v>1</v>
      </c>
      <c r="M2506" t="s">
        <v>4808</v>
      </c>
      <c r="N2506" t="s">
        <v>4899</v>
      </c>
      <c r="O2506" t="s">
        <v>4912</v>
      </c>
    </row>
    <row r="2507" spans="1:15" x14ac:dyDescent="0.35">
      <c r="A2507" t="s">
        <v>2474</v>
      </c>
      <c r="B2507">
        <v>52</v>
      </c>
      <c r="C2507" t="s">
        <v>4803</v>
      </c>
      <c r="D2507" t="s">
        <v>13</v>
      </c>
      <c r="E2507">
        <v>33</v>
      </c>
      <c r="F2507">
        <v>13</v>
      </c>
      <c r="G2507" t="s">
        <v>4798</v>
      </c>
      <c r="H2507" t="s">
        <v>4806</v>
      </c>
      <c r="I2507">
        <v>13.99</v>
      </c>
      <c r="J2507">
        <v>1</v>
      </c>
      <c r="K2507">
        <v>1.1000000000000001</v>
      </c>
      <c r="L2507">
        <v>0</v>
      </c>
      <c r="M2507" t="s">
        <v>4811</v>
      </c>
      <c r="N2507" t="s">
        <v>4900</v>
      </c>
      <c r="O2507" t="s">
        <v>4910</v>
      </c>
    </row>
    <row r="2508" spans="1:15" x14ac:dyDescent="0.35">
      <c r="A2508" t="s">
        <v>2475</v>
      </c>
      <c r="B2508">
        <v>18</v>
      </c>
      <c r="C2508" t="s">
        <v>4802</v>
      </c>
      <c r="D2508" t="s">
        <v>13</v>
      </c>
      <c r="E2508">
        <v>68</v>
      </c>
      <c r="F2508">
        <v>18</v>
      </c>
      <c r="G2508" t="s">
        <v>4798</v>
      </c>
      <c r="H2508" t="s">
        <v>4805</v>
      </c>
      <c r="I2508">
        <v>13.99</v>
      </c>
      <c r="J2508">
        <v>2</v>
      </c>
      <c r="K2508">
        <v>2.27</v>
      </c>
      <c r="L2508">
        <v>0</v>
      </c>
      <c r="M2508" t="s">
        <v>4810</v>
      </c>
      <c r="N2508" t="s">
        <v>4900</v>
      </c>
      <c r="O2508" t="s">
        <v>4912</v>
      </c>
    </row>
    <row r="2509" spans="1:15" x14ac:dyDescent="0.35">
      <c r="A2509" t="s">
        <v>2476</v>
      </c>
      <c r="B2509">
        <v>49</v>
      </c>
      <c r="C2509" t="s">
        <v>4803</v>
      </c>
      <c r="D2509" t="s">
        <v>13</v>
      </c>
      <c r="E2509">
        <v>61</v>
      </c>
      <c r="F2509">
        <v>33</v>
      </c>
      <c r="G2509" t="s">
        <v>4798</v>
      </c>
      <c r="H2509" t="s">
        <v>4806</v>
      </c>
      <c r="I2509">
        <v>13.99</v>
      </c>
      <c r="J2509">
        <v>1</v>
      </c>
      <c r="K2509">
        <v>2.0299999999999998</v>
      </c>
      <c r="L2509">
        <v>0</v>
      </c>
      <c r="M2509" t="s">
        <v>4809</v>
      </c>
      <c r="N2509" t="s">
        <v>4900</v>
      </c>
      <c r="O2509" t="s">
        <v>4910</v>
      </c>
    </row>
    <row r="2510" spans="1:15" x14ac:dyDescent="0.35">
      <c r="A2510" t="s">
        <v>2477</v>
      </c>
      <c r="B2510">
        <v>45</v>
      </c>
      <c r="C2510" t="s">
        <v>4803</v>
      </c>
      <c r="D2510" t="s">
        <v>13</v>
      </c>
      <c r="E2510">
        <v>60</v>
      </c>
      <c r="F2510">
        <v>53</v>
      </c>
      <c r="G2510" t="s">
        <v>4797</v>
      </c>
      <c r="H2510" t="s">
        <v>4805</v>
      </c>
      <c r="I2510">
        <v>13.99</v>
      </c>
      <c r="J2510">
        <v>1</v>
      </c>
      <c r="K2510">
        <v>2</v>
      </c>
      <c r="L2510">
        <v>0</v>
      </c>
      <c r="M2510" t="s">
        <v>4809</v>
      </c>
      <c r="N2510" t="s">
        <v>4900</v>
      </c>
      <c r="O2510" t="s">
        <v>4910</v>
      </c>
    </row>
    <row r="2511" spans="1:15" x14ac:dyDescent="0.35">
      <c r="A2511" t="s">
        <v>2478</v>
      </c>
      <c r="B2511">
        <v>37</v>
      </c>
      <c r="C2511" t="s">
        <v>4803</v>
      </c>
      <c r="D2511" t="s">
        <v>13</v>
      </c>
      <c r="E2511">
        <v>53</v>
      </c>
      <c r="F2511">
        <v>27</v>
      </c>
      <c r="G2511" t="s">
        <v>4798</v>
      </c>
      <c r="H2511" t="s">
        <v>4805</v>
      </c>
      <c r="I2511">
        <v>13.99</v>
      </c>
      <c r="J2511">
        <v>1</v>
      </c>
      <c r="K2511">
        <v>1.77</v>
      </c>
      <c r="L2511">
        <v>0</v>
      </c>
      <c r="M2511" t="s">
        <v>4811</v>
      </c>
      <c r="N2511" t="s">
        <v>4900</v>
      </c>
      <c r="O2511" t="s">
        <v>4910</v>
      </c>
    </row>
    <row r="2512" spans="1:15" x14ac:dyDescent="0.35">
      <c r="A2512" t="s">
        <v>2479</v>
      </c>
      <c r="B2512">
        <v>30</v>
      </c>
      <c r="C2512" t="s">
        <v>4803</v>
      </c>
      <c r="D2512" t="s">
        <v>15</v>
      </c>
      <c r="E2512">
        <v>101</v>
      </c>
      <c r="F2512">
        <v>34</v>
      </c>
      <c r="G2512" t="s">
        <v>4799</v>
      </c>
      <c r="H2512" t="s">
        <v>4804</v>
      </c>
      <c r="I2512">
        <v>17.989999999999998</v>
      </c>
      <c r="J2512">
        <v>3</v>
      </c>
      <c r="K2512">
        <v>2.0299999999999998</v>
      </c>
      <c r="L2512">
        <v>0</v>
      </c>
      <c r="M2512" t="s">
        <v>4808</v>
      </c>
      <c r="N2512" t="s">
        <v>4900</v>
      </c>
      <c r="O2512" t="s">
        <v>4912</v>
      </c>
    </row>
    <row r="2513" spans="1:15" x14ac:dyDescent="0.35">
      <c r="A2513" t="s">
        <v>2480</v>
      </c>
      <c r="B2513">
        <v>22</v>
      </c>
      <c r="C2513" t="s">
        <v>4803</v>
      </c>
      <c r="D2513" t="s">
        <v>13</v>
      </c>
      <c r="E2513">
        <v>55</v>
      </c>
      <c r="F2513">
        <v>38</v>
      </c>
      <c r="G2513" t="s">
        <v>4799</v>
      </c>
      <c r="H2513" t="s">
        <v>4804</v>
      </c>
      <c r="I2513">
        <v>13.99</v>
      </c>
      <c r="J2513">
        <v>4</v>
      </c>
      <c r="K2513">
        <v>1.83</v>
      </c>
      <c r="L2513">
        <v>0</v>
      </c>
      <c r="M2513" t="s">
        <v>4812</v>
      </c>
      <c r="N2513" t="s">
        <v>4900</v>
      </c>
      <c r="O2513" t="s">
        <v>4912</v>
      </c>
    </row>
    <row r="2514" spans="1:15" x14ac:dyDescent="0.35">
      <c r="A2514" t="s">
        <v>2481</v>
      </c>
      <c r="B2514">
        <v>48</v>
      </c>
      <c r="C2514" t="s">
        <v>4802</v>
      </c>
      <c r="D2514" t="s">
        <v>14</v>
      </c>
      <c r="E2514">
        <v>46</v>
      </c>
      <c r="F2514">
        <v>31</v>
      </c>
      <c r="G2514" t="s">
        <v>4797</v>
      </c>
      <c r="H2514" t="s">
        <v>4805</v>
      </c>
      <c r="I2514">
        <v>8.99</v>
      </c>
      <c r="J2514">
        <v>1</v>
      </c>
      <c r="K2514">
        <v>1.53</v>
      </c>
      <c r="L2514">
        <v>0</v>
      </c>
      <c r="M2514" t="s">
        <v>4808</v>
      </c>
      <c r="N2514" t="s">
        <v>4900</v>
      </c>
      <c r="O2514" t="s">
        <v>4910</v>
      </c>
    </row>
    <row r="2515" spans="1:15" x14ac:dyDescent="0.35">
      <c r="A2515" t="s">
        <v>2482</v>
      </c>
      <c r="B2515">
        <v>19</v>
      </c>
      <c r="C2515" t="s">
        <v>4802</v>
      </c>
      <c r="D2515" t="s">
        <v>13</v>
      </c>
      <c r="E2515">
        <v>37</v>
      </c>
      <c r="F2515">
        <v>29</v>
      </c>
      <c r="G2515" t="s">
        <v>4797</v>
      </c>
      <c r="H2515" t="s">
        <v>4804</v>
      </c>
      <c r="I2515">
        <v>13.99</v>
      </c>
      <c r="J2515">
        <v>1</v>
      </c>
      <c r="K2515">
        <v>1.23</v>
      </c>
      <c r="L2515">
        <v>0</v>
      </c>
      <c r="M2515" t="s">
        <v>4808</v>
      </c>
      <c r="N2515" t="s">
        <v>4900</v>
      </c>
      <c r="O2515" t="s">
        <v>4912</v>
      </c>
    </row>
    <row r="2516" spans="1:15" x14ac:dyDescent="0.35">
      <c r="A2516" t="s">
        <v>2483</v>
      </c>
      <c r="B2516">
        <v>63</v>
      </c>
      <c r="C2516" t="s">
        <v>4803</v>
      </c>
      <c r="D2516" t="s">
        <v>13</v>
      </c>
      <c r="E2516">
        <v>47</v>
      </c>
      <c r="F2516">
        <v>59</v>
      </c>
      <c r="G2516" t="s">
        <v>4799</v>
      </c>
      <c r="H2516" t="s">
        <v>4806</v>
      </c>
      <c r="I2516">
        <v>13.99</v>
      </c>
      <c r="J2516">
        <v>4</v>
      </c>
      <c r="K2516">
        <v>1.57</v>
      </c>
      <c r="L2516">
        <v>0</v>
      </c>
      <c r="M2516" t="s">
        <v>4812</v>
      </c>
      <c r="N2516" t="s">
        <v>4900</v>
      </c>
      <c r="O2516" t="s">
        <v>4911</v>
      </c>
    </row>
    <row r="2517" spans="1:15" x14ac:dyDescent="0.35">
      <c r="A2517" t="s">
        <v>4874</v>
      </c>
      <c r="B2517">
        <v>65</v>
      </c>
      <c r="C2517" t="s">
        <v>4803</v>
      </c>
      <c r="D2517" t="s">
        <v>13</v>
      </c>
      <c r="E2517">
        <v>55</v>
      </c>
      <c r="F2517">
        <v>49</v>
      </c>
      <c r="G2517" t="s">
        <v>4798</v>
      </c>
      <c r="H2517" t="s">
        <v>4805</v>
      </c>
      <c r="I2517">
        <v>13.99</v>
      </c>
      <c r="J2517">
        <v>1</v>
      </c>
      <c r="K2517">
        <v>1.83</v>
      </c>
      <c r="L2517">
        <v>0</v>
      </c>
      <c r="M2517" t="s">
        <v>4811</v>
      </c>
      <c r="N2517" t="s">
        <v>4900</v>
      </c>
      <c r="O2517" t="s">
        <v>4911</v>
      </c>
    </row>
    <row r="2518" spans="1:15" x14ac:dyDescent="0.35">
      <c r="A2518" t="s">
        <v>2484</v>
      </c>
      <c r="B2518">
        <v>23</v>
      </c>
      <c r="C2518" t="s">
        <v>4803</v>
      </c>
      <c r="D2518" t="s">
        <v>15</v>
      </c>
      <c r="E2518">
        <v>119</v>
      </c>
      <c r="F2518">
        <v>50</v>
      </c>
      <c r="G2518" t="s">
        <v>4797</v>
      </c>
      <c r="H2518" t="s">
        <v>4804</v>
      </c>
      <c r="I2518">
        <v>17.989999999999998</v>
      </c>
      <c r="J2518">
        <v>2</v>
      </c>
      <c r="K2518">
        <v>3.97</v>
      </c>
      <c r="L2518">
        <v>0</v>
      </c>
      <c r="M2518" t="s">
        <v>4811</v>
      </c>
      <c r="N2518" t="s">
        <v>4900</v>
      </c>
      <c r="O2518" t="s">
        <v>4912</v>
      </c>
    </row>
    <row r="2519" spans="1:15" x14ac:dyDescent="0.35">
      <c r="A2519" t="s">
        <v>2485</v>
      </c>
      <c r="B2519">
        <v>50</v>
      </c>
      <c r="C2519" t="s">
        <v>4802</v>
      </c>
      <c r="D2519" t="s">
        <v>15</v>
      </c>
      <c r="E2519">
        <v>100</v>
      </c>
      <c r="F2519">
        <v>42</v>
      </c>
      <c r="G2519" t="s">
        <v>4798</v>
      </c>
      <c r="H2519" t="s">
        <v>4804</v>
      </c>
      <c r="I2519">
        <v>17.989999999999998</v>
      </c>
      <c r="J2519">
        <v>2</v>
      </c>
      <c r="K2519">
        <v>3.33</v>
      </c>
      <c r="L2519">
        <v>0</v>
      </c>
      <c r="M2519" t="s">
        <v>4809</v>
      </c>
      <c r="N2519" t="s">
        <v>4900</v>
      </c>
      <c r="O2519" t="s">
        <v>4910</v>
      </c>
    </row>
    <row r="2520" spans="1:15" x14ac:dyDescent="0.35">
      <c r="A2520" t="s">
        <v>2486</v>
      </c>
      <c r="B2520">
        <v>18</v>
      </c>
      <c r="C2520" t="s">
        <v>4802</v>
      </c>
      <c r="D2520" t="s">
        <v>13</v>
      </c>
      <c r="E2520">
        <v>69</v>
      </c>
      <c r="F2520">
        <v>50</v>
      </c>
      <c r="G2520" t="s">
        <v>4798</v>
      </c>
      <c r="H2520" t="s">
        <v>4804</v>
      </c>
      <c r="I2520">
        <v>13.99</v>
      </c>
      <c r="J2520">
        <v>3</v>
      </c>
      <c r="K2520">
        <v>2.0299999999999998</v>
      </c>
      <c r="L2520">
        <v>0</v>
      </c>
      <c r="M2520" t="s">
        <v>4808</v>
      </c>
      <c r="N2520" t="s">
        <v>4900</v>
      </c>
      <c r="O2520" t="s">
        <v>4912</v>
      </c>
    </row>
    <row r="2521" spans="1:15" x14ac:dyDescent="0.35">
      <c r="A2521" t="s">
        <v>2487</v>
      </c>
      <c r="B2521">
        <v>25</v>
      </c>
      <c r="C2521" t="s">
        <v>4802</v>
      </c>
      <c r="D2521" t="s">
        <v>15</v>
      </c>
      <c r="E2521">
        <v>95</v>
      </c>
      <c r="F2521">
        <v>4</v>
      </c>
      <c r="G2521" t="s">
        <v>4797</v>
      </c>
      <c r="H2521" t="s">
        <v>4805</v>
      </c>
      <c r="I2521">
        <v>17.989999999999998</v>
      </c>
      <c r="J2521">
        <v>5</v>
      </c>
      <c r="K2521">
        <v>3.17</v>
      </c>
      <c r="L2521">
        <v>0</v>
      </c>
      <c r="M2521" t="s">
        <v>4809</v>
      </c>
      <c r="N2521" t="s">
        <v>4900</v>
      </c>
      <c r="O2521" t="s">
        <v>4912</v>
      </c>
    </row>
    <row r="2522" spans="1:15" x14ac:dyDescent="0.35">
      <c r="A2522" t="s">
        <v>2488</v>
      </c>
      <c r="B2522">
        <v>26</v>
      </c>
      <c r="C2522" t="s">
        <v>4803</v>
      </c>
      <c r="D2522" t="s">
        <v>13</v>
      </c>
      <c r="E2522">
        <v>46</v>
      </c>
      <c r="F2522">
        <v>10</v>
      </c>
      <c r="G2522" t="s">
        <v>4799</v>
      </c>
      <c r="H2522" t="s">
        <v>4805</v>
      </c>
      <c r="I2522">
        <v>13.99</v>
      </c>
      <c r="J2522">
        <v>4</v>
      </c>
      <c r="K2522">
        <v>1.53</v>
      </c>
      <c r="L2522">
        <v>1</v>
      </c>
      <c r="M2522" t="s">
        <v>4811</v>
      </c>
      <c r="N2522" t="s">
        <v>4899</v>
      </c>
      <c r="O2522" t="s">
        <v>4912</v>
      </c>
    </row>
    <row r="2523" spans="1:15" x14ac:dyDescent="0.35">
      <c r="A2523" t="s">
        <v>2489</v>
      </c>
      <c r="B2523">
        <v>46</v>
      </c>
      <c r="C2523" t="s">
        <v>4802</v>
      </c>
      <c r="D2523" t="s">
        <v>13</v>
      </c>
      <c r="E2523">
        <v>32</v>
      </c>
      <c r="F2523">
        <v>25</v>
      </c>
      <c r="G2523" t="s">
        <v>4797</v>
      </c>
      <c r="H2523" t="s">
        <v>4805</v>
      </c>
      <c r="I2523">
        <v>13.99</v>
      </c>
      <c r="J2523">
        <v>1</v>
      </c>
      <c r="K2523">
        <v>1.07</v>
      </c>
      <c r="L2523">
        <v>1</v>
      </c>
      <c r="M2523" t="s">
        <v>4811</v>
      </c>
      <c r="N2523" t="s">
        <v>4899</v>
      </c>
      <c r="O2523" t="s">
        <v>4910</v>
      </c>
    </row>
    <row r="2524" spans="1:15" x14ac:dyDescent="0.35">
      <c r="A2524" t="s">
        <v>2490</v>
      </c>
      <c r="B2524">
        <v>26</v>
      </c>
      <c r="C2524" t="s">
        <v>4803</v>
      </c>
      <c r="D2524" t="s">
        <v>14</v>
      </c>
      <c r="E2524">
        <v>37</v>
      </c>
      <c r="F2524">
        <v>56</v>
      </c>
      <c r="G2524" t="s">
        <v>4798</v>
      </c>
      <c r="H2524" t="s">
        <v>4805</v>
      </c>
      <c r="I2524">
        <v>8.99</v>
      </c>
      <c r="J2524">
        <v>1</v>
      </c>
      <c r="K2524">
        <v>1.23</v>
      </c>
      <c r="L2524">
        <v>0</v>
      </c>
      <c r="M2524" t="s">
        <v>4808</v>
      </c>
      <c r="N2524" t="s">
        <v>4900</v>
      </c>
      <c r="O2524" t="s">
        <v>4912</v>
      </c>
    </row>
    <row r="2525" spans="1:15" x14ac:dyDescent="0.35">
      <c r="A2525" t="s">
        <v>2491</v>
      </c>
      <c r="B2525">
        <v>62</v>
      </c>
      <c r="C2525" t="s">
        <v>4802</v>
      </c>
      <c r="D2525" t="s">
        <v>13</v>
      </c>
      <c r="E2525">
        <v>78</v>
      </c>
      <c r="F2525">
        <v>33</v>
      </c>
      <c r="G2525" t="s">
        <v>4799</v>
      </c>
      <c r="H2525" t="s">
        <v>4806</v>
      </c>
      <c r="I2525">
        <v>13.99</v>
      </c>
      <c r="J2525">
        <v>4</v>
      </c>
      <c r="K2525">
        <v>2.6</v>
      </c>
      <c r="L2525">
        <v>0</v>
      </c>
      <c r="M2525" t="s">
        <v>4809</v>
      </c>
      <c r="N2525" t="s">
        <v>4900</v>
      </c>
      <c r="O2525" t="s">
        <v>4911</v>
      </c>
    </row>
    <row r="2526" spans="1:15" x14ac:dyDescent="0.35">
      <c r="A2526" t="s">
        <v>2492</v>
      </c>
      <c r="B2526">
        <v>39</v>
      </c>
      <c r="C2526" t="s">
        <v>4803</v>
      </c>
      <c r="D2526" t="s">
        <v>13</v>
      </c>
      <c r="E2526">
        <v>52</v>
      </c>
      <c r="F2526">
        <v>57</v>
      </c>
      <c r="G2526" t="s">
        <v>4797</v>
      </c>
      <c r="H2526" t="s">
        <v>4804</v>
      </c>
      <c r="I2526">
        <v>13.99</v>
      </c>
      <c r="J2526">
        <v>2</v>
      </c>
      <c r="K2526">
        <v>1.73</v>
      </c>
      <c r="L2526">
        <v>1</v>
      </c>
      <c r="M2526" t="s">
        <v>4809</v>
      </c>
      <c r="N2526" t="s">
        <v>4899</v>
      </c>
      <c r="O2526" t="s">
        <v>4910</v>
      </c>
    </row>
    <row r="2527" spans="1:15" x14ac:dyDescent="0.35">
      <c r="A2527" t="s">
        <v>2493</v>
      </c>
      <c r="B2527">
        <v>45</v>
      </c>
      <c r="C2527" t="s">
        <v>4802</v>
      </c>
      <c r="D2527" t="s">
        <v>13</v>
      </c>
      <c r="E2527">
        <v>38</v>
      </c>
      <c r="F2527">
        <v>45</v>
      </c>
      <c r="G2527" t="s">
        <v>4798</v>
      </c>
      <c r="H2527" t="s">
        <v>4806</v>
      </c>
      <c r="I2527">
        <v>13.99</v>
      </c>
      <c r="J2527">
        <v>4</v>
      </c>
      <c r="K2527">
        <v>1.27</v>
      </c>
      <c r="L2527">
        <v>0</v>
      </c>
      <c r="M2527" t="s">
        <v>4810</v>
      </c>
      <c r="N2527" t="s">
        <v>4900</v>
      </c>
      <c r="O2527" t="s">
        <v>4910</v>
      </c>
    </row>
    <row r="2528" spans="1:15" x14ac:dyDescent="0.35">
      <c r="A2528" t="s">
        <v>2494</v>
      </c>
      <c r="B2528">
        <v>28</v>
      </c>
      <c r="C2528" t="s">
        <v>4803</v>
      </c>
      <c r="D2528" t="s">
        <v>13</v>
      </c>
      <c r="E2528">
        <v>78</v>
      </c>
      <c r="F2528">
        <v>19</v>
      </c>
      <c r="G2528" t="s">
        <v>4799</v>
      </c>
      <c r="H2528" t="s">
        <v>4805</v>
      </c>
      <c r="I2528">
        <v>13.99</v>
      </c>
      <c r="J2528">
        <v>1</v>
      </c>
      <c r="K2528">
        <v>2.6</v>
      </c>
      <c r="L2528">
        <v>0</v>
      </c>
      <c r="M2528" t="s">
        <v>4810</v>
      </c>
      <c r="N2528" t="s">
        <v>4900</v>
      </c>
      <c r="O2528" t="s">
        <v>4912</v>
      </c>
    </row>
    <row r="2529" spans="1:15" x14ac:dyDescent="0.35">
      <c r="A2529" t="s">
        <v>2495</v>
      </c>
      <c r="B2529">
        <v>37</v>
      </c>
      <c r="C2529" t="s">
        <v>4802</v>
      </c>
      <c r="D2529" t="s">
        <v>13</v>
      </c>
      <c r="E2529">
        <v>68</v>
      </c>
      <c r="F2529">
        <v>16</v>
      </c>
      <c r="G2529" t="s">
        <v>4799</v>
      </c>
      <c r="H2529" t="s">
        <v>4807</v>
      </c>
      <c r="I2529">
        <v>13.99</v>
      </c>
      <c r="J2529">
        <v>2</v>
      </c>
      <c r="K2529">
        <v>2.27</v>
      </c>
      <c r="L2529">
        <v>0</v>
      </c>
      <c r="M2529" t="s">
        <v>4809</v>
      </c>
      <c r="N2529" t="s">
        <v>4900</v>
      </c>
      <c r="O2529" t="s">
        <v>4910</v>
      </c>
    </row>
    <row r="2530" spans="1:15" x14ac:dyDescent="0.35">
      <c r="A2530" t="s">
        <v>2496</v>
      </c>
      <c r="B2530">
        <v>40</v>
      </c>
      <c r="C2530" t="s">
        <v>4803</v>
      </c>
      <c r="D2530" t="s">
        <v>13</v>
      </c>
      <c r="E2530">
        <v>76</v>
      </c>
      <c r="F2530">
        <v>34</v>
      </c>
      <c r="G2530" t="s">
        <v>4800</v>
      </c>
      <c r="H2530" t="s">
        <v>4805</v>
      </c>
      <c r="I2530">
        <v>13.99</v>
      </c>
      <c r="J2530">
        <v>2</v>
      </c>
      <c r="K2530">
        <v>2.5299999999999998</v>
      </c>
      <c r="L2530">
        <v>0</v>
      </c>
      <c r="M2530" t="s">
        <v>4810</v>
      </c>
      <c r="N2530" t="s">
        <v>4900</v>
      </c>
      <c r="O2530" t="s">
        <v>4910</v>
      </c>
    </row>
    <row r="2531" spans="1:15" x14ac:dyDescent="0.35">
      <c r="A2531" t="s">
        <v>2497</v>
      </c>
      <c r="B2531">
        <v>35</v>
      </c>
      <c r="C2531" t="s">
        <v>4802</v>
      </c>
      <c r="D2531" t="s">
        <v>13</v>
      </c>
      <c r="E2531">
        <v>30</v>
      </c>
      <c r="F2531">
        <v>31</v>
      </c>
      <c r="G2531" t="s">
        <v>4800</v>
      </c>
      <c r="H2531" t="s">
        <v>4806</v>
      </c>
      <c r="I2531">
        <v>13.99</v>
      </c>
      <c r="J2531">
        <v>1</v>
      </c>
      <c r="K2531">
        <v>1</v>
      </c>
      <c r="L2531">
        <v>1</v>
      </c>
      <c r="M2531" t="s">
        <v>4812</v>
      </c>
      <c r="N2531" t="s">
        <v>4899</v>
      </c>
      <c r="O2531" t="s">
        <v>4910</v>
      </c>
    </row>
    <row r="2532" spans="1:15" x14ac:dyDescent="0.35">
      <c r="A2532" t="s">
        <v>2498</v>
      </c>
      <c r="B2532">
        <v>34</v>
      </c>
      <c r="C2532" t="s">
        <v>4802</v>
      </c>
      <c r="D2532" t="s">
        <v>13</v>
      </c>
      <c r="E2532">
        <v>60</v>
      </c>
      <c r="F2532">
        <v>59</v>
      </c>
      <c r="G2532" t="s">
        <v>4799</v>
      </c>
      <c r="H2532" t="s">
        <v>4804</v>
      </c>
      <c r="I2532">
        <v>13.99</v>
      </c>
      <c r="J2532">
        <v>4</v>
      </c>
      <c r="K2532">
        <v>2</v>
      </c>
      <c r="L2532">
        <v>0</v>
      </c>
      <c r="M2532" t="s">
        <v>4808</v>
      </c>
      <c r="N2532" t="s">
        <v>4900</v>
      </c>
      <c r="O2532" t="s">
        <v>4912</v>
      </c>
    </row>
    <row r="2533" spans="1:15" x14ac:dyDescent="0.35">
      <c r="A2533" t="s">
        <v>2499</v>
      </c>
      <c r="B2533">
        <v>53</v>
      </c>
      <c r="C2533" t="s">
        <v>4802</v>
      </c>
      <c r="D2533" t="s">
        <v>13</v>
      </c>
      <c r="E2533">
        <v>44</v>
      </c>
      <c r="F2533">
        <v>40</v>
      </c>
      <c r="G2533" t="s">
        <v>4797</v>
      </c>
      <c r="H2533" t="s">
        <v>4804</v>
      </c>
      <c r="I2533">
        <v>13.99</v>
      </c>
      <c r="J2533">
        <v>1</v>
      </c>
      <c r="K2533">
        <v>1.47</v>
      </c>
      <c r="L2533">
        <v>0</v>
      </c>
      <c r="M2533" t="s">
        <v>4808</v>
      </c>
      <c r="N2533" t="s">
        <v>4900</v>
      </c>
      <c r="O2533" t="s">
        <v>4910</v>
      </c>
    </row>
    <row r="2534" spans="1:15" x14ac:dyDescent="0.35">
      <c r="A2534" t="s">
        <v>2500</v>
      </c>
      <c r="B2534">
        <v>46</v>
      </c>
      <c r="C2534" t="s">
        <v>4803</v>
      </c>
      <c r="D2534" t="s">
        <v>15</v>
      </c>
      <c r="E2534">
        <v>83</v>
      </c>
      <c r="F2534">
        <v>15</v>
      </c>
      <c r="G2534" t="s">
        <v>4798</v>
      </c>
      <c r="H2534" t="s">
        <v>4805</v>
      </c>
      <c r="I2534">
        <v>17.989999999999998</v>
      </c>
      <c r="J2534">
        <v>4</v>
      </c>
      <c r="K2534">
        <v>2.77</v>
      </c>
      <c r="L2534">
        <v>0</v>
      </c>
      <c r="M2534" t="s">
        <v>4809</v>
      </c>
      <c r="N2534" t="s">
        <v>4900</v>
      </c>
      <c r="O2534" t="s">
        <v>4910</v>
      </c>
    </row>
    <row r="2535" spans="1:15" x14ac:dyDescent="0.35">
      <c r="A2535" t="s">
        <v>2501</v>
      </c>
      <c r="B2535">
        <v>51</v>
      </c>
      <c r="C2535" t="s">
        <v>4802</v>
      </c>
      <c r="D2535" t="s">
        <v>13</v>
      </c>
      <c r="E2535">
        <v>47</v>
      </c>
      <c r="F2535">
        <v>17</v>
      </c>
      <c r="G2535" t="s">
        <v>4798</v>
      </c>
      <c r="H2535" t="s">
        <v>4804</v>
      </c>
      <c r="I2535">
        <v>13.99</v>
      </c>
      <c r="J2535">
        <v>2</v>
      </c>
      <c r="K2535">
        <v>1.57</v>
      </c>
      <c r="L2535">
        <v>0</v>
      </c>
      <c r="M2535" t="s">
        <v>4811</v>
      </c>
      <c r="N2535" t="s">
        <v>4900</v>
      </c>
      <c r="O2535" t="s">
        <v>4910</v>
      </c>
    </row>
    <row r="2536" spans="1:15" x14ac:dyDescent="0.35">
      <c r="A2536" t="s">
        <v>2502</v>
      </c>
      <c r="B2536">
        <v>31</v>
      </c>
      <c r="C2536" t="s">
        <v>4803</v>
      </c>
      <c r="D2536" t="s">
        <v>14</v>
      </c>
      <c r="E2536">
        <v>21</v>
      </c>
      <c r="F2536">
        <v>56</v>
      </c>
      <c r="G2536" t="s">
        <v>4799</v>
      </c>
      <c r="H2536" t="s">
        <v>4805</v>
      </c>
      <c r="I2536">
        <v>8.99</v>
      </c>
      <c r="J2536">
        <v>2</v>
      </c>
      <c r="K2536">
        <v>0.7</v>
      </c>
      <c r="L2536">
        <v>0</v>
      </c>
      <c r="M2536" t="s">
        <v>4812</v>
      </c>
      <c r="N2536" t="s">
        <v>4900</v>
      </c>
      <c r="O2536" t="s">
        <v>4912</v>
      </c>
    </row>
    <row r="2537" spans="1:15" x14ac:dyDescent="0.35">
      <c r="A2537" t="s">
        <v>2503</v>
      </c>
      <c r="B2537">
        <v>43</v>
      </c>
      <c r="C2537" t="s">
        <v>4802</v>
      </c>
      <c r="D2537" t="s">
        <v>13</v>
      </c>
      <c r="E2537">
        <v>74</v>
      </c>
      <c r="F2537">
        <v>39</v>
      </c>
      <c r="G2537" t="s">
        <v>4798</v>
      </c>
      <c r="H2537" t="s">
        <v>4804</v>
      </c>
      <c r="I2537">
        <v>13.99</v>
      </c>
      <c r="J2537">
        <v>3</v>
      </c>
      <c r="K2537">
        <v>2.4700000000000002</v>
      </c>
      <c r="L2537">
        <v>0</v>
      </c>
      <c r="M2537" t="s">
        <v>4809</v>
      </c>
      <c r="N2537" t="s">
        <v>4900</v>
      </c>
      <c r="O2537" t="s">
        <v>4910</v>
      </c>
    </row>
    <row r="2538" spans="1:15" x14ac:dyDescent="0.35">
      <c r="A2538" t="s">
        <v>2504</v>
      </c>
      <c r="B2538">
        <v>40</v>
      </c>
      <c r="C2538" t="s">
        <v>4802</v>
      </c>
      <c r="D2538" t="s">
        <v>13</v>
      </c>
      <c r="E2538">
        <v>50</v>
      </c>
      <c r="F2538">
        <v>12</v>
      </c>
      <c r="G2538" t="s">
        <v>4797</v>
      </c>
      <c r="H2538" t="s">
        <v>4804</v>
      </c>
      <c r="I2538">
        <v>13.99</v>
      </c>
      <c r="J2538">
        <v>1</v>
      </c>
      <c r="K2538">
        <v>1.67</v>
      </c>
      <c r="L2538">
        <v>0</v>
      </c>
      <c r="M2538" t="s">
        <v>4809</v>
      </c>
      <c r="N2538" t="s">
        <v>4900</v>
      </c>
      <c r="O2538" t="s">
        <v>4910</v>
      </c>
    </row>
    <row r="2539" spans="1:15" x14ac:dyDescent="0.35">
      <c r="A2539" t="s">
        <v>2505</v>
      </c>
      <c r="B2539">
        <v>53</v>
      </c>
      <c r="C2539" t="s">
        <v>4803</v>
      </c>
      <c r="D2539" t="s">
        <v>13</v>
      </c>
      <c r="E2539">
        <v>78</v>
      </c>
      <c r="F2539">
        <v>55</v>
      </c>
      <c r="G2539" t="s">
        <v>4799</v>
      </c>
      <c r="H2539" t="s">
        <v>4804</v>
      </c>
      <c r="I2539">
        <v>13.99</v>
      </c>
      <c r="J2539">
        <v>3</v>
      </c>
      <c r="K2539">
        <v>2.6</v>
      </c>
      <c r="L2539">
        <v>0</v>
      </c>
      <c r="M2539" t="s">
        <v>4811</v>
      </c>
      <c r="N2539" t="s">
        <v>4900</v>
      </c>
      <c r="O2539" t="s">
        <v>4910</v>
      </c>
    </row>
    <row r="2540" spans="1:15" x14ac:dyDescent="0.35">
      <c r="A2540" t="s">
        <v>2506</v>
      </c>
      <c r="B2540">
        <v>23</v>
      </c>
      <c r="C2540" t="s">
        <v>4803</v>
      </c>
      <c r="D2540" t="s">
        <v>15</v>
      </c>
      <c r="E2540">
        <v>85</v>
      </c>
      <c r="F2540">
        <v>27</v>
      </c>
      <c r="G2540" t="s">
        <v>4799</v>
      </c>
      <c r="H2540" t="s">
        <v>4804</v>
      </c>
      <c r="I2540">
        <v>17.989999999999998</v>
      </c>
      <c r="J2540">
        <v>5</v>
      </c>
      <c r="K2540">
        <v>2.83</v>
      </c>
      <c r="L2540">
        <v>0</v>
      </c>
      <c r="M2540" t="s">
        <v>4808</v>
      </c>
      <c r="N2540" t="s">
        <v>4900</v>
      </c>
      <c r="O2540" t="s">
        <v>4912</v>
      </c>
    </row>
    <row r="2541" spans="1:15" x14ac:dyDescent="0.35">
      <c r="A2541" t="s">
        <v>2507</v>
      </c>
      <c r="B2541">
        <v>48</v>
      </c>
      <c r="C2541" t="s">
        <v>4802</v>
      </c>
      <c r="D2541" t="s">
        <v>15</v>
      </c>
      <c r="E2541">
        <v>57</v>
      </c>
      <c r="F2541">
        <v>999</v>
      </c>
      <c r="G2541" t="s">
        <v>4798</v>
      </c>
      <c r="H2541" t="s">
        <v>4804</v>
      </c>
      <c r="I2541">
        <v>17.989999999999998</v>
      </c>
      <c r="J2541">
        <v>5</v>
      </c>
      <c r="K2541">
        <v>1.9</v>
      </c>
      <c r="L2541">
        <v>0</v>
      </c>
      <c r="M2541" t="s">
        <v>4809</v>
      </c>
      <c r="N2541" t="s">
        <v>4900</v>
      </c>
      <c r="O2541" t="s">
        <v>4910</v>
      </c>
    </row>
    <row r="2542" spans="1:15" x14ac:dyDescent="0.35">
      <c r="A2542" t="s">
        <v>2508</v>
      </c>
      <c r="B2542">
        <v>31</v>
      </c>
      <c r="C2542" t="s">
        <v>4802</v>
      </c>
      <c r="D2542" t="s">
        <v>13</v>
      </c>
      <c r="E2542">
        <v>44</v>
      </c>
      <c r="F2542">
        <v>21</v>
      </c>
      <c r="G2542" t="s">
        <v>4799</v>
      </c>
      <c r="H2542" t="s">
        <v>4806</v>
      </c>
      <c r="I2542">
        <v>13.99</v>
      </c>
      <c r="J2542">
        <v>1</v>
      </c>
      <c r="K2542">
        <v>1.47</v>
      </c>
      <c r="L2542">
        <v>0</v>
      </c>
      <c r="M2542" t="s">
        <v>4810</v>
      </c>
      <c r="N2542" t="s">
        <v>4900</v>
      </c>
      <c r="O2542" t="s">
        <v>4912</v>
      </c>
    </row>
    <row r="2543" spans="1:15" x14ac:dyDescent="0.35">
      <c r="A2543" t="s">
        <v>2509</v>
      </c>
      <c r="B2543">
        <v>18</v>
      </c>
      <c r="C2543" t="s">
        <v>4803</v>
      </c>
      <c r="D2543" t="s">
        <v>15</v>
      </c>
      <c r="E2543">
        <v>119</v>
      </c>
      <c r="F2543">
        <v>14</v>
      </c>
      <c r="G2543" t="s">
        <v>4797</v>
      </c>
      <c r="H2543" t="s">
        <v>4805</v>
      </c>
      <c r="I2543">
        <v>17.989999999999998</v>
      </c>
      <c r="J2543">
        <v>3</v>
      </c>
      <c r="K2543">
        <v>3.97</v>
      </c>
      <c r="L2543">
        <v>0</v>
      </c>
      <c r="M2543" t="s">
        <v>4809</v>
      </c>
      <c r="N2543" t="s">
        <v>4900</v>
      </c>
      <c r="O2543" t="s">
        <v>4912</v>
      </c>
    </row>
    <row r="2544" spans="1:15" x14ac:dyDescent="0.35">
      <c r="A2544" t="s">
        <v>2510</v>
      </c>
      <c r="B2544">
        <v>38</v>
      </c>
      <c r="C2544" t="s">
        <v>4802</v>
      </c>
      <c r="D2544" t="s">
        <v>13</v>
      </c>
      <c r="E2544">
        <v>44</v>
      </c>
      <c r="F2544">
        <v>4</v>
      </c>
      <c r="G2544" t="s">
        <v>4799</v>
      </c>
      <c r="H2544" t="s">
        <v>4804</v>
      </c>
      <c r="I2544">
        <v>13.99</v>
      </c>
      <c r="J2544">
        <v>4</v>
      </c>
      <c r="K2544">
        <v>1.47</v>
      </c>
      <c r="L2544">
        <v>0</v>
      </c>
      <c r="M2544" t="s">
        <v>4809</v>
      </c>
      <c r="N2544" t="s">
        <v>4900</v>
      </c>
      <c r="O2544" t="s">
        <v>4910</v>
      </c>
    </row>
    <row r="2545" spans="1:15" x14ac:dyDescent="0.35">
      <c r="A2545" t="s">
        <v>2511</v>
      </c>
      <c r="B2545">
        <v>24</v>
      </c>
      <c r="C2545" t="s">
        <v>4802</v>
      </c>
      <c r="D2545" t="s">
        <v>13</v>
      </c>
      <c r="E2545">
        <v>59</v>
      </c>
      <c r="F2545">
        <v>9</v>
      </c>
      <c r="G2545" t="s">
        <v>4799</v>
      </c>
      <c r="H2545" t="s">
        <v>4804</v>
      </c>
      <c r="I2545">
        <v>13.99</v>
      </c>
      <c r="J2545">
        <v>2</v>
      </c>
      <c r="K2545">
        <v>5</v>
      </c>
      <c r="L2545">
        <v>0</v>
      </c>
      <c r="M2545" t="s">
        <v>4810</v>
      </c>
      <c r="N2545" t="s">
        <v>4900</v>
      </c>
      <c r="O2545" t="s">
        <v>4912</v>
      </c>
    </row>
    <row r="2546" spans="1:15" x14ac:dyDescent="0.35">
      <c r="A2546" t="s">
        <v>2512</v>
      </c>
      <c r="B2546">
        <v>58</v>
      </c>
      <c r="C2546" t="s">
        <v>4802</v>
      </c>
      <c r="D2546" t="s">
        <v>15</v>
      </c>
      <c r="E2546">
        <v>64</v>
      </c>
      <c r="F2546">
        <v>49</v>
      </c>
      <c r="G2546" t="s">
        <v>4800</v>
      </c>
      <c r="H2546" t="s">
        <v>4805</v>
      </c>
      <c r="I2546">
        <v>17.989999999999998</v>
      </c>
      <c r="J2546">
        <v>5</v>
      </c>
      <c r="K2546">
        <v>2.13</v>
      </c>
      <c r="L2546">
        <v>0</v>
      </c>
      <c r="M2546" t="s">
        <v>4809</v>
      </c>
      <c r="N2546" t="s">
        <v>4900</v>
      </c>
      <c r="O2546" t="s">
        <v>4911</v>
      </c>
    </row>
    <row r="2547" spans="1:15" x14ac:dyDescent="0.35">
      <c r="A2547" t="s">
        <v>2513</v>
      </c>
      <c r="B2547">
        <v>62</v>
      </c>
      <c r="C2547" t="s">
        <v>4802</v>
      </c>
      <c r="D2547" t="s">
        <v>13</v>
      </c>
      <c r="E2547">
        <v>31</v>
      </c>
      <c r="F2547">
        <v>4</v>
      </c>
      <c r="G2547" t="s">
        <v>4799</v>
      </c>
      <c r="H2547" t="s">
        <v>4805</v>
      </c>
      <c r="I2547">
        <v>13.99</v>
      </c>
      <c r="J2547">
        <v>3</v>
      </c>
      <c r="K2547">
        <v>1.03</v>
      </c>
      <c r="L2547">
        <v>0</v>
      </c>
      <c r="M2547" t="s">
        <v>4812</v>
      </c>
      <c r="N2547" t="s">
        <v>4900</v>
      </c>
      <c r="O2547" t="s">
        <v>4911</v>
      </c>
    </row>
    <row r="2548" spans="1:15" x14ac:dyDescent="0.35">
      <c r="A2548" t="s">
        <v>2514</v>
      </c>
      <c r="B2548">
        <v>40</v>
      </c>
      <c r="C2548" t="s">
        <v>4803</v>
      </c>
      <c r="D2548" t="s">
        <v>13</v>
      </c>
      <c r="E2548">
        <v>71</v>
      </c>
      <c r="F2548">
        <v>23</v>
      </c>
      <c r="G2548" t="s">
        <v>4797</v>
      </c>
      <c r="H2548" t="s">
        <v>4804</v>
      </c>
      <c r="I2548">
        <v>13.99</v>
      </c>
      <c r="J2548">
        <v>4</v>
      </c>
      <c r="K2548">
        <v>2.37</v>
      </c>
      <c r="L2548">
        <v>0</v>
      </c>
      <c r="M2548" t="s">
        <v>4808</v>
      </c>
      <c r="N2548" t="s">
        <v>4900</v>
      </c>
      <c r="O2548" t="s">
        <v>4910</v>
      </c>
    </row>
    <row r="2549" spans="1:15" x14ac:dyDescent="0.35">
      <c r="A2549" t="s">
        <v>2515</v>
      </c>
      <c r="B2549">
        <v>64</v>
      </c>
      <c r="C2549" t="s">
        <v>4803</v>
      </c>
      <c r="D2549" t="s">
        <v>13</v>
      </c>
      <c r="E2549">
        <v>61</v>
      </c>
      <c r="F2549">
        <v>56</v>
      </c>
      <c r="G2549" t="s">
        <v>4799</v>
      </c>
      <c r="H2549" t="s">
        <v>4804</v>
      </c>
      <c r="I2549">
        <v>13.99</v>
      </c>
      <c r="J2549">
        <v>4</v>
      </c>
      <c r="K2549">
        <v>2.0299999999999998</v>
      </c>
      <c r="L2549">
        <v>0</v>
      </c>
      <c r="M2549" t="s">
        <v>4809</v>
      </c>
      <c r="N2549" t="s">
        <v>4900</v>
      </c>
      <c r="O2549" t="s">
        <v>4911</v>
      </c>
    </row>
    <row r="2550" spans="1:15" x14ac:dyDescent="0.35">
      <c r="A2550" t="s">
        <v>2516</v>
      </c>
      <c r="B2550">
        <v>58</v>
      </c>
      <c r="C2550" t="s">
        <v>4802</v>
      </c>
      <c r="D2550" t="s">
        <v>15</v>
      </c>
      <c r="E2550">
        <v>68</v>
      </c>
      <c r="F2550">
        <v>1</v>
      </c>
      <c r="G2550" t="s">
        <v>4798</v>
      </c>
      <c r="H2550" t="s">
        <v>4804</v>
      </c>
      <c r="I2550">
        <v>17.989999999999998</v>
      </c>
      <c r="J2550">
        <v>2</v>
      </c>
      <c r="K2550">
        <v>2.27</v>
      </c>
      <c r="L2550">
        <v>0</v>
      </c>
      <c r="M2550" t="s">
        <v>4810</v>
      </c>
      <c r="N2550" t="s">
        <v>4900</v>
      </c>
      <c r="O2550" t="s">
        <v>4911</v>
      </c>
    </row>
    <row r="2551" spans="1:15" x14ac:dyDescent="0.35">
      <c r="A2551" t="s">
        <v>2517</v>
      </c>
      <c r="B2551">
        <v>25</v>
      </c>
      <c r="C2551" t="s">
        <v>4802</v>
      </c>
      <c r="D2551" t="s">
        <v>13</v>
      </c>
      <c r="E2551">
        <v>35</v>
      </c>
      <c r="F2551">
        <v>36</v>
      </c>
      <c r="G2551" t="s">
        <v>4797</v>
      </c>
      <c r="H2551" t="s">
        <v>4806</v>
      </c>
      <c r="I2551">
        <v>13.99</v>
      </c>
      <c r="J2551">
        <v>3</v>
      </c>
      <c r="K2551">
        <v>1.17</v>
      </c>
      <c r="L2551">
        <v>1</v>
      </c>
      <c r="M2551" t="s">
        <v>4812</v>
      </c>
      <c r="N2551" t="s">
        <v>4899</v>
      </c>
      <c r="O2551" t="s">
        <v>4912</v>
      </c>
    </row>
    <row r="2552" spans="1:15" x14ac:dyDescent="0.35">
      <c r="A2552" t="s">
        <v>2518</v>
      </c>
      <c r="B2552">
        <v>51</v>
      </c>
      <c r="C2552" t="s">
        <v>4802</v>
      </c>
      <c r="D2552" t="s">
        <v>15</v>
      </c>
      <c r="E2552">
        <v>58</v>
      </c>
      <c r="F2552">
        <v>34</v>
      </c>
      <c r="G2552" t="s">
        <v>4799</v>
      </c>
      <c r="H2552" t="s">
        <v>4805</v>
      </c>
      <c r="I2552">
        <v>17.989999999999998</v>
      </c>
      <c r="J2552">
        <v>5</v>
      </c>
      <c r="K2552">
        <v>1.93</v>
      </c>
      <c r="L2552">
        <v>0</v>
      </c>
      <c r="M2552" t="s">
        <v>4811</v>
      </c>
      <c r="N2552" t="s">
        <v>4900</v>
      </c>
      <c r="O2552" t="s">
        <v>4910</v>
      </c>
    </row>
    <row r="2553" spans="1:15" x14ac:dyDescent="0.35">
      <c r="A2553" t="s">
        <v>2519</v>
      </c>
      <c r="B2553">
        <v>63</v>
      </c>
      <c r="C2553" t="s">
        <v>4802</v>
      </c>
      <c r="D2553" t="s">
        <v>13</v>
      </c>
      <c r="E2553">
        <v>74</v>
      </c>
      <c r="F2553">
        <v>53</v>
      </c>
      <c r="G2553" t="s">
        <v>4797</v>
      </c>
      <c r="H2553" t="s">
        <v>4806</v>
      </c>
      <c r="I2553">
        <v>13.99</v>
      </c>
      <c r="J2553">
        <v>1</v>
      </c>
      <c r="K2553">
        <v>2.4700000000000002</v>
      </c>
      <c r="L2553">
        <v>0</v>
      </c>
      <c r="M2553" t="s">
        <v>4809</v>
      </c>
      <c r="N2553" t="s">
        <v>4900</v>
      </c>
      <c r="O2553" t="s">
        <v>4911</v>
      </c>
    </row>
    <row r="2554" spans="1:15" x14ac:dyDescent="0.35">
      <c r="A2554" t="s">
        <v>2520</v>
      </c>
      <c r="B2554">
        <v>25</v>
      </c>
      <c r="C2554" t="s">
        <v>4802</v>
      </c>
      <c r="D2554" t="s">
        <v>15</v>
      </c>
      <c r="E2554">
        <v>50</v>
      </c>
      <c r="F2554">
        <v>49</v>
      </c>
      <c r="G2554" t="s">
        <v>4799</v>
      </c>
      <c r="H2554" t="s">
        <v>4804</v>
      </c>
      <c r="I2554">
        <v>17.989999999999998</v>
      </c>
      <c r="J2554">
        <v>2</v>
      </c>
      <c r="K2554">
        <v>1.67</v>
      </c>
      <c r="L2554">
        <v>0</v>
      </c>
      <c r="M2554" t="s">
        <v>4812</v>
      </c>
      <c r="N2554" t="s">
        <v>4900</v>
      </c>
      <c r="O2554" t="s">
        <v>4912</v>
      </c>
    </row>
    <row r="2555" spans="1:15" x14ac:dyDescent="0.35">
      <c r="A2555" t="s">
        <v>2521</v>
      </c>
      <c r="B2555">
        <v>28</v>
      </c>
      <c r="C2555" t="s">
        <v>4802</v>
      </c>
      <c r="D2555" t="s">
        <v>13</v>
      </c>
      <c r="E2555">
        <v>51</v>
      </c>
      <c r="F2555">
        <v>46</v>
      </c>
      <c r="G2555" t="s">
        <v>4797</v>
      </c>
      <c r="H2555" t="s">
        <v>4804</v>
      </c>
      <c r="I2555">
        <v>13.99</v>
      </c>
      <c r="J2555">
        <v>1</v>
      </c>
      <c r="K2555">
        <v>1.7</v>
      </c>
      <c r="L2555">
        <v>0</v>
      </c>
      <c r="M2555" t="s">
        <v>4810</v>
      </c>
      <c r="N2555" t="s">
        <v>4900</v>
      </c>
      <c r="O2555" t="s">
        <v>4912</v>
      </c>
    </row>
    <row r="2556" spans="1:15" x14ac:dyDescent="0.35">
      <c r="A2556" t="s">
        <v>2522</v>
      </c>
      <c r="B2556">
        <v>58</v>
      </c>
      <c r="C2556" t="s">
        <v>4802</v>
      </c>
      <c r="D2556" t="s">
        <v>15</v>
      </c>
      <c r="E2556">
        <v>116</v>
      </c>
      <c r="F2556">
        <v>16</v>
      </c>
      <c r="G2556" t="s">
        <v>4797</v>
      </c>
      <c r="H2556" t="s">
        <v>4804</v>
      </c>
      <c r="I2556">
        <v>17.989999999999998</v>
      </c>
      <c r="J2556">
        <v>5</v>
      </c>
      <c r="K2556">
        <v>3.87</v>
      </c>
      <c r="L2556">
        <v>0</v>
      </c>
      <c r="M2556" t="s">
        <v>4810</v>
      </c>
      <c r="N2556" t="s">
        <v>4900</v>
      </c>
      <c r="O2556" t="s">
        <v>4911</v>
      </c>
    </row>
    <row r="2557" spans="1:15" x14ac:dyDescent="0.35">
      <c r="A2557" t="s">
        <v>2523</v>
      </c>
      <c r="B2557">
        <v>21</v>
      </c>
      <c r="C2557" t="s">
        <v>4802</v>
      </c>
      <c r="D2557" t="s">
        <v>15</v>
      </c>
      <c r="E2557">
        <v>60</v>
      </c>
      <c r="F2557">
        <v>31</v>
      </c>
      <c r="G2557" t="s">
        <v>4798</v>
      </c>
      <c r="H2557" t="s">
        <v>4805</v>
      </c>
      <c r="I2557">
        <v>17.989999999999998</v>
      </c>
      <c r="J2557">
        <v>3</v>
      </c>
      <c r="K2557">
        <v>2</v>
      </c>
      <c r="L2557">
        <v>0</v>
      </c>
      <c r="M2557" t="s">
        <v>4810</v>
      </c>
      <c r="N2557" t="s">
        <v>4900</v>
      </c>
      <c r="O2557" t="s">
        <v>4912</v>
      </c>
    </row>
    <row r="2558" spans="1:15" x14ac:dyDescent="0.35">
      <c r="A2558" t="s">
        <v>2524</v>
      </c>
      <c r="B2558">
        <v>32</v>
      </c>
      <c r="C2558" t="s">
        <v>4802</v>
      </c>
      <c r="D2558" t="s">
        <v>13</v>
      </c>
      <c r="E2558">
        <v>43</v>
      </c>
      <c r="F2558">
        <v>1</v>
      </c>
      <c r="G2558" t="s">
        <v>4797</v>
      </c>
      <c r="H2558" t="s">
        <v>4805</v>
      </c>
      <c r="I2558">
        <v>13.99</v>
      </c>
      <c r="J2558">
        <v>2</v>
      </c>
      <c r="K2558">
        <v>1.43</v>
      </c>
      <c r="L2558">
        <v>0</v>
      </c>
      <c r="M2558" t="s">
        <v>4809</v>
      </c>
      <c r="N2558" t="s">
        <v>4900</v>
      </c>
      <c r="O2558" t="s">
        <v>4912</v>
      </c>
    </row>
    <row r="2559" spans="1:15" x14ac:dyDescent="0.35">
      <c r="A2559" t="s">
        <v>2525</v>
      </c>
      <c r="B2559">
        <v>59</v>
      </c>
      <c r="C2559" t="s">
        <v>4802</v>
      </c>
      <c r="D2559" t="s">
        <v>13</v>
      </c>
      <c r="E2559">
        <v>48</v>
      </c>
      <c r="F2559">
        <v>6</v>
      </c>
      <c r="G2559" t="s">
        <v>4797</v>
      </c>
      <c r="H2559" t="s">
        <v>4805</v>
      </c>
      <c r="I2559">
        <v>13.99</v>
      </c>
      <c r="J2559">
        <v>4</v>
      </c>
      <c r="K2559">
        <v>1.6</v>
      </c>
      <c r="L2559">
        <v>1</v>
      </c>
      <c r="M2559" t="s">
        <v>4810</v>
      </c>
      <c r="N2559" t="s">
        <v>4899</v>
      </c>
      <c r="O2559" t="s">
        <v>4911</v>
      </c>
    </row>
    <row r="2560" spans="1:15" x14ac:dyDescent="0.35">
      <c r="A2560" t="s">
        <v>2526</v>
      </c>
      <c r="B2560">
        <v>30</v>
      </c>
      <c r="C2560" t="s">
        <v>4802</v>
      </c>
      <c r="D2560" t="s">
        <v>15</v>
      </c>
      <c r="E2560">
        <v>56</v>
      </c>
      <c r="F2560">
        <v>18</v>
      </c>
      <c r="G2560" t="s">
        <v>4800</v>
      </c>
      <c r="H2560" t="s">
        <v>4805</v>
      </c>
      <c r="I2560">
        <v>17.989999999999998</v>
      </c>
      <c r="J2560">
        <v>5</v>
      </c>
      <c r="K2560">
        <v>1.87</v>
      </c>
      <c r="L2560">
        <v>1</v>
      </c>
      <c r="M2560" t="s">
        <v>4810</v>
      </c>
      <c r="N2560" t="s">
        <v>4899</v>
      </c>
      <c r="O2560" t="s">
        <v>4912</v>
      </c>
    </row>
    <row r="2561" spans="1:15" x14ac:dyDescent="0.35">
      <c r="A2561" t="s">
        <v>2527</v>
      </c>
      <c r="B2561">
        <v>49</v>
      </c>
      <c r="C2561" t="s">
        <v>4803</v>
      </c>
      <c r="D2561" t="s">
        <v>14</v>
      </c>
      <c r="E2561">
        <v>41</v>
      </c>
      <c r="F2561">
        <v>9</v>
      </c>
      <c r="G2561" t="s">
        <v>4797</v>
      </c>
      <c r="H2561" t="s">
        <v>4804</v>
      </c>
      <c r="I2561">
        <v>8.99</v>
      </c>
      <c r="J2561">
        <v>1</v>
      </c>
      <c r="K2561">
        <v>1.37</v>
      </c>
      <c r="L2561">
        <v>0</v>
      </c>
      <c r="M2561" t="s">
        <v>4812</v>
      </c>
      <c r="N2561" t="s">
        <v>4900</v>
      </c>
      <c r="O2561" t="s">
        <v>4910</v>
      </c>
    </row>
    <row r="2562" spans="1:15" x14ac:dyDescent="0.35">
      <c r="A2562" t="s">
        <v>2528</v>
      </c>
      <c r="B2562">
        <v>21</v>
      </c>
      <c r="C2562" t="s">
        <v>4802</v>
      </c>
      <c r="D2562" t="s">
        <v>15</v>
      </c>
      <c r="E2562">
        <v>51</v>
      </c>
      <c r="F2562">
        <v>7</v>
      </c>
      <c r="G2562" t="s">
        <v>4798</v>
      </c>
      <c r="H2562" t="s">
        <v>4805</v>
      </c>
      <c r="I2562">
        <v>17.989999999999998</v>
      </c>
      <c r="J2562">
        <v>3</v>
      </c>
      <c r="K2562">
        <v>1.7</v>
      </c>
      <c r="L2562">
        <v>0</v>
      </c>
      <c r="M2562" t="s">
        <v>4812</v>
      </c>
      <c r="N2562" t="s">
        <v>4900</v>
      </c>
      <c r="O2562" t="s">
        <v>4912</v>
      </c>
    </row>
    <row r="2563" spans="1:15" x14ac:dyDescent="0.35">
      <c r="A2563" t="s">
        <v>2529</v>
      </c>
      <c r="B2563">
        <v>53</v>
      </c>
      <c r="C2563" t="s">
        <v>4803</v>
      </c>
      <c r="D2563" t="s">
        <v>13</v>
      </c>
      <c r="E2563">
        <v>61</v>
      </c>
      <c r="F2563">
        <v>28</v>
      </c>
      <c r="G2563" t="s">
        <v>4798</v>
      </c>
      <c r="H2563" t="s">
        <v>4806</v>
      </c>
      <c r="I2563">
        <v>13.99</v>
      </c>
      <c r="J2563">
        <v>1</v>
      </c>
      <c r="K2563">
        <v>2.0299999999999998</v>
      </c>
      <c r="L2563">
        <v>0</v>
      </c>
      <c r="M2563" t="s">
        <v>4811</v>
      </c>
      <c r="N2563" t="s">
        <v>4900</v>
      </c>
      <c r="O2563" t="s">
        <v>4910</v>
      </c>
    </row>
    <row r="2564" spans="1:15" x14ac:dyDescent="0.35">
      <c r="A2564" t="s">
        <v>2530</v>
      </c>
      <c r="B2564">
        <v>41</v>
      </c>
      <c r="C2564" t="s">
        <v>4803</v>
      </c>
      <c r="D2564" t="s">
        <v>13</v>
      </c>
      <c r="E2564">
        <v>32</v>
      </c>
      <c r="F2564">
        <v>10</v>
      </c>
      <c r="G2564" t="s">
        <v>4799</v>
      </c>
      <c r="H2564" t="s">
        <v>4805</v>
      </c>
      <c r="I2564">
        <v>13.99</v>
      </c>
      <c r="J2564">
        <v>3</v>
      </c>
      <c r="K2564">
        <v>1.07</v>
      </c>
      <c r="L2564">
        <v>0</v>
      </c>
      <c r="M2564" t="s">
        <v>4811</v>
      </c>
      <c r="N2564" t="s">
        <v>4900</v>
      </c>
      <c r="O2564" t="s">
        <v>4910</v>
      </c>
    </row>
    <row r="2565" spans="1:15" x14ac:dyDescent="0.35">
      <c r="A2565" t="s">
        <v>2531</v>
      </c>
      <c r="B2565">
        <v>27</v>
      </c>
      <c r="C2565" t="s">
        <v>4802</v>
      </c>
      <c r="D2565" t="s">
        <v>13</v>
      </c>
      <c r="E2565">
        <v>76</v>
      </c>
      <c r="F2565">
        <v>28</v>
      </c>
      <c r="G2565" t="s">
        <v>4799</v>
      </c>
      <c r="H2565" t="s">
        <v>4806</v>
      </c>
      <c r="I2565">
        <v>13.99</v>
      </c>
      <c r="J2565">
        <v>1</v>
      </c>
      <c r="K2565">
        <v>2.5299999999999998</v>
      </c>
      <c r="L2565">
        <v>0</v>
      </c>
      <c r="M2565" t="s">
        <v>4810</v>
      </c>
      <c r="N2565" t="s">
        <v>4900</v>
      </c>
      <c r="O2565" t="s">
        <v>4912</v>
      </c>
    </row>
    <row r="2566" spans="1:15" x14ac:dyDescent="0.35">
      <c r="A2566" t="s">
        <v>2532</v>
      </c>
      <c r="B2566">
        <v>54</v>
      </c>
      <c r="C2566" t="s">
        <v>4802</v>
      </c>
      <c r="D2566" t="s">
        <v>15</v>
      </c>
      <c r="E2566">
        <v>75</v>
      </c>
      <c r="F2566">
        <v>21</v>
      </c>
      <c r="G2566" t="s">
        <v>4798</v>
      </c>
      <c r="H2566" t="s">
        <v>4805</v>
      </c>
      <c r="I2566">
        <v>17.989999999999998</v>
      </c>
      <c r="J2566">
        <v>3</v>
      </c>
      <c r="K2566">
        <v>2.5</v>
      </c>
      <c r="L2566">
        <v>0</v>
      </c>
      <c r="M2566" t="s">
        <v>4809</v>
      </c>
      <c r="N2566" t="s">
        <v>4900</v>
      </c>
      <c r="O2566" t="s">
        <v>4910</v>
      </c>
    </row>
    <row r="2567" spans="1:15" x14ac:dyDescent="0.35">
      <c r="A2567" t="s">
        <v>2533</v>
      </c>
      <c r="B2567">
        <v>52</v>
      </c>
      <c r="C2567" t="s">
        <v>4803</v>
      </c>
      <c r="D2567" t="s">
        <v>13</v>
      </c>
      <c r="E2567">
        <v>42</v>
      </c>
      <c r="F2567">
        <v>20</v>
      </c>
      <c r="G2567" t="s">
        <v>4798</v>
      </c>
      <c r="H2567" t="s">
        <v>4804</v>
      </c>
      <c r="I2567">
        <v>13.99</v>
      </c>
      <c r="J2567">
        <v>2</v>
      </c>
      <c r="K2567">
        <v>1.4</v>
      </c>
      <c r="L2567">
        <v>0</v>
      </c>
      <c r="M2567" t="s">
        <v>4812</v>
      </c>
      <c r="N2567" t="s">
        <v>4900</v>
      </c>
      <c r="O2567" t="s">
        <v>4910</v>
      </c>
    </row>
    <row r="2568" spans="1:15" x14ac:dyDescent="0.35">
      <c r="A2568" t="s">
        <v>2534</v>
      </c>
      <c r="B2568">
        <v>61</v>
      </c>
      <c r="C2568" t="s">
        <v>4802</v>
      </c>
      <c r="D2568" t="s">
        <v>15</v>
      </c>
      <c r="E2568">
        <v>64</v>
      </c>
      <c r="F2568">
        <v>25</v>
      </c>
      <c r="G2568" t="s">
        <v>4799</v>
      </c>
      <c r="H2568" t="s">
        <v>4804</v>
      </c>
      <c r="I2568">
        <v>17.989999999999998</v>
      </c>
      <c r="J2568">
        <v>3</v>
      </c>
      <c r="K2568">
        <v>2.13</v>
      </c>
      <c r="L2568">
        <v>0</v>
      </c>
      <c r="M2568" t="s">
        <v>4811</v>
      </c>
      <c r="N2568" t="s">
        <v>4900</v>
      </c>
      <c r="O2568" t="s">
        <v>4911</v>
      </c>
    </row>
    <row r="2569" spans="1:15" x14ac:dyDescent="0.35">
      <c r="A2569" t="s">
        <v>2535</v>
      </c>
      <c r="B2569">
        <v>34</v>
      </c>
      <c r="C2569" t="s">
        <v>4802</v>
      </c>
      <c r="D2569" t="s">
        <v>13</v>
      </c>
      <c r="E2569">
        <v>41</v>
      </c>
      <c r="F2569">
        <v>33</v>
      </c>
      <c r="G2569" t="s">
        <v>4797</v>
      </c>
      <c r="H2569" t="s">
        <v>4806</v>
      </c>
      <c r="I2569">
        <v>13.99</v>
      </c>
      <c r="J2569">
        <v>2</v>
      </c>
      <c r="K2569">
        <v>1.37</v>
      </c>
      <c r="L2569">
        <v>0</v>
      </c>
      <c r="M2569" t="s">
        <v>4809</v>
      </c>
      <c r="N2569" t="s">
        <v>4900</v>
      </c>
      <c r="O2569" t="s">
        <v>4912</v>
      </c>
    </row>
    <row r="2570" spans="1:15" x14ac:dyDescent="0.35">
      <c r="A2570" t="s">
        <v>2536</v>
      </c>
      <c r="B2570">
        <v>49</v>
      </c>
      <c r="C2570" t="s">
        <v>4802</v>
      </c>
      <c r="D2570" t="s">
        <v>13</v>
      </c>
      <c r="E2570">
        <v>46</v>
      </c>
      <c r="F2570">
        <v>28</v>
      </c>
      <c r="G2570" t="s">
        <v>4797</v>
      </c>
      <c r="H2570" t="s">
        <v>4807</v>
      </c>
      <c r="I2570">
        <v>13.99</v>
      </c>
      <c r="J2570">
        <v>1</v>
      </c>
      <c r="K2570">
        <v>1.53</v>
      </c>
      <c r="L2570">
        <v>0</v>
      </c>
      <c r="M2570" t="s">
        <v>4808</v>
      </c>
      <c r="N2570" t="s">
        <v>4900</v>
      </c>
      <c r="O2570" t="s">
        <v>4910</v>
      </c>
    </row>
    <row r="2571" spans="1:15" x14ac:dyDescent="0.35">
      <c r="A2571" t="s">
        <v>2537</v>
      </c>
      <c r="B2571">
        <v>61</v>
      </c>
      <c r="C2571" t="s">
        <v>4803</v>
      </c>
      <c r="D2571" t="s">
        <v>15</v>
      </c>
      <c r="E2571">
        <v>89</v>
      </c>
      <c r="F2571">
        <v>1</v>
      </c>
      <c r="G2571" t="s">
        <v>4799</v>
      </c>
      <c r="H2571" t="s">
        <v>4804</v>
      </c>
      <c r="I2571">
        <v>17.989999999999998</v>
      </c>
      <c r="J2571">
        <v>2</v>
      </c>
      <c r="K2571">
        <v>2.97</v>
      </c>
      <c r="L2571">
        <v>0</v>
      </c>
      <c r="M2571" t="s">
        <v>4810</v>
      </c>
      <c r="N2571" t="s">
        <v>4900</v>
      </c>
      <c r="O2571" t="s">
        <v>4911</v>
      </c>
    </row>
    <row r="2572" spans="1:15" x14ac:dyDescent="0.35">
      <c r="A2572" t="s">
        <v>2538</v>
      </c>
      <c r="B2572">
        <v>59</v>
      </c>
      <c r="C2572" t="s">
        <v>4802</v>
      </c>
      <c r="D2572" t="s">
        <v>13</v>
      </c>
      <c r="E2572">
        <v>43</v>
      </c>
      <c r="F2572">
        <v>48</v>
      </c>
      <c r="G2572" t="s">
        <v>4798</v>
      </c>
      <c r="H2572" t="s">
        <v>4805</v>
      </c>
      <c r="I2572">
        <v>13.99</v>
      </c>
      <c r="J2572">
        <v>3</v>
      </c>
      <c r="K2572">
        <v>1.43</v>
      </c>
      <c r="L2572">
        <v>0</v>
      </c>
      <c r="M2572" t="s">
        <v>4809</v>
      </c>
      <c r="N2572" t="s">
        <v>4900</v>
      </c>
      <c r="O2572" t="s">
        <v>4911</v>
      </c>
    </row>
    <row r="2573" spans="1:15" x14ac:dyDescent="0.35">
      <c r="A2573" t="s">
        <v>2539</v>
      </c>
      <c r="B2573">
        <v>64</v>
      </c>
      <c r="C2573" t="s">
        <v>4803</v>
      </c>
      <c r="D2573" t="s">
        <v>15</v>
      </c>
      <c r="E2573">
        <v>88</v>
      </c>
      <c r="F2573">
        <v>13</v>
      </c>
      <c r="G2573" t="s">
        <v>4797</v>
      </c>
      <c r="H2573" t="s">
        <v>4806</v>
      </c>
      <c r="I2573">
        <v>17.989999999999998</v>
      </c>
      <c r="J2573">
        <v>5</v>
      </c>
      <c r="K2573">
        <v>2.93</v>
      </c>
      <c r="L2573">
        <v>1</v>
      </c>
      <c r="M2573" t="s">
        <v>4810</v>
      </c>
      <c r="N2573" t="s">
        <v>4899</v>
      </c>
      <c r="O2573" t="s">
        <v>4911</v>
      </c>
    </row>
    <row r="2574" spans="1:15" x14ac:dyDescent="0.35">
      <c r="A2574" t="s">
        <v>2540</v>
      </c>
      <c r="B2574">
        <v>34</v>
      </c>
      <c r="C2574" t="s">
        <v>4802</v>
      </c>
      <c r="D2574" t="s">
        <v>14</v>
      </c>
      <c r="E2574">
        <v>34</v>
      </c>
      <c r="F2574">
        <v>45</v>
      </c>
      <c r="G2574" t="s">
        <v>4797</v>
      </c>
      <c r="H2574" t="s">
        <v>4805</v>
      </c>
      <c r="I2574">
        <v>8.99</v>
      </c>
      <c r="J2574">
        <v>2</v>
      </c>
      <c r="K2574">
        <v>1.1299999999999999</v>
      </c>
      <c r="L2574">
        <v>1</v>
      </c>
      <c r="M2574" t="s">
        <v>4808</v>
      </c>
      <c r="N2574" t="s">
        <v>4899</v>
      </c>
      <c r="O2574" t="s">
        <v>4912</v>
      </c>
    </row>
    <row r="2575" spans="1:15" x14ac:dyDescent="0.35">
      <c r="A2575" t="s">
        <v>2541</v>
      </c>
      <c r="B2575">
        <v>48</v>
      </c>
      <c r="C2575" t="s">
        <v>4803</v>
      </c>
      <c r="D2575" t="s">
        <v>13</v>
      </c>
      <c r="E2575">
        <v>75</v>
      </c>
      <c r="F2575">
        <v>25</v>
      </c>
      <c r="G2575" t="s">
        <v>4799</v>
      </c>
      <c r="H2575" t="s">
        <v>4806</v>
      </c>
      <c r="I2575">
        <v>13.99</v>
      </c>
      <c r="J2575">
        <v>3</v>
      </c>
      <c r="K2575">
        <v>2.5</v>
      </c>
      <c r="L2575">
        <v>1</v>
      </c>
      <c r="M2575" t="s">
        <v>4812</v>
      </c>
      <c r="N2575" t="s">
        <v>4899</v>
      </c>
      <c r="O2575" t="s">
        <v>4910</v>
      </c>
    </row>
    <row r="2576" spans="1:15" x14ac:dyDescent="0.35">
      <c r="A2576" t="s">
        <v>2542</v>
      </c>
      <c r="B2576">
        <v>33</v>
      </c>
      <c r="C2576" t="s">
        <v>4803</v>
      </c>
      <c r="D2576" t="s">
        <v>13</v>
      </c>
      <c r="E2576">
        <v>71</v>
      </c>
      <c r="F2576">
        <v>24</v>
      </c>
      <c r="G2576" t="s">
        <v>4797</v>
      </c>
      <c r="H2576" t="s">
        <v>4804</v>
      </c>
      <c r="I2576">
        <v>13.99</v>
      </c>
      <c r="J2576">
        <v>2</v>
      </c>
      <c r="K2576">
        <v>2.37</v>
      </c>
      <c r="L2576">
        <v>0</v>
      </c>
      <c r="M2576" t="s">
        <v>4811</v>
      </c>
      <c r="N2576" t="s">
        <v>4900</v>
      </c>
      <c r="O2576" t="s">
        <v>4912</v>
      </c>
    </row>
    <row r="2577" spans="1:15" x14ac:dyDescent="0.35">
      <c r="A2577" t="s">
        <v>2543</v>
      </c>
      <c r="B2577">
        <v>30</v>
      </c>
      <c r="C2577" t="s">
        <v>4803</v>
      </c>
      <c r="D2577" t="s">
        <v>13</v>
      </c>
      <c r="E2577">
        <v>36</v>
      </c>
      <c r="F2577">
        <v>54</v>
      </c>
      <c r="G2577" t="s">
        <v>4800</v>
      </c>
      <c r="H2577" t="s">
        <v>4804</v>
      </c>
      <c r="I2577">
        <v>13.99</v>
      </c>
      <c r="J2577">
        <v>3</v>
      </c>
      <c r="K2577">
        <v>1.2</v>
      </c>
      <c r="L2577">
        <v>1</v>
      </c>
      <c r="M2577" t="s">
        <v>4809</v>
      </c>
      <c r="N2577" t="s">
        <v>4899</v>
      </c>
      <c r="O2577" t="s">
        <v>4912</v>
      </c>
    </row>
    <row r="2578" spans="1:15" x14ac:dyDescent="0.35">
      <c r="A2578" t="s">
        <v>2544</v>
      </c>
      <c r="B2578">
        <v>60</v>
      </c>
      <c r="C2578" t="s">
        <v>4803</v>
      </c>
      <c r="D2578" t="s">
        <v>13</v>
      </c>
      <c r="E2578">
        <v>51</v>
      </c>
      <c r="F2578">
        <v>8</v>
      </c>
      <c r="G2578" t="s">
        <v>4799</v>
      </c>
      <c r="H2578" t="s">
        <v>4805</v>
      </c>
      <c r="I2578">
        <v>13.99</v>
      </c>
      <c r="J2578">
        <v>2</v>
      </c>
      <c r="K2578">
        <v>1.7</v>
      </c>
      <c r="L2578">
        <v>0</v>
      </c>
      <c r="M2578" t="s">
        <v>4812</v>
      </c>
      <c r="N2578" t="s">
        <v>4900</v>
      </c>
      <c r="O2578" t="s">
        <v>4911</v>
      </c>
    </row>
    <row r="2579" spans="1:15" x14ac:dyDescent="0.35">
      <c r="A2579" t="s">
        <v>2545</v>
      </c>
      <c r="B2579">
        <v>40</v>
      </c>
      <c r="C2579" t="s">
        <v>4803</v>
      </c>
      <c r="D2579" t="s">
        <v>15</v>
      </c>
      <c r="E2579">
        <v>52</v>
      </c>
      <c r="F2579">
        <v>35</v>
      </c>
      <c r="G2579" t="s">
        <v>4798</v>
      </c>
      <c r="H2579" t="s">
        <v>4806</v>
      </c>
      <c r="I2579">
        <v>17.989999999999998</v>
      </c>
      <c r="J2579">
        <v>3</v>
      </c>
      <c r="K2579">
        <v>1.73</v>
      </c>
      <c r="L2579">
        <v>1</v>
      </c>
      <c r="M2579" t="s">
        <v>4810</v>
      </c>
      <c r="N2579" t="s">
        <v>4899</v>
      </c>
      <c r="O2579" t="s">
        <v>4910</v>
      </c>
    </row>
    <row r="2580" spans="1:15" x14ac:dyDescent="0.35">
      <c r="A2580" t="s">
        <v>2546</v>
      </c>
      <c r="B2580">
        <v>57</v>
      </c>
      <c r="C2580" t="s">
        <v>4803</v>
      </c>
      <c r="D2580" t="s">
        <v>13</v>
      </c>
      <c r="E2580">
        <v>74</v>
      </c>
      <c r="F2580">
        <v>22</v>
      </c>
      <c r="G2580" t="s">
        <v>4797</v>
      </c>
      <c r="H2580" t="s">
        <v>4804</v>
      </c>
      <c r="I2580">
        <v>13.99</v>
      </c>
      <c r="J2580">
        <v>4</v>
      </c>
      <c r="K2580">
        <v>2.4700000000000002</v>
      </c>
      <c r="L2580">
        <v>0</v>
      </c>
      <c r="M2580" t="s">
        <v>4810</v>
      </c>
      <c r="N2580" t="s">
        <v>4900</v>
      </c>
      <c r="O2580" t="s">
        <v>4911</v>
      </c>
    </row>
    <row r="2581" spans="1:15" x14ac:dyDescent="0.35">
      <c r="A2581" t="s">
        <v>2547</v>
      </c>
      <c r="B2581">
        <v>22</v>
      </c>
      <c r="C2581" t="s">
        <v>4803</v>
      </c>
      <c r="D2581" t="s">
        <v>13</v>
      </c>
      <c r="E2581">
        <v>33</v>
      </c>
      <c r="F2581">
        <v>30</v>
      </c>
      <c r="G2581" t="s">
        <v>4799</v>
      </c>
      <c r="H2581" t="s">
        <v>4805</v>
      </c>
      <c r="I2581">
        <v>13.99</v>
      </c>
      <c r="J2581">
        <v>2</v>
      </c>
      <c r="K2581">
        <v>5</v>
      </c>
      <c r="L2581">
        <v>0</v>
      </c>
      <c r="M2581" t="s">
        <v>4808</v>
      </c>
      <c r="N2581" t="s">
        <v>4900</v>
      </c>
      <c r="O2581" t="s">
        <v>4912</v>
      </c>
    </row>
    <row r="2582" spans="1:15" x14ac:dyDescent="0.35">
      <c r="A2582" t="s">
        <v>2548</v>
      </c>
      <c r="B2582">
        <v>20</v>
      </c>
      <c r="C2582" t="s">
        <v>4802</v>
      </c>
      <c r="D2582" t="s">
        <v>13</v>
      </c>
      <c r="E2582">
        <v>55</v>
      </c>
      <c r="F2582">
        <v>0</v>
      </c>
      <c r="G2582" t="s">
        <v>4799</v>
      </c>
      <c r="H2582" t="s">
        <v>4805</v>
      </c>
      <c r="I2582">
        <v>13.99</v>
      </c>
      <c r="J2582">
        <v>4</v>
      </c>
      <c r="K2582">
        <v>1.83</v>
      </c>
      <c r="L2582">
        <v>0</v>
      </c>
      <c r="M2582" t="s">
        <v>4809</v>
      </c>
      <c r="N2582" t="s">
        <v>4900</v>
      </c>
      <c r="O2582" t="s">
        <v>4912</v>
      </c>
    </row>
    <row r="2583" spans="1:15" x14ac:dyDescent="0.35">
      <c r="A2583" t="s">
        <v>2549</v>
      </c>
      <c r="B2583">
        <v>46</v>
      </c>
      <c r="C2583" t="s">
        <v>4803</v>
      </c>
      <c r="D2583" t="s">
        <v>13</v>
      </c>
      <c r="E2583">
        <v>31</v>
      </c>
      <c r="F2583">
        <v>58</v>
      </c>
      <c r="G2583" t="s">
        <v>4797</v>
      </c>
      <c r="H2583" t="s">
        <v>4804</v>
      </c>
      <c r="I2583">
        <v>13.99</v>
      </c>
      <c r="J2583">
        <v>1</v>
      </c>
      <c r="K2583">
        <v>5</v>
      </c>
      <c r="L2583">
        <v>0</v>
      </c>
      <c r="M2583" t="s">
        <v>4811</v>
      </c>
      <c r="N2583" t="s">
        <v>4900</v>
      </c>
      <c r="O2583" t="s">
        <v>4910</v>
      </c>
    </row>
    <row r="2584" spans="1:15" x14ac:dyDescent="0.35">
      <c r="A2584" t="s">
        <v>2550</v>
      </c>
      <c r="B2584">
        <v>35</v>
      </c>
      <c r="C2584" t="s">
        <v>4802</v>
      </c>
      <c r="D2584" t="s">
        <v>15</v>
      </c>
      <c r="E2584">
        <v>75</v>
      </c>
      <c r="F2584">
        <v>11</v>
      </c>
      <c r="G2584" t="s">
        <v>4798</v>
      </c>
      <c r="H2584" t="s">
        <v>4805</v>
      </c>
      <c r="I2584">
        <v>17.989999999999998</v>
      </c>
      <c r="J2584">
        <v>3</v>
      </c>
      <c r="K2584">
        <v>2.5</v>
      </c>
      <c r="L2584">
        <v>0</v>
      </c>
      <c r="M2584" t="s">
        <v>4809</v>
      </c>
      <c r="N2584" t="s">
        <v>4900</v>
      </c>
      <c r="O2584" t="s">
        <v>4910</v>
      </c>
    </row>
    <row r="2585" spans="1:15" x14ac:dyDescent="0.35">
      <c r="A2585" t="s">
        <v>2551</v>
      </c>
      <c r="B2585">
        <v>27</v>
      </c>
      <c r="C2585" t="s">
        <v>4802</v>
      </c>
      <c r="D2585" t="s">
        <v>14</v>
      </c>
      <c r="E2585">
        <v>15</v>
      </c>
      <c r="F2585">
        <v>49</v>
      </c>
      <c r="G2585" t="s">
        <v>4797</v>
      </c>
      <c r="H2585" t="s">
        <v>4804</v>
      </c>
      <c r="I2585">
        <v>8.99</v>
      </c>
      <c r="J2585">
        <v>2</v>
      </c>
      <c r="K2585">
        <v>0.5</v>
      </c>
      <c r="L2585">
        <v>0</v>
      </c>
      <c r="M2585" t="s">
        <v>4812</v>
      </c>
      <c r="N2585" t="s">
        <v>4900</v>
      </c>
      <c r="O2585" t="s">
        <v>4912</v>
      </c>
    </row>
    <row r="2586" spans="1:15" x14ac:dyDescent="0.35">
      <c r="A2586" t="s">
        <v>2552</v>
      </c>
      <c r="B2586">
        <v>40</v>
      </c>
      <c r="C2586" t="s">
        <v>4802</v>
      </c>
      <c r="D2586" t="s">
        <v>13</v>
      </c>
      <c r="E2586">
        <v>65</v>
      </c>
      <c r="F2586">
        <v>35</v>
      </c>
      <c r="G2586" t="s">
        <v>4799</v>
      </c>
      <c r="H2586" t="s">
        <v>4804</v>
      </c>
      <c r="I2586">
        <v>13.99</v>
      </c>
      <c r="J2586">
        <v>3</v>
      </c>
      <c r="K2586">
        <v>2.0299999999999998</v>
      </c>
      <c r="L2586">
        <v>0</v>
      </c>
      <c r="M2586" t="s">
        <v>4808</v>
      </c>
      <c r="N2586" t="s">
        <v>4900</v>
      </c>
      <c r="O2586" t="s">
        <v>4910</v>
      </c>
    </row>
    <row r="2587" spans="1:15" x14ac:dyDescent="0.35">
      <c r="A2587" t="s">
        <v>2553</v>
      </c>
      <c r="B2587">
        <v>37</v>
      </c>
      <c r="C2587" t="s">
        <v>4802</v>
      </c>
      <c r="D2587" t="s">
        <v>13</v>
      </c>
      <c r="E2587">
        <v>45</v>
      </c>
      <c r="F2587">
        <v>19</v>
      </c>
      <c r="G2587" t="s">
        <v>4798</v>
      </c>
      <c r="H2587" t="s">
        <v>4805</v>
      </c>
      <c r="I2587">
        <v>13.99</v>
      </c>
      <c r="J2587">
        <v>2</v>
      </c>
      <c r="K2587">
        <v>1.5</v>
      </c>
      <c r="L2587">
        <v>0</v>
      </c>
      <c r="M2587" t="s">
        <v>4810</v>
      </c>
      <c r="N2587" t="s">
        <v>4900</v>
      </c>
      <c r="O2587" t="s">
        <v>4910</v>
      </c>
    </row>
    <row r="2588" spans="1:15" x14ac:dyDescent="0.35">
      <c r="A2588" t="s">
        <v>2554</v>
      </c>
      <c r="B2588">
        <v>65</v>
      </c>
      <c r="C2588" t="s">
        <v>4803</v>
      </c>
      <c r="D2588" t="s">
        <v>15</v>
      </c>
      <c r="E2588">
        <v>94</v>
      </c>
      <c r="F2588">
        <v>23</v>
      </c>
      <c r="G2588" t="s">
        <v>4797</v>
      </c>
      <c r="H2588" t="s">
        <v>4804</v>
      </c>
      <c r="I2588">
        <v>17.989999999999998</v>
      </c>
      <c r="J2588">
        <v>4</v>
      </c>
      <c r="K2588">
        <v>3.13</v>
      </c>
      <c r="L2588">
        <v>0</v>
      </c>
      <c r="M2588" t="s">
        <v>4808</v>
      </c>
      <c r="N2588" t="s">
        <v>4900</v>
      </c>
      <c r="O2588" t="s">
        <v>4911</v>
      </c>
    </row>
    <row r="2589" spans="1:15" x14ac:dyDescent="0.35">
      <c r="A2589" t="s">
        <v>2555</v>
      </c>
      <c r="B2589">
        <v>36</v>
      </c>
      <c r="C2589" t="s">
        <v>4803</v>
      </c>
      <c r="D2589" t="s">
        <v>13</v>
      </c>
      <c r="E2589">
        <v>57</v>
      </c>
      <c r="F2589">
        <v>59</v>
      </c>
      <c r="G2589" t="s">
        <v>4798</v>
      </c>
      <c r="H2589" t="s">
        <v>4805</v>
      </c>
      <c r="I2589">
        <v>13.99</v>
      </c>
      <c r="J2589">
        <v>1</v>
      </c>
      <c r="K2589">
        <v>1.9</v>
      </c>
      <c r="L2589">
        <v>0</v>
      </c>
      <c r="M2589" t="s">
        <v>4808</v>
      </c>
      <c r="N2589" t="s">
        <v>4900</v>
      </c>
      <c r="O2589" t="s">
        <v>4910</v>
      </c>
    </row>
    <row r="2590" spans="1:15" x14ac:dyDescent="0.35">
      <c r="A2590" t="s">
        <v>2556</v>
      </c>
      <c r="B2590">
        <v>53</v>
      </c>
      <c r="C2590" t="s">
        <v>4803</v>
      </c>
      <c r="D2590" t="s">
        <v>14</v>
      </c>
      <c r="E2590">
        <v>27</v>
      </c>
      <c r="F2590">
        <v>45</v>
      </c>
      <c r="G2590" t="s">
        <v>4797</v>
      </c>
      <c r="H2590" t="s">
        <v>4804</v>
      </c>
      <c r="I2590">
        <v>8.99</v>
      </c>
      <c r="J2590">
        <v>2</v>
      </c>
      <c r="K2590">
        <v>0.9</v>
      </c>
      <c r="L2590">
        <v>1</v>
      </c>
      <c r="M2590" t="s">
        <v>4812</v>
      </c>
      <c r="N2590" t="s">
        <v>4899</v>
      </c>
      <c r="O2590" t="s">
        <v>4910</v>
      </c>
    </row>
    <row r="2591" spans="1:15" x14ac:dyDescent="0.35">
      <c r="A2591" t="s">
        <v>2557</v>
      </c>
      <c r="B2591">
        <v>30</v>
      </c>
      <c r="C2591" t="s">
        <v>4803</v>
      </c>
      <c r="D2591" t="s">
        <v>14</v>
      </c>
      <c r="E2591">
        <v>43</v>
      </c>
      <c r="F2591">
        <v>14</v>
      </c>
      <c r="G2591" t="s">
        <v>4798</v>
      </c>
      <c r="H2591" t="s">
        <v>4805</v>
      </c>
      <c r="I2591">
        <v>8.99</v>
      </c>
      <c r="J2591">
        <v>2</v>
      </c>
      <c r="K2591">
        <v>1.43</v>
      </c>
      <c r="L2591">
        <v>0</v>
      </c>
      <c r="M2591" t="s">
        <v>4812</v>
      </c>
      <c r="N2591" t="s">
        <v>4900</v>
      </c>
      <c r="O2591" t="s">
        <v>4912</v>
      </c>
    </row>
    <row r="2592" spans="1:15" x14ac:dyDescent="0.35">
      <c r="A2592" t="s">
        <v>2558</v>
      </c>
      <c r="B2592">
        <v>43</v>
      </c>
      <c r="C2592" t="s">
        <v>4803</v>
      </c>
      <c r="D2592" t="s">
        <v>13</v>
      </c>
      <c r="E2592">
        <v>74</v>
      </c>
      <c r="F2592">
        <v>19</v>
      </c>
      <c r="G2592" t="s">
        <v>4798</v>
      </c>
      <c r="H2592" t="s">
        <v>4804</v>
      </c>
      <c r="I2592">
        <v>13.99</v>
      </c>
      <c r="J2592">
        <v>1</v>
      </c>
      <c r="K2592">
        <v>2.4700000000000002</v>
      </c>
      <c r="L2592">
        <v>0</v>
      </c>
      <c r="M2592" t="s">
        <v>4808</v>
      </c>
      <c r="N2592" t="s">
        <v>4900</v>
      </c>
      <c r="O2592" t="s">
        <v>4910</v>
      </c>
    </row>
    <row r="2593" spans="1:15" x14ac:dyDescent="0.35">
      <c r="A2593" t="s">
        <v>2559</v>
      </c>
      <c r="B2593">
        <v>35</v>
      </c>
      <c r="C2593" t="s">
        <v>4802</v>
      </c>
      <c r="D2593" t="s">
        <v>13</v>
      </c>
      <c r="E2593">
        <v>39</v>
      </c>
      <c r="F2593">
        <v>52</v>
      </c>
      <c r="G2593" t="s">
        <v>4797</v>
      </c>
      <c r="H2593" t="s">
        <v>4805</v>
      </c>
      <c r="I2593">
        <v>13.99</v>
      </c>
      <c r="J2593">
        <v>2</v>
      </c>
      <c r="K2593">
        <v>1.3</v>
      </c>
      <c r="L2593">
        <v>1</v>
      </c>
      <c r="M2593" t="s">
        <v>4808</v>
      </c>
      <c r="N2593" t="s">
        <v>4899</v>
      </c>
      <c r="O2593" t="s">
        <v>4910</v>
      </c>
    </row>
    <row r="2594" spans="1:15" x14ac:dyDescent="0.35">
      <c r="A2594" t="s">
        <v>2560</v>
      </c>
      <c r="B2594">
        <v>36</v>
      </c>
      <c r="C2594" t="s">
        <v>4803</v>
      </c>
      <c r="D2594" t="s">
        <v>13</v>
      </c>
      <c r="E2594">
        <v>50</v>
      </c>
      <c r="F2594">
        <v>48</v>
      </c>
      <c r="G2594" t="s">
        <v>4798</v>
      </c>
      <c r="H2594" t="s">
        <v>4804</v>
      </c>
      <c r="I2594">
        <v>13.99</v>
      </c>
      <c r="J2594">
        <v>3</v>
      </c>
      <c r="K2594">
        <v>1.67</v>
      </c>
      <c r="L2594">
        <v>1</v>
      </c>
      <c r="M2594" t="s">
        <v>4811</v>
      </c>
      <c r="N2594" t="s">
        <v>4899</v>
      </c>
      <c r="O2594" t="s">
        <v>4910</v>
      </c>
    </row>
    <row r="2595" spans="1:15" x14ac:dyDescent="0.35">
      <c r="A2595" t="s">
        <v>2561</v>
      </c>
      <c r="B2595">
        <v>65</v>
      </c>
      <c r="C2595" t="s">
        <v>4803</v>
      </c>
      <c r="D2595" t="s">
        <v>13</v>
      </c>
      <c r="E2595">
        <v>56</v>
      </c>
      <c r="F2595">
        <v>54</v>
      </c>
      <c r="G2595" t="s">
        <v>4797</v>
      </c>
      <c r="H2595" t="s">
        <v>4805</v>
      </c>
      <c r="I2595">
        <v>13.99</v>
      </c>
      <c r="J2595">
        <v>2</v>
      </c>
      <c r="K2595">
        <v>1.87</v>
      </c>
      <c r="L2595">
        <v>1</v>
      </c>
      <c r="M2595" t="s">
        <v>4810</v>
      </c>
      <c r="N2595" t="s">
        <v>4899</v>
      </c>
      <c r="O2595" t="s">
        <v>4911</v>
      </c>
    </row>
    <row r="2596" spans="1:15" x14ac:dyDescent="0.35">
      <c r="A2596" t="s">
        <v>2562</v>
      </c>
      <c r="B2596">
        <v>30</v>
      </c>
      <c r="C2596" t="s">
        <v>4803</v>
      </c>
      <c r="D2596" t="s">
        <v>15</v>
      </c>
      <c r="E2596">
        <v>79</v>
      </c>
      <c r="F2596">
        <v>10</v>
      </c>
      <c r="G2596" t="s">
        <v>4799</v>
      </c>
      <c r="H2596" t="s">
        <v>4804</v>
      </c>
      <c r="I2596">
        <v>17.989999999999998</v>
      </c>
      <c r="J2596">
        <v>3</v>
      </c>
      <c r="K2596">
        <v>2.63</v>
      </c>
      <c r="L2596">
        <v>0</v>
      </c>
      <c r="M2596" t="s">
        <v>4811</v>
      </c>
      <c r="N2596" t="s">
        <v>4900</v>
      </c>
      <c r="O2596" t="s">
        <v>4912</v>
      </c>
    </row>
    <row r="2597" spans="1:15" x14ac:dyDescent="0.35">
      <c r="A2597" t="s">
        <v>2563</v>
      </c>
      <c r="B2597">
        <v>34</v>
      </c>
      <c r="C2597" t="s">
        <v>4802</v>
      </c>
      <c r="D2597" t="s">
        <v>13</v>
      </c>
      <c r="E2597">
        <v>70</v>
      </c>
      <c r="F2597">
        <v>15</v>
      </c>
      <c r="G2597" t="s">
        <v>4797</v>
      </c>
      <c r="H2597" t="s">
        <v>4804</v>
      </c>
      <c r="I2597">
        <v>13.99</v>
      </c>
      <c r="J2597">
        <v>3</v>
      </c>
      <c r="K2597">
        <v>2.0299999999999998</v>
      </c>
      <c r="L2597">
        <v>0</v>
      </c>
      <c r="M2597" t="s">
        <v>4808</v>
      </c>
      <c r="N2597" t="s">
        <v>4900</v>
      </c>
      <c r="O2597" t="s">
        <v>4912</v>
      </c>
    </row>
    <row r="2598" spans="1:15" x14ac:dyDescent="0.35">
      <c r="A2598" t="s">
        <v>2564</v>
      </c>
      <c r="B2598">
        <v>50</v>
      </c>
      <c r="C2598" t="s">
        <v>4802</v>
      </c>
      <c r="D2598" t="s">
        <v>13</v>
      </c>
      <c r="E2598">
        <v>74</v>
      </c>
      <c r="F2598" t="s">
        <v>4814</v>
      </c>
      <c r="G2598" t="s">
        <v>4798</v>
      </c>
      <c r="H2598" t="s">
        <v>4805</v>
      </c>
      <c r="I2598">
        <v>13.99</v>
      </c>
      <c r="J2598">
        <v>2</v>
      </c>
      <c r="K2598">
        <v>2.4700000000000002</v>
      </c>
      <c r="L2598">
        <v>0</v>
      </c>
      <c r="M2598" t="s">
        <v>4808</v>
      </c>
      <c r="N2598" t="s">
        <v>4900</v>
      </c>
      <c r="O2598" t="s">
        <v>4910</v>
      </c>
    </row>
    <row r="2599" spans="1:15" x14ac:dyDescent="0.35">
      <c r="A2599" t="s">
        <v>2565</v>
      </c>
      <c r="B2599">
        <v>49</v>
      </c>
      <c r="C2599" t="s">
        <v>4803</v>
      </c>
      <c r="D2599" t="s">
        <v>15</v>
      </c>
      <c r="E2599">
        <v>77</v>
      </c>
      <c r="F2599">
        <v>16</v>
      </c>
      <c r="G2599" t="s">
        <v>4801</v>
      </c>
      <c r="H2599" t="s">
        <v>4804</v>
      </c>
      <c r="I2599">
        <v>17.989999999999998</v>
      </c>
      <c r="J2599">
        <v>4</v>
      </c>
      <c r="K2599">
        <v>2.57</v>
      </c>
      <c r="L2599">
        <v>0</v>
      </c>
      <c r="M2599" t="s">
        <v>4811</v>
      </c>
      <c r="N2599" t="s">
        <v>4900</v>
      </c>
      <c r="O2599" t="s">
        <v>4910</v>
      </c>
    </row>
    <row r="2600" spans="1:15" x14ac:dyDescent="0.35">
      <c r="A2600" t="s">
        <v>2566</v>
      </c>
      <c r="B2600">
        <v>49</v>
      </c>
      <c r="C2600" t="s">
        <v>4803</v>
      </c>
      <c r="D2600" t="s">
        <v>13</v>
      </c>
      <c r="E2600">
        <v>42</v>
      </c>
      <c r="F2600">
        <v>1</v>
      </c>
      <c r="G2600" t="s">
        <v>4800</v>
      </c>
      <c r="H2600" t="s">
        <v>4806</v>
      </c>
      <c r="I2600">
        <v>13.99</v>
      </c>
      <c r="J2600">
        <v>3</v>
      </c>
      <c r="K2600">
        <v>1.4</v>
      </c>
      <c r="L2600">
        <v>0</v>
      </c>
      <c r="M2600" t="s">
        <v>4811</v>
      </c>
      <c r="N2600" t="s">
        <v>4900</v>
      </c>
      <c r="O2600" t="s">
        <v>4910</v>
      </c>
    </row>
    <row r="2601" spans="1:15" x14ac:dyDescent="0.35">
      <c r="A2601" t="s">
        <v>2567</v>
      </c>
      <c r="B2601">
        <v>58</v>
      </c>
      <c r="C2601" t="s">
        <v>4802</v>
      </c>
      <c r="D2601" t="s">
        <v>15</v>
      </c>
      <c r="E2601">
        <v>71</v>
      </c>
      <c r="F2601">
        <v>30</v>
      </c>
      <c r="G2601" t="s">
        <v>4798</v>
      </c>
      <c r="H2601" t="s">
        <v>4806</v>
      </c>
      <c r="I2601">
        <v>17.989999999999998</v>
      </c>
      <c r="J2601">
        <v>2</v>
      </c>
      <c r="K2601">
        <v>2.37</v>
      </c>
      <c r="L2601">
        <v>0</v>
      </c>
      <c r="M2601" t="s">
        <v>4808</v>
      </c>
      <c r="N2601" t="s">
        <v>4900</v>
      </c>
      <c r="O2601" t="s">
        <v>4911</v>
      </c>
    </row>
    <row r="2602" spans="1:15" x14ac:dyDescent="0.35">
      <c r="A2602" t="s">
        <v>2568</v>
      </c>
      <c r="B2602">
        <v>33</v>
      </c>
      <c r="C2602" t="s">
        <v>4802</v>
      </c>
      <c r="D2602" t="s">
        <v>15</v>
      </c>
      <c r="E2602">
        <v>104</v>
      </c>
      <c r="F2602">
        <v>14</v>
      </c>
      <c r="G2602" t="s">
        <v>4798</v>
      </c>
      <c r="H2602" t="s">
        <v>4805</v>
      </c>
      <c r="I2602">
        <v>17.989999999999998</v>
      </c>
      <c r="J2602">
        <v>5</v>
      </c>
      <c r="K2602">
        <v>3.47</v>
      </c>
      <c r="L2602">
        <v>0</v>
      </c>
      <c r="M2602" t="s">
        <v>4811</v>
      </c>
      <c r="N2602" t="s">
        <v>4900</v>
      </c>
      <c r="O2602" t="s">
        <v>4912</v>
      </c>
    </row>
    <row r="2603" spans="1:15" x14ac:dyDescent="0.35">
      <c r="A2603" t="s">
        <v>2569</v>
      </c>
      <c r="B2603">
        <v>40</v>
      </c>
      <c r="C2603" t="s">
        <v>4802</v>
      </c>
      <c r="D2603" t="s">
        <v>13</v>
      </c>
      <c r="E2603">
        <v>40</v>
      </c>
      <c r="F2603">
        <v>34</v>
      </c>
      <c r="G2603" t="s">
        <v>4798</v>
      </c>
      <c r="H2603" t="s">
        <v>4805</v>
      </c>
      <c r="I2603">
        <v>13.99</v>
      </c>
      <c r="J2603">
        <v>4</v>
      </c>
      <c r="K2603">
        <v>1.33</v>
      </c>
      <c r="L2603">
        <v>0</v>
      </c>
      <c r="M2603" t="s">
        <v>4810</v>
      </c>
      <c r="N2603" t="s">
        <v>4900</v>
      </c>
      <c r="O2603" t="s">
        <v>4910</v>
      </c>
    </row>
    <row r="2604" spans="1:15" x14ac:dyDescent="0.35">
      <c r="A2604" t="s">
        <v>4875</v>
      </c>
      <c r="B2604">
        <v>41</v>
      </c>
      <c r="C2604" t="s">
        <v>4802</v>
      </c>
      <c r="D2604" t="s">
        <v>13</v>
      </c>
      <c r="E2604">
        <v>32</v>
      </c>
      <c r="F2604">
        <v>34</v>
      </c>
      <c r="G2604" t="s">
        <v>4797</v>
      </c>
      <c r="H2604" t="s">
        <v>4804</v>
      </c>
      <c r="I2604">
        <v>13.99</v>
      </c>
      <c r="J2604">
        <v>2</v>
      </c>
      <c r="K2604">
        <v>1.07</v>
      </c>
      <c r="L2604">
        <v>0</v>
      </c>
      <c r="M2604" t="s">
        <v>4810</v>
      </c>
      <c r="N2604" t="s">
        <v>4900</v>
      </c>
      <c r="O2604" t="s">
        <v>4910</v>
      </c>
    </row>
    <row r="2605" spans="1:15" x14ac:dyDescent="0.35">
      <c r="A2605" t="s">
        <v>2570</v>
      </c>
      <c r="B2605">
        <v>25</v>
      </c>
      <c r="C2605" t="s">
        <v>4802</v>
      </c>
      <c r="D2605" t="s">
        <v>13</v>
      </c>
      <c r="E2605">
        <v>34</v>
      </c>
      <c r="F2605">
        <v>4</v>
      </c>
      <c r="G2605" t="s">
        <v>4798</v>
      </c>
      <c r="H2605" t="s">
        <v>4807</v>
      </c>
      <c r="I2605">
        <v>13.99</v>
      </c>
      <c r="J2605">
        <v>3</v>
      </c>
      <c r="K2605">
        <v>1.1299999999999999</v>
      </c>
      <c r="L2605">
        <v>0</v>
      </c>
      <c r="M2605" t="s">
        <v>4810</v>
      </c>
      <c r="N2605" t="s">
        <v>4900</v>
      </c>
      <c r="O2605" t="s">
        <v>4912</v>
      </c>
    </row>
    <row r="2606" spans="1:15" x14ac:dyDescent="0.35">
      <c r="A2606" t="s">
        <v>2571</v>
      </c>
      <c r="B2606">
        <v>53</v>
      </c>
      <c r="C2606" t="s">
        <v>4802</v>
      </c>
      <c r="D2606" t="s">
        <v>13</v>
      </c>
      <c r="E2606">
        <v>68</v>
      </c>
      <c r="F2606">
        <v>32</v>
      </c>
      <c r="G2606" t="s">
        <v>4799</v>
      </c>
      <c r="H2606" t="s">
        <v>4805</v>
      </c>
      <c r="I2606">
        <v>13.99</v>
      </c>
      <c r="J2606">
        <v>1</v>
      </c>
      <c r="K2606">
        <v>2.0299999999999998</v>
      </c>
      <c r="L2606">
        <v>0</v>
      </c>
      <c r="M2606" t="s">
        <v>4808</v>
      </c>
      <c r="N2606" t="s">
        <v>4900</v>
      </c>
      <c r="O2606" t="s">
        <v>4910</v>
      </c>
    </row>
    <row r="2607" spans="1:15" x14ac:dyDescent="0.35">
      <c r="A2607" t="s">
        <v>2572</v>
      </c>
      <c r="B2607">
        <v>54</v>
      </c>
      <c r="C2607" t="s">
        <v>4803</v>
      </c>
      <c r="D2607" t="s">
        <v>13</v>
      </c>
      <c r="E2607">
        <v>51</v>
      </c>
      <c r="F2607">
        <v>1</v>
      </c>
      <c r="G2607" t="s">
        <v>4798</v>
      </c>
      <c r="H2607" t="s">
        <v>4804</v>
      </c>
      <c r="I2607">
        <v>13.99</v>
      </c>
      <c r="J2607">
        <v>1</v>
      </c>
      <c r="K2607">
        <v>1.7</v>
      </c>
      <c r="L2607">
        <v>0</v>
      </c>
      <c r="M2607" t="s">
        <v>4810</v>
      </c>
      <c r="N2607" t="s">
        <v>4900</v>
      </c>
      <c r="O2607" t="s">
        <v>4910</v>
      </c>
    </row>
    <row r="2608" spans="1:15" x14ac:dyDescent="0.35">
      <c r="A2608" t="s">
        <v>2573</v>
      </c>
      <c r="B2608">
        <v>30</v>
      </c>
      <c r="C2608" t="s">
        <v>4803</v>
      </c>
      <c r="D2608" t="s">
        <v>13</v>
      </c>
      <c r="E2608">
        <v>77</v>
      </c>
      <c r="F2608">
        <v>40</v>
      </c>
      <c r="G2608" t="s">
        <v>4797</v>
      </c>
      <c r="H2608" t="s">
        <v>4804</v>
      </c>
      <c r="I2608">
        <v>13.99</v>
      </c>
      <c r="J2608">
        <v>1</v>
      </c>
      <c r="K2608">
        <v>2.0299999999999998</v>
      </c>
      <c r="L2608">
        <v>0</v>
      </c>
      <c r="M2608" t="s">
        <v>4812</v>
      </c>
      <c r="N2608" t="s">
        <v>4900</v>
      </c>
      <c r="O2608" t="s">
        <v>4912</v>
      </c>
    </row>
    <row r="2609" spans="1:15" x14ac:dyDescent="0.35">
      <c r="A2609" t="s">
        <v>2574</v>
      </c>
      <c r="B2609">
        <v>51</v>
      </c>
      <c r="C2609" t="s">
        <v>4803</v>
      </c>
      <c r="D2609" t="s">
        <v>15</v>
      </c>
      <c r="E2609">
        <v>107</v>
      </c>
      <c r="F2609">
        <v>32</v>
      </c>
      <c r="G2609" t="s">
        <v>4798</v>
      </c>
      <c r="H2609" t="s">
        <v>4804</v>
      </c>
      <c r="I2609">
        <v>17.989999999999998</v>
      </c>
      <c r="J2609">
        <v>4</v>
      </c>
      <c r="K2609">
        <v>3.57</v>
      </c>
      <c r="L2609">
        <v>0</v>
      </c>
      <c r="M2609" t="s">
        <v>4810</v>
      </c>
      <c r="N2609" t="s">
        <v>4900</v>
      </c>
      <c r="O2609" t="s">
        <v>4910</v>
      </c>
    </row>
    <row r="2610" spans="1:15" x14ac:dyDescent="0.35">
      <c r="A2610" t="s">
        <v>4876</v>
      </c>
      <c r="B2610">
        <v>20</v>
      </c>
      <c r="C2610" t="s">
        <v>4803</v>
      </c>
      <c r="D2610" t="s">
        <v>13</v>
      </c>
      <c r="E2610">
        <v>37</v>
      </c>
      <c r="F2610">
        <v>30</v>
      </c>
      <c r="G2610" t="s">
        <v>4797</v>
      </c>
      <c r="H2610" t="s">
        <v>4806</v>
      </c>
      <c r="I2610">
        <v>13.99</v>
      </c>
      <c r="J2610">
        <v>2</v>
      </c>
      <c r="K2610">
        <v>1.23</v>
      </c>
      <c r="L2610">
        <v>1</v>
      </c>
      <c r="M2610" t="s">
        <v>4810</v>
      </c>
      <c r="N2610" t="s">
        <v>4899</v>
      </c>
      <c r="O2610" t="s">
        <v>4912</v>
      </c>
    </row>
    <row r="2611" spans="1:15" x14ac:dyDescent="0.35">
      <c r="A2611" t="s">
        <v>2575</v>
      </c>
      <c r="B2611">
        <v>29</v>
      </c>
      <c r="C2611" t="s">
        <v>4802</v>
      </c>
      <c r="D2611" t="s">
        <v>13</v>
      </c>
      <c r="E2611">
        <v>57</v>
      </c>
      <c r="F2611">
        <v>43</v>
      </c>
      <c r="G2611" t="s">
        <v>4797</v>
      </c>
      <c r="H2611" t="s">
        <v>4804</v>
      </c>
      <c r="I2611">
        <v>13.99</v>
      </c>
      <c r="J2611">
        <v>3</v>
      </c>
      <c r="K2611">
        <v>1.9</v>
      </c>
      <c r="L2611">
        <v>0</v>
      </c>
      <c r="M2611" t="s">
        <v>4812</v>
      </c>
      <c r="N2611" t="s">
        <v>4900</v>
      </c>
      <c r="O2611" t="s">
        <v>4912</v>
      </c>
    </row>
    <row r="2612" spans="1:15" x14ac:dyDescent="0.35">
      <c r="A2612" t="s">
        <v>2576</v>
      </c>
      <c r="B2612">
        <v>18</v>
      </c>
      <c r="C2612" t="s">
        <v>4802</v>
      </c>
      <c r="D2612" t="s">
        <v>15</v>
      </c>
      <c r="E2612">
        <v>65</v>
      </c>
      <c r="F2612">
        <v>37</v>
      </c>
      <c r="G2612" t="s">
        <v>4799</v>
      </c>
      <c r="H2612" t="s">
        <v>4804</v>
      </c>
      <c r="I2612">
        <v>17.989999999999998</v>
      </c>
      <c r="J2612">
        <v>5</v>
      </c>
      <c r="K2612">
        <v>2.17</v>
      </c>
      <c r="L2612">
        <v>0</v>
      </c>
      <c r="M2612" t="s">
        <v>4812</v>
      </c>
      <c r="N2612" t="s">
        <v>4900</v>
      </c>
      <c r="O2612" t="s">
        <v>4912</v>
      </c>
    </row>
    <row r="2613" spans="1:15" x14ac:dyDescent="0.35">
      <c r="A2613" t="s">
        <v>2577</v>
      </c>
      <c r="B2613">
        <v>65</v>
      </c>
      <c r="C2613" t="s">
        <v>4803</v>
      </c>
      <c r="D2613" t="s">
        <v>13</v>
      </c>
      <c r="E2613">
        <v>58</v>
      </c>
      <c r="F2613">
        <v>10</v>
      </c>
      <c r="G2613" t="s">
        <v>4798</v>
      </c>
      <c r="H2613" t="s">
        <v>4805</v>
      </c>
      <c r="I2613">
        <v>13.99</v>
      </c>
      <c r="J2613">
        <v>3</v>
      </c>
      <c r="K2613">
        <v>1.93</v>
      </c>
      <c r="L2613">
        <v>0</v>
      </c>
      <c r="M2613" t="s">
        <v>4808</v>
      </c>
      <c r="N2613" t="s">
        <v>4900</v>
      </c>
      <c r="O2613" t="s">
        <v>4911</v>
      </c>
    </row>
    <row r="2614" spans="1:15" x14ac:dyDescent="0.35">
      <c r="A2614" t="s">
        <v>2578</v>
      </c>
      <c r="B2614">
        <v>62</v>
      </c>
      <c r="C2614" t="s">
        <v>4802</v>
      </c>
      <c r="D2614" t="s">
        <v>13</v>
      </c>
      <c r="E2614">
        <v>72</v>
      </c>
      <c r="F2614">
        <v>6</v>
      </c>
      <c r="G2614" t="s">
        <v>4797</v>
      </c>
      <c r="H2614" t="s">
        <v>4804</v>
      </c>
      <c r="I2614">
        <v>13.99</v>
      </c>
      <c r="J2614">
        <v>1</v>
      </c>
      <c r="K2614">
        <v>2.4</v>
      </c>
      <c r="L2614">
        <v>0</v>
      </c>
      <c r="M2614" t="s">
        <v>4809</v>
      </c>
      <c r="N2614" t="s">
        <v>4900</v>
      </c>
      <c r="O2614" t="s">
        <v>4911</v>
      </c>
    </row>
    <row r="2615" spans="1:15" x14ac:dyDescent="0.35">
      <c r="A2615" t="s">
        <v>2579</v>
      </c>
      <c r="B2615">
        <v>34</v>
      </c>
      <c r="C2615" t="s">
        <v>4803</v>
      </c>
      <c r="D2615" t="s">
        <v>13</v>
      </c>
      <c r="E2615">
        <v>69</v>
      </c>
      <c r="F2615">
        <v>42</v>
      </c>
      <c r="G2615" t="s">
        <v>4799</v>
      </c>
      <c r="H2615" t="s">
        <v>4806</v>
      </c>
      <c r="I2615">
        <v>13.99</v>
      </c>
      <c r="J2615">
        <v>2</v>
      </c>
      <c r="K2615">
        <v>5</v>
      </c>
      <c r="L2615">
        <v>0</v>
      </c>
      <c r="M2615" t="s">
        <v>4811</v>
      </c>
      <c r="N2615" t="s">
        <v>4900</v>
      </c>
      <c r="O2615" t="s">
        <v>4912</v>
      </c>
    </row>
    <row r="2616" spans="1:15" x14ac:dyDescent="0.35">
      <c r="A2616" t="s">
        <v>2580</v>
      </c>
      <c r="B2616">
        <v>42</v>
      </c>
      <c r="C2616" t="s">
        <v>4803</v>
      </c>
      <c r="D2616" t="s">
        <v>15</v>
      </c>
      <c r="E2616">
        <v>56</v>
      </c>
      <c r="F2616" t="s">
        <v>4814</v>
      </c>
      <c r="G2616" t="s">
        <v>4798</v>
      </c>
      <c r="H2616" t="s">
        <v>4805</v>
      </c>
      <c r="I2616">
        <v>17.989999999999998</v>
      </c>
      <c r="J2616">
        <v>5</v>
      </c>
      <c r="K2616">
        <v>1.87</v>
      </c>
      <c r="L2616">
        <v>0</v>
      </c>
      <c r="M2616" t="s">
        <v>4811</v>
      </c>
      <c r="N2616" t="s">
        <v>4900</v>
      </c>
      <c r="O2616" t="s">
        <v>4910</v>
      </c>
    </row>
    <row r="2617" spans="1:15" x14ac:dyDescent="0.35">
      <c r="A2617" t="s">
        <v>2581</v>
      </c>
      <c r="B2617">
        <v>62</v>
      </c>
      <c r="C2617" t="s">
        <v>4802</v>
      </c>
      <c r="D2617" t="s">
        <v>15</v>
      </c>
      <c r="E2617">
        <v>52</v>
      </c>
      <c r="F2617">
        <v>35</v>
      </c>
      <c r="G2617" t="s">
        <v>4798</v>
      </c>
      <c r="H2617" t="s">
        <v>4804</v>
      </c>
      <c r="I2617">
        <v>17.989999999999998</v>
      </c>
      <c r="J2617">
        <v>4</v>
      </c>
      <c r="K2617">
        <v>1.73</v>
      </c>
      <c r="L2617">
        <v>0</v>
      </c>
      <c r="M2617" t="s">
        <v>4809</v>
      </c>
      <c r="N2617" t="s">
        <v>4900</v>
      </c>
      <c r="O2617" t="s">
        <v>4911</v>
      </c>
    </row>
    <row r="2618" spans="1:15" x14ac:dyDescent="0.35">
      <c r="A2618" t="s">
        <v>2582</v>
      </c>
      <c r="B2618">
        <v>51</v>
      </c>
      <c r="C2618" t="s">
        <v>4802</v>
      </c>
      <c r="D2618" t="s">
        <v>13</v>
      </c>
      <c r="E2618">
        <v>77</v>
      </c>
      <c r="F2618">
        <v>41</v>
      </c>
      <c r="G2618" t="s">
        <v>4798</v>
      </c>
      <c r="H2618" t="s">
        <v>4805</v>
      </c>
      <c r="I2618">
        <v>13.99</v>
      </c>
      <c r="J2618">
        <v>1</v>
      </c>
      <c r="K2618">
        <v>2.57</v>
      </c>
      <c r="L2618">
        <v>0</v>
      </c>
      <c r="M2618" t="s">
        <v>4810</v>
      </c>
      <c r="N2618" t="s">
        <v>4900</v>
      </c>
      <c r="O2618" t="s">
        <v>4910</v>
      </c>
    </row>
    <row r="2619" spans="1:15" x14ac:dyDescent="0.35">
      <c r="A2619" t="s">
        <v>2583</v>
      </c>
      <c r="B2619">
        <v>28</v>
      </c>
      <c r="C2619" t="s">
        <v>4802</v>
      </c>
      <c r="D2619" t="s">
        <v>13</v>
      </c>
      <c r="E2619">
        <v>64</v>
      </c>
      <c r="F2619">
        <v>14</v>
      </c>
      <c r="G2619" t="s">
        <v>4799</v>
      </c>
      <c r="H2619" t="s">
        <v>4805</v>
      </c>
      <c r="I2619">
        <v>13.99</v>
      </c>
      <c r="J2619">
        <v>4</v>
      </c>
      <c r="K2619">
        <v>2.13</v>
      </c>
      <c r="L2619">
        <v>0</v>
      </c>
      <c r="M2619" t="s">
        <v>4808</v>
      </c>
      <c r="N2619" t="s">
        <v>4900</v>
      </c>
      <c r="O2619" t="s">
        <v>4912</v>
      </c>
    </row>
    <row r="2620" spans="1:15" x14ac:dyDescent="0.35">
      <c r="A2620" t="s">
        <v>2584</v>
      </c>
      <c r="B2620">
        <v>36</v>
      </c>
      <c r="C2620" t="s">
        <v>4802</v>
      </c>
      <c r="D2620" t="s">
        <v>15</v>
      </c>
      <c r="E2620">
        <v>86</v>
      </c>
      <c r="F2620">
        <v>31</v>
      </c>
      <c r="G2620" t="s">
        <v>4799</v>
      </c>
      <c r="H2620" t="s">
        <v>4804</v>
      </c>
      <c r="I2620">
        <v>17.989999999999998</v>
      </c>
      <c r="J2620">
        <v>5</v>
      </c>
      <c r="K2620">
        <v>2.87</v>
      </c>
      <c r="L2620">
        <v>0</v>
      </c>
      <c r="M2620" t="s">
        <v>4810</v>
      </c>
      <c r="N2620" t="s">
        <v>4900</v>
      </c>
      <c r="O2620" t="s">
        <v>4910</v>
      </c>
    </row>
    <row r="2621" spans="1:15" x14ac:dyDescent="0.35">
      <c r="A2621" t="s">
        <v>2585</v>
      </c>
      <c r="B2621">
        <v>45</v>
      </c>
      <c r="C2621" t="s">
        <v>4802</v>
      </c>
      <c r="D2621" t="s">
        <v>13</v>
      </c>
      <c r="E2621">
        <v>76</v>
      </c>
      <c r="F2621">
        <v>54</v>
      </c>
      <c r="G2621" t="s">
        <v>4797</v>
      </c>
      <c r="H2621" t="s">
        <v>4805</v>
      </c>
      <c r="I2621">
        <v>13.99</v>
      </c>
      <c r="J2621">
        <v>2</v>
      </c>
      <c r="K2621">
        <v>2.5299999999999998</v>
      </c>
      <c r="L2621">
        <v>0</v>
      </c>
      <c r="M2621" t="s">
        <v>4808</v>
      </c>
      <c r="N2621" t="s">
        <v>4900</v>
      </c>
      <c r="O2621" t="s">
        <v>4910</v>
      </c>
    </row>
    <row r="2622" spans="1:15" x14ac:dyDescent="0.35">
      <c r="A2622" t="s">
        <v>2586</v>
      </c>
      <c r="B2622">
        <v>28</v>
      </c>
      <c r="C2622" t="s">
        <v>4803</v>
      </c>
      <c r="D2622" t="s">
        <v>15</v>
      </c>
      <c r="E2622">
        <v>54</v>
      </c>
      <c r="F2622">
        <v>41</v>
      </c>
      <c r="G2622" t="s">
        <v>4798</v>
      </c>
      <c r="H2622" t="s">
        <v>4804</v>
      </c>
      <c r="I2622">
        <v>17.989999999999998</v>
      </c>
      <c r="J2622">
        <v>3</v>
      </c>
      <c r="K2622">
        <v>5</v>
      </c>
      <c r="L2622">
        <v>0</v>
      </c>
      <c r="M2622" t="s">
        <v>4812</v>
      </c>
      <c r="N2622" t="s">
        <v>4900</v>
      </c>
      <c r="O2622" t="s">
        <v>4912</v>
      </c>
    </row>
    <row r="2623" spans="1:15" x14ac:dyDescent="0.35">
      <c r="A2623" t="s">
        <v>2587</v>
      </c>
      <c r="B2623">
        <v>51</v>
      </c>
      <c r="C2623" t="s">
        <v>4802</v>
      </c>
      <c r="D2623" t="s">
        <v>13</v>
      </c>
      <c r="E2623">
        <v>34</v>
      </c>
      <c r="F2623">
        <v>999</v>
      </c>
      <c r="G2623" t="s">
        <v>4798</v>
      </c>
      <c r="H2623" t="s">
        <v>4805</v>
      </c>
      <c r="I2623">
        <v>13.99</v>
      </c>
      <c r="J2623">
        <v>3</v>
      </c>
      <c r="K2623">
        <v>1.1299999999999999</v>
      </c>
      <c r="L2623">
        <v>1</v>
      </c>
      <c r="M2623" t="s">
        <v>4811</v>
      </c>
      <c r="N2623" t="s">
        <v>4899</v>
      </c>
      <c r="O2623" t="s">
        <v>4910</v>
      </c>
    </row>
    <row r="2624" spans="1:15" x14ac:dyDescent="0.35">
      <c r="A2624" t="s">
        <v>2588</v>
      </c>
      <c r="B2624">
        <v>62</v>
      </c>
      <c r="C2624" t="s">
        <v>4803</v>
      </c>
      <c r="D2624" t="s">
        <v>13</v>
      </c>
      <c r="E2624">
        <v>63</v>
      </c>
      <c r="F2624">
        <v>11</v>
      </c>
      <c r="G2624" t="s">
        <v>4799</v>
      </c>
      <c r="H2624" t="s">
        <v>4804</v>
      </c>
      <c r="I2624">
        <v>13.99</v>
      </c>
      <c r="J2624">
        <v>4</v>
      </c>
      <c r="K2624">
        <v>2.1</v>
      </c>
      <c r="L2624">
        <v>0</v>
      </c>
      <c r="M2624" t="s">
        <v>4812</v>
      </c>
      <c r="N2624" t="s">
        <v>4900</v>
      </c>
      <c r="O2624" t="s">
        <v>4911</v>
      </c>
    </row>
    <row r="2625" spans="1:15" x14ac:dyDescent="0.35">
      <c r="A2625" t="s">
        <v>2589</v>
      </c>
      <c r="B2625">
        <v>55</v>
      </c>
      <c r="C2625" t="s">
        <v>4803</v>
      </c>
      <c r="D2625" t="s">
        <v>15</v>
      </c>
      <c r="E2625">
        <v>94</v>
      </c>
      <c r="F2625">
        <v>9</v>
      </c>
      <c r="G2625" t="s">
        <v>4797</v>
      </c>
      <c r="H2625" t="s">
        <v>4806</v>
      </c>
      <c r="I2625">
        <v>17.989999999999998</v>
      </c>
      <c r="J2625">
        <v>4</v>
      </c>
      <c r="K2625">
        <v>3.13</v>
      </c>
      <c r="L2625">
        <v>0</v>
      </c>
      <c r="M2625" t="s">
        <v>4808</v>
      </c>
      <c r="N2625" t="s">
        <v>4900</v>
      </c>
      <c r="O2625" t="s">
        <v>4911</v>
      </c>
    </row>
    <row r="2626" spans="1:15" x14ac:dyDescent="0.35">
      <c r="A2626" t="s">
        <v>2590</v>
      </c>
      <c r="B2626">
        <v>19</v>
      </c>
      <c r="C2626" t="s">
        <v>4802</v>
      </c>
      <c r="D2626" t="s">
        <v>13</v>
      </c>
      <c r="E2626">
        <v>58</v>
      </c>
      <c r="F2626">
        <v>35</v>
      </c>
      <c r="G2626" t="s">
        <v>4799</v>
      </c>
      <c r="H2626" t="s">
        <v>4804</v>
      </c>
      <c r="I2626">
        <v>13.99</v>
      </c>
      <c r="J2626">
        <v>1</v>
      </c>
      <c r="K2626">
        <v>1.93</v>
      </c>
      <c r="L2626">
        <v>0</v>
      </c>
      <c r="M2626" t="s">
        <v>4810</v>
      </c>
      <c r="N2626" t="s">
        <v>4900</v>
      </c>
      <c r="O2626" t="s">
        <v>4912</v>
      </c>
    </row>
    <row r="2627" spans="1:15" x14ac:dyDescent="0.35">
      <c r="A2627" t="s">
        <v>2591</v>
      </c>
      <c r="B2627">
        <v>60</v>
      </c>
      <c r="C2627" t="s">
        <v>4803</v>
      </c>
      <c r="D2627" t="s">
        <v>15</v>
      </c>
      <c r="E2627">
        <v>107</v>
      </c>
      <c r="F2627">
        <v>24</v>
      </c>
      <c r="G2627" t="s">
        <v>4797</v>
      </c>
      <c r="H2627" t="s">
        <v>4806</v>
      </c>
      <c r="I2627">
        <v>17.989999999999998</v>
      </c>
      <c r="J2627">
        <v>2</v>
      </c>
      <c r="K2627">
        <v>3.57</v>
      </c>
      <c r="L2627">
        <v>1</v>
      </c>
      <c r="M2627" t="s">
        <v>4810</v>
      </c>
      <c r="N2627" t="s">
        <v>4899</v>
      </c>
      <c r="O2627" t="s">
        <v>4911</v>
      </c>
    </row>
    <row r="2628" spans="1:15" x14ac:dyDescent="0.35">
      <c r="A2628" t="s">
        <v>2592</v>
      </c>
      <c r="B2628">
        <v>22</v>
      </c>
      <c r="C2628" t="s">
        <v>4802</v>
      </c>
      <c r="D2628" t="s">
        <v>13</v>
      </c>
      <c r="E2628">
        <v>78</v>
      </c>
      <c r="F2628">
        <v>17</v>
      </c>
      <c r="G2628" t="s">
        <v>4799</v>
      </c>
      <c r="H2628" t="s">
        <v>4805</v>
      </c>
      <c r="I2628">
        <v>13.99</v>
      </c>
      <c r="J2628">
        <v>3</v>
      </c>
      <c r="K2628">
        <v>2.6</v>
      </c>
      <c r="L2628">
        <v>0</v>
      </c>
      <c r="M2628" t="s">
        <v>4811</v>
      </c>
      <c r="N2628" t="s">
        <v>4900</v>
      </c>
      <c r="O2628" t="s">
        <v>4912</v>
      </c>
    </row>
    <row r="2629" spans="1:15" x14ac:dyDescent="0.35">
      <c r="A2629" t="s">
        <v>2593</v>
      </c>
      <c r="B2629">
        <v>41</v>
      </c>
      <c r="C2629" t="s">
        <v>4803</v>
      </c>
      <c r="D2629" t="s">
        <v>14</v>
      </c>
      <c r="E2629">
        <v>39</v>
      </c>
      <c r="F2629">
        <v>18</v>
      </c>
      <c r="G2629" t="s">
        <v>4800</v>
      </c>
      <c r="H2629" t="s">
        <v>4804</v>
      </c>
      <c r="I2629">
        <v>8.99</v>
      </c>
      <c r="J2629">
        <v>3</v>
      </c>
      <c r="K2629">
        <v>1.3</v>
      </c>
      <c r="L2629">
        <v>0</v>
      </c>
      <c r="M2629" t="s">
        <v>4808</v>
      </c>
      <c r="N2629" t="s">
        <v>4900</v>
      </c>
      <c r="O2629" t="s">
        <v>4910</v>
      </c>
    </row>
    <row r="2630" spans="1:15" x14ac:dyDescent="0.35">
      <c r="A2630" t="s">
        <v>2594</v>
      </c>
      <c r="B2630">
        <v>42</v>
      </c>
      <c r="C2630" t="s">
        <v>4802</v>
      </c>
      <c r="D2630" t="s">
        <v>15</v>
      </c>
      <c r="E2630">
        <v>67</v>
      </c>
      <c r="F2630">
        <v>29</v>
      </c>
      <c r="G2630" t="s">
        <v>4798</v>
      </c>
      <c r="H2630" t="s">
        <v>4805</v>
      </c>
      <c r="I2630">
        <v>17.989999999999998</v>
      </c>
      <c r="J2630">
        <v>4</v>
      </c>
      <c r="K2630">
        <v>2.23</v>
      </c>
      <c r="L2630">
        <v>1</v>
      </c>
      <c r="M2630" t="s">
        <v>4812</v>
      </c>
      <c r="N2630" t="s">
        <v>4899</v>
      </c>
      <c r="O2630" t="s">
        <v>4910</v>
      </c>
    </row>
    <row r="2631" spans="1:15" x14ac:dyDescent="0.35">
      <c r="A2631" t="s">
        <v>2595</v>
      </c>
      <c r="B2631">
        <v>41</v>
      </c>
      <c r="C2631" t="s">
        <v>4802</v>
      </c>
      <c r="D2631" t="s">
        <v>13</v>
      </c>
      <c r="E2631">
        <v>51</v>
      </c>
      <c r="F2631">
        <v>2</v>
      </c>
      <c r="G2631" t="s">
        <v>4798</v>
      </c>
      <c r="H2631" t="s">
        <v>4805</v>
      </c>
      <c r="I2631">
        <v>13.99</v>
      </c>
      <c r="J2631">
        <v>3</v>
      </c>
      <c r="K2631">
        <v>1.7</v>
      </c>
      <c r="L2631">
        <v>0</v>
      </c>
      <c r="M2631" t="s">
        <v>4811</v>
      </c>
      <c r="N2631" t="s">
        <v>4900</v>
      </c>
      <c r="O2631" t="s">
        <v>4910</v>
      </c>
    </row>
    <row r="2632" spans="1:15" x14ac:dyDescent="0.35">
      <c r="A2632" t="s">
        <v>2596</v>
      </c>
      <c r="B2632">
        <v>57</v>
      </c>
      <c r="C2632" t="s">
        <v>4802</v>
      </c>
      <c r="D2632" t="s">
        <v>13</v>
      </c>
      <c r="E2632">
        <v>77</v>
      </c>
      <c r="F2632" t="s">
        <v>4814</v>
      </c>
      <c r="G2632" t="s">
        <v>4799</v>
      </c>
      <c r="H2632" t="s">
        <v>4804</v>
      </c>
      <c r="I2632">
        <v>13.99</v>
      </c>
      <c r="J2632">
        <v>1</v>
      </c>
      <c r="K2632">
        <v>2.57</v>
      </c>
      <c r="L2632">
        <v>0</v>
      </c>
      <c r="M2632" t="s">
        <v>4811</v>
      </c>
      <c r="N2632" t="s">
        <v>4900</v>
      </c>
      <c r="O2632" t="s">
        <v>4911</v>
      </c>
    </row>
    <row r="2633" spans="1:15" x14ac:dyDescent="0.35">
      <c r="A2633" t="s">
        <v>2597</v>
      </c>
      <c r="B2633">
        <v>37</v>
      </c>
      <c r="C2633" t="s">
        <v>4802</v>
      </c>
      <c r="D2633" t="s">
        <v>13</v>
      </c>
      <c r="E2633">
        <v>63</v>
      </c>
      <c r="F2633">
        <v>20</v>
      </c>
      <c r="G2633" t="s">
        <v>4798</v>
      </c>
      <c r="H2633" t="s">
        <v>4805</v>
      </c>
      <c r="I2633">
        <v>13.99</v>
      </c>
      <c r="J2633">
        <v>4</v>
      </c>
      <c r="K2633">
        <v>2.1</v>
      </c>
      <c r="L2633">
        <v>0</v>
      </c>
      <c r="M2633" t="s">
        <v>4811</v>
      </c>
      <c r="N2633" t="s">
        <v>4900</v>
      </c>
      <c r="O2633" t="s">
        <v>4910</v>
      </c>
    </row>
    <row r="2634" spans="1:15" x14ac:dyDescent="0.35">
      <c r="A2634" t="s">
        <v>2598</v>
      </c>
      <c r="B2634">
        <v>56</v>
      </c>
      <c r="C2634" t="s">
        <v>4803</v>
      </c>
      <c r="D2634" t="s">
        <v>15</v>
      </c>
      <c r="E2634">
        <v>72</v>
      </c>
      <c r="F2634">
        <v>38</v>
      </c>
      <c r="G2634" t="s">
        <v>4799</v>
      </c>
      <c r="H2634" t="s">
        <v>4804</v>
      </c>
      <c r="I2634">
        <v>17.989999999999998</v>
      </c>
      <c r="J2634">
        <v>4</v>
      </c>
      <c r="K2634">
        <v>2.0299999999999998</v>
      </c>
      <c r="L2634">
        <v>0</v>
      </c>
      <c r="M2634" t="s">
        <v>4809</v>
      </c>
      <c r="N2634" t="s">
        <v>4900</v>
      </c>
      <c r="O2634" t="s">
        <v>4911</v>
      </c>
    </row>
    <row r="2635" spans="1:15" x14ac:dyDescent="0.35">
      <c r="A2635" t="s">
        <v>2599</v>
      </c>
      <c r="B2635">
        <v>51</v>
      </c>
      <c r="C2635" t="s">
        <v>4802</v>
      </c>
      <c r="D2635" t="s">
        <v>13</v>
      </c>
      <c r="E2635">
        <v>60</v>
      </c>
      <c r="F2635">
        <v>36</v>
      </c>
      <c r="G2635" t="s">
        <v>4799</v>
      </c>
      <c r="H2635" t="s">
        <v>4806</v>
      </c>
      <c r="I2635">
        <v>13.99</v>
      </c>
      <c r="J2635">
        <v>1</v>
      </c>
      <c r="K2635">
        <v>2</v>
      </c>
      <c r="L2635">
        <v>0</v>
      </c>
      <c r="M2635" t="s">
        <v>4811</v>
      </c>
      <c r="N2635" t="s">
        <v>4900</v>
      </c>
      <c r="O2635" t="s">
        <v>4910</v>
      </c>
    </row>
    <row r="2636" spans="1:15" x14ac:dyDescent="0.35">
      <c r="A2636" t="s">
        <v>2600</v>
      </c>
      <c r="B2636">
        <v>39</v>
      </c>
      <c r="C2636" t="s">
        <v>4803</v>
      </c>
      <c r="D2636" t="s">
        <v>15</v>
      </c>
      <c r="E2636">
        <v>108</v>
      </c>
      <c r="F2636">
        <v>40</v>
      </c>
      <c r="G2636" t="s">
        <v>4799</v>
      </c>
      <c r="H2636" t="s">
        <v>4804</v>
      </c>
      <c r="I2636">
        <v>17.989999999999998</v>
      </c>
      <c r="J2636">
        <v>3</v>
      </c>
      <c r="K2636">
        <v>3.6</v>
      </c>
      <c r="L2636">
        <v>0</v>
      </c>
      <c r="M2636" t="s">
        <v>4810</v>
      </c>
      <c r="N2636" t="s">
        <v>4900</v>
      </c>
      <c r="O2636" t="s">
        <v>4910</v>
      </c>
    </row>
    <row r="2637" spans="1:15" x14ac:dyDescent="0.35">
      <c r="A2637" t="s">
        <v>2601</v>
      </c>
      <c r="B2637">
        <v>56</v>
      </c>
      <c r="C2637" t="s">
        <v>4803</v>
      </c>
      <c r="D2637" t="s">
        <v>13</v>
      </c>
      <c r="E2637">
        <v>65</v>
      </c>
      <c r="F2637">
        <v>29</v>
      </c>
      <c r="G2637" t="s">
        <v>4799</v>
      </c>
      <c r="H2637" t="s">
        <v>4804</v>
      </c>
      <c r="I2637">
        <v>13.99</v>
      </c>
      <c r="J2637">
        <v>3</v>
      </c>
      <c r="K2637">
        <v>2.17</v>
      </c>
      <c r="L2637">
        <v>0</v>
      </c>
      <c r="M2637" t="s">
        <v>4812</v>
      </c>
      <c r="N2637" t="s">
        <v>4900</v>
      </c>
      <c r="O2637" t="s">
        <v>4911</v>
      </c>
    </row>
    <row r="2638" spans="1:15" x14ac:dyDescent="0.35">
      <c r="A2638" t="s">
        <v>2602</v>
      </c>
      <c r="B2638">
        <v>57</v>
      </c>
      <c r="C2638" t="s">
        <v>4803</v>
      </c>
      <c r="D2638" t="s">
        <v>13</v>
      </c>
      <c r="E2638">
        <v>37</v>
      </c>
      <c r="F2638">
        <v>0</v>
      </c>
      <c r="G2638" t="s">
        <v>4799</v>
      </c>
      <c r="H2638" t="s">
        <v>4805</v>
      </c>
      <c r="I2638">
        <v>13.99</v>
      </c>
      <c r="J2638">
        <v>4</v>
      </c>
      <c r="K2638">
        <v>1.23</v>
      </c>
      <c r="L2638">
        <v>0</v>
      </c>
      <c r="M2638" t="s">
        <v>4811</v>
      </c>
      <c r="N2638" t="s">
        <v>4900</v>
      </c>
      <c r="O2638" t="s">
        <v>4911</v>
      </c>
    </row>
    <row r="2639" spans="1:15" x14ac:dyDescent="0.35">
      <c r="A2639" t="s">
        <v>4837</v>
      </c>
      <c r="B2639">
        <v>25</v>
      </c>
      <c r="C2639" t="s">
        <v>4803</v>
      </c>
      <c r="D2639" t="s">
        <v>15</v>
      </c>
      <c r="E2639">
        <v>111</v>
      </c>
      <c r="F2639">
        <v>26</v>
      </c>
      <c r="G2639" t="s">
        <v>4797</v>
      </c>
      <c r="H2639" t="s">
        <v>4804</v>
      </c>
      <c r="I2639">
        <v>17.989999999999998</v>
      </c>
      <c r="J2639">
        <v>3</v>
      </c>
      <c r="K2639">
        <v>3.7</v>
      </c>
      <c r="L2639">
        <v>0</v>
      </c>
      <c r="M2639" t="s">
        <v>4812</v>
      </c>
      <c r="N2639" t="s">
        <v>4900</v>
      </c>
      <c r="O2639" t="s">
        <v>4912</v>
      </c>
    </row>
    <row r="2640" spans="1:15" x14ac:dyDescent="0.35">
      <c r="A2640" t="s">
        <v>2603</v>
      </c>
      <c r="B2640">
        <v>58</v>
      </c>
      <c r="C2640" t="s">
        <v>4802</v>
      </c>
      <c r="D2640" t="s">
        <v>13</v>
      </c>
      <c r="E2640">
        <v>52</v>
      </c>
      <c r="F2640">
        <v>2</v>
      </c>
      <c r="G2640" t="s">
        <v>4798</v>
      </c>
      <c r="H2640" t="s">
        <v>4805</v>
      </c>
      <c r="I2640">
        <v>13.99</v>
      </c>
      <c r="J2640">
        <v>2</v>
      </c>
      <c r="K2640">
        <v>1.73</v>
      </c>
      <c r="L2640">
        <v>0</v>
      </c>
      <c r="M2640" t="s">
        <v>4809</v>
      </c>
      <c r="N2640" t="s">
        <v>4900</v>
      </c>
      <c r="O2640" t="s">
        <v>4911</v>
      </c>
    </row>
    <row r="2641" spans="1:15" x14ac:dyDescent="0.35">
      <c r="A2641" t="s">
        <v>2604</v>
      </c>
      <c r="B2641">
        <v>30</v>
      </c>
      <c r="C2641" t="s">
        <v>4802</v>
      </c>
      <c r="D2641" t="s">
        <v>13</v>
      </c>
      <c r="E2641">
        <v>30</v>
      </c>
      <c r="F2641">
        <v>42</v>
      </c>
      <c r="G2641" t="s">
        <v>4799</v>
      </c>
      <c r="H2641" t="s">
        <v>4804</v>
      </c>
      <c r="I2641">
        <v>13.99</v>
      </c>
      <c r="J2641">
        <v>4</v>
      </c>
      <c r="K2641">
        <v>1</v>
      </c>
      <c r="L2641">
        <v>0</v>
      </c>
      <c r="M2641" t="s">
        <v>4808</v>
      </c>
      <c r="N2641" t="s">
        <v>4900</v>
      </c>
      <c r="O2641" t="s">
        <v>4912</v>
      </c>
    </row>
    <row r="2642" spans="1:15" x14ac:dyDescent="0.35">
      <c r="A2642" t="s">
        <v>2605</v>
      </c>
      <c r="B2642">
        <v>30</v>
      </c>
      <c r="C2642" t="s">
        <v>4802</v>
      </c>
      <c r="D2642" t="s">
        <v>13</v>
      </c>
      <c r="E2642">
        <v>40</v>
      </c>
      <c r="F2642" t="s">
        <v>4814</v>
      </c>
      <c r="G2642" t="s">
        <v>4798</v>
      </c>
      <c r="H2642" t="s">
        <v>4806</v>
      </c>
      <c r="I2642">
        <v>13.99</v>
      </c>
      <c r="J2642">
        <v>2</v>
      </c>
      <c r="K2642">
        <v>1.33</v>
      </c>
      <c r="L2642">
        <v>0</v>
      </c>
      <c r="M2642" t="s">
        <v>4812</v>
      </c>
      <c r="N2642" t="s">
        <v>4900</v>
      </c>
      <c r="O2642" t="s">
        <v>4912</v>
      </c>
    </row>
    <row r="2643" spans="1:15" x14ac:dyDescent="0.35">
      <c r="A2643" t="s">
        <v>2606</v>
      </c>
      <c r="B2643">
        <v>41</v>
      </c>
      <c r="C2643" t="s">
        <v>4802</v>
      </c>
      <c r="D2643" t="s">
        <v>13</v>
      </c>
      <c r="E2643">
        <v>63</v>
      </c>
      <c r="F2643">
        <v>60</v>
      </c>
      <c r="G2643" t="s">
        <v>4799</v>
      </c>
      <c r="H2643" t="s">
        <v>4806</v>
      </c>
      <c r="I2643">
        <v>13.99</v>
      </c>
      <c r="J2643">
        <v>1</v>
      </c>
      <c r="K2643">
        <v>2.1</v>
      </c>
      <c r="L2643">
        <v>0</v>
      </c>
      <c r="M2643" t="s">
        <v>4812</v>
      </c>
      <c r="N2643" t="s">
        <v>4900</v>
      </c>
      <c r="O2643" t="s">
        <v>4910</v>
      </c>
    </row>
    <row r="2644" spans="1:15" x14ac:dyDescent="0.35">
      <c r="A2644" t="s">
        <v>2607</v>
      </c>
      <c r="B2644">
        <v>61</v>
      </c>
      <c r="C2644" t="s">
        <v>4803</v>
      </c>
      <c r="D2644" t="s">
        <v>15</v>
      </c>
      <c r="E2644">
        <v>66</v>
      </c>
      <c r="F2644">
        <v>999</v>
      </c>
      <c r="G2644" t="s">
        <v>4799</v>
      </c>
      <c r="H2644" t="s">
        <v>4804</v>
      </c>
      <c r="I2644">
        <v>17.989999999999998</v>
      </c>
      <c r="J2644">
        <v>2</v>
      </c>
      <c r="K2644">
        <v>5</v>
      </c>
      <c r="L2644">
        <v>0</v>
      </c>
      <c r="M2644" t="s">
        <v>4811</v>
      </c>
      <c r="N2644" t="s">
        <v>4900</v>
      </c>
      <c r="O2644" t="s">
        <v>4911</v>
      </c>
    </row>
    <row r="2645" spans="1:15" x14ac:dyDescent="0.35">
      <c r="A2645" t="s">
        <v>2608</v>
      </c>
      <c r="B2645">
        <v>58</v>
      </c>
      <c r="C2645" t="s">
        <v>4803</v>
      </c>
      <c r="D2645" t="s">
        <v>13</v>
      </c>
      <c r="E2645">
        <v>61</v>
      </c>
      <c r="F2645">
        <v>30</v>
      </c>
      <c r="G2645" t="s">
        <v>4799</v>
      </c>
      <c r="H2645" t="s">
        <v>4806</v>
      </c>
      <c r="I2645">
        <v>13.99</v>
      </c>
      <c r="J2645">
        <v>4</v>
      </c>
      <c r="K2645">
        <v>2.0299999999999998</v>
      </c>
      <c r="L2645">
        <v>1</v>
      </c>
      <c r="M2645" t="s">
        <v>4809</v>
      </c>
      <c r="N2645" t="s">
        <v>4899</v>
      </c>
      <c r="O2645" t="s">
        <v>4911</v>
      </c>
    </row>
    <row r="2646" spans="1:15" x14ac:dyDescent="0.35">
      <c r="A2646" t="s">
        <v>2609</v>
      </c>
      <c r="B2646">
        <v>47</v>
      </c>
      <c r="C2646" t="s">
        <v>4803</v>
      </c>
      <c r="D2646" t="s">
        <v>15</v>
      </c>
      <c r="E2646">
        <v>105</v>
      </c>
      <c r="F2646">
        <v>0</v>
      </c>
      <c r="G2646" t="s">
        <v>4799</v>
      </c>
      <c r="H2646" t="s">
        <v>4805</v>
      </c>
      <c r="I2646">
        <v>17.989999999999998</v>
      </c>
      <c r="J2646">
        <v>2</v>
      </c>
      <c r="K2646">
        <v>3.5</v>
      </c>
      <c r="L2646">
        <v>0</v>
      </c>
      <c r="M2646" t="s">
        <v>4809</v>
      </c>
      <c r="N2646" t="s">
        <v>4900</v>
      </c>
      <c r="O2646" t="s">
        <v>4910</v>
      </c>
    </row>
    <row r="2647" spans="1:15" x14ac:dyDescent="0.35">
      <c r="A2647" t="s">
        <v>2610</v>
      </c>
      <c r="B2647">
        <v>26</v>
      </c>
      <c r="C2647" t="s">
        <v>4802</v>
      </c>
      <c r="D2647" t="s">
        <v>15</v>
      </c>
      <c r="E2647">
        <v>70</v>
      </c>
      <c r="F2647">
        <v>47</v>
      </c>
      <c r="G2647" t="s">
        <v>4798</v>
      </c>
      <c r="H2647" t="s">
        <v>4806</v>
      </c>
      <c r="I2647">
        <v>17.989999999999998</v>
      </c>
      <c r="J2647">
        <v>2</v>
      </c>
      <c r="K2647">
        <v>2.33</v>
      </c>
      <c r="L2647">
        <v>1</v>
      </c>
      <c r="M2647" t="s">
        <v>4811</v>
      </c>
      <c r="N2647" t="s">
        <v>4899</v>
      </c>
      <c r="O2647" t="s">
        <v>4912</v>
      </c>
    </row>
    <row r="2648" spans="1:15" x14ac:dyDescent="0.35">
      <c r="A2648" t="s">
        <v>2611</v>
      </c>
      <c r="B2648">
        <v>60</v>
      </c>
      <c r="C2648" t="s">
        <v>4802</v>
      </c>
      <c r="D2648" t="s">
        <v>15</v>
      </c>
      <c r="E2648">
        <v>107</v>
      </c>
      <c r="F2648">
        <v>16</v>
      </c>
      <c r="G2648" t="s">
        <v>4797</v>
      </c>
      <c r="H2648" t="s">
        <v>4804</v>
      </c>
      <c r="I2648">
        <v>17.989999999999998</v>
      </c>
      <c r="J2648">
        <v>5</v>
      </c>
      <c r="K2648">
        <v>3.57</v>
      </c>
      <c r="L2648">
        <v>0</v>
      </c>
      <c r="M2648" t="s">
        <v>4810</v>
      </c>
      <c r="N2648" t="s">
        <v>4900</v>
      </c>
      <c r="O2648" t="s">
        <v>4911</v>
      </c>
    </row>
    <row r="2649" spans="1:15" x14ac:dyDescent="0.35">
      <c r="A2649" t="s">
        <v>2612</v>
      </c>
      <c r="B2649">
        <v>32</v>
      </c>
      <c r="C2649" t="s">
        <v>4802</v>
      </c>
      <c r="D2649" t="s">
        <v>13</v>
      </c>
      <c r="E2649">
        <v>38</v>
      </c>
      <c r="F2649">
        <v>11</v>
      </c>
      <c r="G2649" t="s">
        <v>4799</v>
      </c>
      <c r="H2649" t="s">
        <v>4806</v>
      </c>
      <c r="I2649">
        <v>13.99</v>
      </c>
      <c r="J2649">
        <v>2</v>
      </c>
      <c r="K2649">
        <v>1.27</v>
      </c>
      <c r="L2649">
        <v>0</v>
      </c>
      <c r="M2649" t="s">
        <v>4810</v>
      </c>
      <c r="N2649" t="s">
        <v>4900</v>
      </c>
      <c r="O2649" t="s">
        <v>4912</v>
      </c>
    </row>
    <row r="2650" spans="1:15" x14ac:dyDescent="0.35">
      <c r="A2650" t="s">
        <v>2613</v>
      </c>
      <c r="B2650">
        <v>25</v>
      </c>
      <c r="C2650" t="s">
        <v>4803</v>
      </c>
      <c r="D2650" t="s">
        <v>13</v>
      </c>
      <c r="E2650">
        <v>33</v>
      </c>
      <c r="F2650">
        <v>51</v>
      </c>
      <c r="G2650" t="s">
        <v>4799</v>
      </c>
      <c r="H2650" t="s">
        <v>4805</v>
      </c>
      <c r="I2650">
        <v>13.99</v>
      </c>
      <c r="J2650">
        <v>2</v>
      </c>
      <c r="K2650">
        <v>1.1000000000000001</v>
      </c>
      <c r="L2650">
        <v>0</v>
      </c>
      <c r="M2650" t="s">
        <v>4810</v>
      </c>
      <c r="N2650" t="s">
        <v>4900</v>
      </c>
      <c r="O2650" t="s">
        <v>4912</v>
      </c>
    </row>
    <row r="2651" spans="1:15" x14ac:dyDescent="0.35">
      <c r="A2651" t="s">
        <v>2614</v>
      </c>
      <c r="B2651">
        <v>20</v>
      </c>
      <c r="C2651" t="s">
        <v>4803</v>
      </c>
      <c r="D2651" t="s">
        <v>13</v>
      </c>
      <c r="E2651">
        <v>60</v>
      </c>
      <c r="F2651">
        <v>45</v>
      </c>
      <c r="G2651" t="s">
        <v>4797</v>
      </c>
      <c r="H2651" t="s">
        <v>4805</v>
      </c>
      <c r="I2651">
        <v>13.99</v>
      </c>
      <c r="J2651">
        <v>1</v>
      </c>
      <c r="K2651">
        <v>2</v>
      </c>
      <c r="L2651">
        <v>0</v>
      </c>
      <c r="M2651" t="s">
        <v>4810</v>
      </c>
      <c r="N2651" t="s">
        <v>4900</v>
      </c>
      <c r="O2651" t="s">
        <v>4912</v>
      </c>
    </row>
    <row r="2652" spans="1:15" x14ac:dyDescent="0.35">
      <c r="A2652" t="s">
        <v>2615</v>
      </c>
      <c r="B2652">
        <v>24</v>
      </c>
      <c r="C2652" t="s">
        <v>4802</v>
      </c>
      <c r="D2652" t="s">
        <v>13</v>
      </c>
      <c r="E2652">
        <v>44</v>
      </c>
      <c r="F2652">
        <v>44</v>
      </c>
      <c r="G2652" t="s">
        <v>4798</v>
      </c>
      <c r="H2652" t="s">
        <v>4805</v>
      </c>
      <c r="I2652">
        <v>13.99</v>
      </c>
      <c r="J2652">
        <v>1</v>
      </c>
      <c r="K2652">
        <v>1.47</v>
      </c>
      <c r="L2652">
        <v>1</v>
      </c>
      <c r="M2652" t="s">
        <v>4809</v>
      </c>
      <c r="N2652" t="s">
        <v>4899</v>
      </c>
      <c r="O2652" t="s">
        <v>4912</v>
      </c>
    </row>
    <row r="2653" spans="1:15" x14ac:dyDescent="0.35">
      <c r="A2653" t="s">
        <v>2616</v>
      </c>
      <c r="B2653">
        <v>57</v>
      </c>
      <c r="C2653" t="s">
        <v>4803</v>
      </c>
      <c r="D2653" t="s">
        <v>13</v>
      </c>
      <c r="E2653">
        <v>38</v>
      </c>
      <c r="F2653">
        <v>52</v>
      </c>
      <c r="G2653" t="s">
        <v>4799</v>
      </c>
      <c r="H2653" t="s">
        <v>4805</v>
      </c>
      <c r="I2653">
        <v>13.99</v>
      </c>
      <c r="J2653">
        <v>1</v>
      </c>
      <c r="K2653">
        <v>1.27</v>
      </c>
      <c r="L2653">
        <v>0</v>
      </c>
      <c r="M2653" t="s">
        <v>4808</v>
      </c>
      <c r="N2653" t="s">
        <v>4900</v>
      </c>
      <c r="O2653" t="s">
        <v>4911</v>
      </c>
    </row>
    <row r="2654" spans="1:15" x14ac:dyDescent="0.35">
      <c r="A2654" t="s">
        <v>2617</v>
      </c>
      <c r="B2654">
        <v>45</v>
      </c>
      <c r="C2654" t="s">
        <v>4803</v>
      </c>
      <c r="D2654" t="s">
        <v>13</v>
      </c>
      <c r="E2654">
        <v>78</v>
      </c>
      <c r="F2654">
        <v>22</v>
      </c>
      <c r="G2654" t="s">
        <v>4799</v>
      </c>
      <c r="H2654" t="s">
        <v>4806</v>
      </c>
      <c r="I2654">
        <v>13.99</v>
      </c>
      <c r="J2654">
        <v>3</v>
      </c>
      <c r="K2654">
        <v>2.6</v>
      </c>
      <c r="L2654">
        <v>0</v>
      </c>
      <c r="M2654" t="s">
        <v>4808</v>
      </c>
      <c r="N2654" t="s">
        <v>4900</v>
      </c>
      <c r="O2654" t="s">
        <v>4910</v>
      </c>
    </row>
    <row r="2655" spans="1:15" x14ac:dyDescent="0.35">
      <c r="A2655" t="s">
        <v>2618</v>
      </c>
      <c r="B2655">
        <v>63</v>
      </c>
      <c r="C2655" t="s">
        <v>4803</v>
      </c>
      <c r="D2655" t="s">
        <v>15</v>
      </c>
      <c r="E2655">
        <v>71</v>
      </c>
      <c r="F2655">
        <v>11</v>
      </c>
      <c r="G2655" t="s">
        <v>4798</v>
      </c>
      <c r="H2655" t="s">
        <v>4805</v>
      </c>
      <c r="I2655">
        <v>17.989999999999998</v>
      </c>
      <c r="J2655">
        <v>4</v>
      </c>
      <c r="K2655">
        <v>2.37</v>
      </c>
      <c r="L2655">
        <v>0</v>
      </c>
      <c r="M2655" t="s">
        <v>4810</v>
      </c>
      <c r="N2655" t="s">
        <v>4900</v>
      </c>
      <c r="O2655" t="s">
        <v>4911</v>
      </c>
    </row>
    <row r="2656" spans="1:15" x14ac:dyDescent="0.35">
      <c r="A2656" t="s">
        <v>2619</v>
      </c>
      <c r="B2656">
        <v>29</v>
      </c>
      <c r="C2656" t="s">
        <v>4802</v>
      </c>
      <c r="D2656" t="s">
        <v>13</v>
      </c>
      <c r="E2656">
        <v>65</v>
      </c>
      <c r="F2656">
        <v>23</v>
      </c>
      <c r="G2656" t="s">
        <v>4797</v>
      </c>
      <c r="H2656" t="s">
        <v>4805</v>
      </c>
      <c r="I2656">
        <v>13.99</v>
      </c>
      <c r="J2656">
        <v>4</v>
      </c>
      <c r="K2656">
        <v>2.17</v>
      </c>
      <c r="L2656">
        <v>0</v>
      </c>
      <c r="M2656" t="s">
        <v>4812</v>
      </c>
      <c r="N2656" t="s">
        <v>4900</v>
      </c>
      <c r="O2656" t="s">
        <v>4912</v>
      </c>
    </row>
    <row r="2657" spans="1:15" x14ac:dyDescent="0.35">
      <c r="A2657" t="s">
        <v>2620</v>
      </c>
      <c r="B2657">
        <v>18</v>
      </c>
      <c r="C2657" t="s">
        <v>4802</v>
      </c>
      <c r="D2657" t="s">
        <v>13</v>
      </c>
      <c r="E2657">
        <v>76</v>
      </c>
      <c r="F2657">
        <v>60</v>
      </c>
      <c r="G2657" t="s">
        <v>4798</v>
      </c>
      <c r="H2657" t="s">
        <v>4804</v>
      </c>
      <c r="I2657">
        <v>13.99</v>
      </c>
      <c r="J2657">
        <v>1</v>
      </c>
      <c r="K2657">
        <v>2.0299999999999998</v>
      </c>
      <c r="L2657">
        <v>0</v>
      </c>
      <c r="M2657" t="s">
        <v>4808</v>
      </c>
      <c r="N2657" t="s">
        <v>4900</v>
      </c>
      <c r="O2657" t="s">
        <v>4912</v>
      </c>
    </row>
    <row r="2658" spans="1:15" x14ac:dyDescent="0.35">
      <c r="A2658" t="s">
        <v>2621</v>
      </c>
      <c r="B2658">
        <v>21</v>
      </c>
      <c r="C2658" t="s">
        <v>4802</v>
      </c>
      <c r="D2658" t="s">
        <v>13</v>
      </c>
      <c r="E2658">
        <v>67</v>
      </c>
      <c r="F2658">
        <v>30</v>
      </c>
      <c r="G2658" t="s">
        <v>4799</v>
      </c>
      <c r="H2658" t="s">
        <v>4806</v>
      </c>
      <c r="I2658">
        <v>13.99</v>
      </c>
      <c r="J2658">
        <v>2</v>
      </c>
      <c r="K2658">
        <v>2.23</v>
      </c>
      <c r="L2658">
        <v>0</v>
      </c>
      <c r="M2658" t="s">
        <v>4811</v>
      </c>
      <c r="N2658" t="s">
        <v>4900</v>
      </c>
      <c r="O2658" t="s">
        <v>4912</v>
      </c>
    </row>
    <row r="2659" spans="1:15" x14ac:dyDescent="0.35">
      <c r="A2659" t="s">
        <v>2622</v>
      </c>
      <c r="B2659">
        <v>51</v>
      </c>
      <c r="C2659" t="s">
        <v>4802</v>
      </c>
      <c r="D2659" t="s">
        <v>13</v>
      </c>
      <c r="E2659">
        <v>46</v>
      </c>
      <c r="F2659">
        <v>5</v>
      </c>
      <c r="G2659" t="s">
        <v>4797</v>
      </c>
      <c r="H2659" t="s">
        <v>4805</v>
      </c>
      <c r="I2659">
        <v>13.99</v>
      </c>
      <c r="J2659">
        <v>3</v>
      </c>
      <c r="K2659">
        <v>1.53</v>
      </c>
      <c r="L2659">
        <v>0</v>
      </c>
      <c r="M2659" t="s">
        <v>4812</v>
      </c>
      <c r="N2659" t="s">
        <v>4900</v>
      </c>
      <c r="O2659" t="s">
        <v>4910</v>
      </c>
    </row>
    <row r="2660" spans="1:15" x14ac:dyDescent="0.35">
      <c r="A2660" t="s">
        <v>2623</v>
      </c>
      <c r="B2660">
        <v>60</v>
      </c>
      <c r="C2660" t="s">
        <v>4802</v>
      </c>
      <c r="D2660" t="s">
        <v>13</v>
      </c>
      <c r="E2660">
        <v>41</v>
      </c>
      <c r="F2660">
        <v>16</v>
      </c>
      <c r="G2660" t="s">
        <v>4799</v>
      </c>
      <c r="H2660" t="s">
        <v>4804</v>
      </c>
      <c r="I2660">
        <v>13.99</v>
      </c>
      <c r="J2660">
        <v>2</v>
      </c>
      <c r="K2660">
        <v>1.37</v>
      </c>
      <c r="L2660">
        <v>0</v>
      </c>
      <c r="M2660" t="s">
        <v>4809</v>
      </c>
      <c r="N2660" t="s">
        <v>4900</v>
      </c>
      <c r="O2660" t="s">
        <v>4911</v>
      </c>
    </row>
    <row r="2661" spans="1:15" x14ac:dyDescent="0.35">
      <c r="A2661" t="s">
        <v>2624</v>
      </c>
      <c r="B2661">
        <v>42</v>
      </c>
      <c r="C2661" t="s">
        <v>4803</v>
      </c>
      <c r="D2661" t="s">
        <v>13</v>
      </c>
      <c r="E2661">
        <v>50</v>
      </c>
      <c r="F2661">
        <v>56</v>
      </c>
      <c r="G2661" t="s">
        <v>4799</v>
      </c>
      <c r="H2661" t="s">
        <v>4805</v>
      </c>
      <c r="I2661">
        <v>13.99</v>
      </c>
      <c r="J2661">
        <v>2</v>
      </c>
      <c r="K2661">
        <v>1.67</v>
      </c>
      <c r="L2661">
        <v>0</v>
      </c>
      <c r="M2661" t="s">
        <v>4808</v>
      </c>
      <c r="N2661" t="s">
        <v>4900</v>
      </c>
      <c r="O2661" t="s">
        <v>4910</v>
      </c>
    </row>
    <row r="2662" spans="1:15" x14ac:dyDescent="0.35">
      <c r="A2662" t="s">
        <v>2625</v>
      </c>
      <c r="B2662">
        <v>51</v>
      </c>
      <c r="C2662" t="s">
        <v>4803</v>
      </c>
      <c r="D2662" t="s">
        <v>13</v>
      </c>
      <c r="E2662">
        <v>30</v>
      </c>
      <c r="F2662">
        <v>21</v>
      </c>
      <c r="G2662" t="s">
        <v>4799</v>
      </c>
      <c r="H2662" t="s">
        <v>4804</v>
      </c>
      <c r="I2662">
        <v>13.99</v>
      </c>
      <c r="J2662">
        <v>3</v>
      </c>
      <c r="K2662">
        <v>1</v>
      </c>
      <c r="L2662">
        <v>0</v>
      </c>
      <c r="M2662" t="s">
        <v>4808</v>
      </c>
      <c r="N2662" t="s">
        <v>4900</v>
      </c>
      <c r="O2662" t="s">
        <v>4910</v>
      </c>
    </row>
    <row r="2663" spans="1:15" x14ac:dyDescent="0.35">
      <c r="A2663" t="s">
        <v>2626</v>
      </c>
      <c r="B2663">
        <v>53</v>
      </c>
      <c r="C2663" t="s">
        <v>4803</v>
      </c>
      <c r="D2663" t="s">
        <v>13</v>
      </c>
      <c r="E2663">
        <v>41</v>
      </c>
      <c r="F2663">
        <v>43</v>
      </c>
      <c r="G2663" t="s">
        <v>4797</v>
      </c>
      <c r="H2663" t="s">
        <v>4806</v>
      </c>
      <c r="I2663">
        <v>13.99</v>
      </c>
      <c r="J2663">
        <v>4</v>
      </c>
      <c r="K2663">
        <v>1.37</v>
      </c>
      <c r="L2663">
        <v>0</v>
      </c>
      <c r="M2663" t="s">
        <v>4811</v>
      </c>
      <c r="N2663" t="s">
        <v>4900</v>
      </c>
      <c r="O2663" t="s">
        <v>4910</v>
      </c>
    </row>
    <row r="2664" spans="1:15" x14ac:dyDescent="0.35">
      <c r="A2664" t="s">
        <v>2627</v>
      </c>
      <c r="B2664">
        <v>37</v>
      </c>
      <c r="C2664" t="s">
        <v>4802</v>
      </c>
      <c r="D2664" t="s">
        <v>13</v>
      </c>
      <c r="E2664">
        <v>35</v>
      </c>
      <c r="F2664">
        <v>42</v>
      </c>
      <c r="G2664" t="s">
        <v>4797</v>
      </c>
      <c r="H2664" t="s">
        <v>4805</v>
      </c>
      <c r="I2664">
        <v>13.99</v>
      </c>
      <c r="J2664">
        <v>2</v>
      </c>
      <c r="K2664">
        <v>1.17</v>
      </c>
      <c r="L2664">
        <v>0</v>
      </c>
      <c r="M2664" t="s">
        <v>4811</v>
      </c>
      <c r="N2664" t="s">
        <v>4900</v>
      </c>
      <c r="O2664" t="s">
        <v>4910</v>
      </c>
    </row>
    <row r="2665" spans="1:15" x14ac:dyDescent="0.35">
      <c r="A2665" t="s">
        <v>2628</v>
      </c>
      <c r="B2665">
        <v>30</v>
      </c>
      <c r="C2665" t="s">
        <v>4803</v>
      </c>
      <c r="D2665" t="s">
        <v>13</v>
      </c>
      <c r="E2665">
        <v>51</v>
      </c>
      <c r="F2665">
        <v>32</v>
      </c>
      <c r="G2665" t="s">
        <v>4798</v>
      </c>
      <c r="H2665" t="s">
        <v>4805</v>
      </c>
      <c r="I2665">
        <v>13.99</v>
      </c>
      <c r="J2665">
        <v>2</v>
      </c>
      <c r="K2665">
        <v>1.7</v>
      </c>
      <c r="L2665">
        <v>0</v>
      </c>
      <c r="M2665" t="s">
        <v>4812</v>
      </c>
      <c r="N2665" t="s">
        <v>4900</v>
      </c>
      <c r="O2665" t="s">
        <v>4912</v>
      </c>
    </row>
    <row r="2666" spans="1:15" x14ac:dyDescent="0.35">
      <c r="A2666" t="s">
        <v>2629</v>
      </c>
      <c r="B2666">
        <v>39</v>
      </c>
      <c r="C2666" t="s">
        <v>4803</v>
      </c>
      <c r="D2666" t="s">
        <v>13</v>
      </c>
      <c r="E2666">
        <v>72</v>
      </c>
      <c r="F2666">
        <v>58</v>
      </c>
      <c r="G2666" t="s">
        <v>4798</v>
      </c>
      <c r="H2666" t="s">
        <v>4805</v>
      </c>
      <c r="I2666">
        <v>13.99</v>
      </c>
      <c r="J2666">
        <v>3</v>
      </c>
      <c r="K2666">
        <v>2.4</v>
      </c>
      <c r="L2666">
        <v>0</v>
      </c>
      <c r="M2666" t="s">
        <v>4810</v>
      </c>
      <c r="N2666" t="s">
        <v>4900</v>
      </c>
      <c r="O2666" t="s">
        <v>4910</v>
      </c>
    </row>
    <row r="2667" spans="1:15" x14ac:dyDescent="0.35">
      <c r="A2667" t="s">
        <v>2630</v>
      </c>
      <c r="B2667">
        <v>27</v>
      </c>
      <c r="C2667" t="s">
        <v>4803</v>
      </c>
      <c r="D2667" t="s">
        <v>15</v>
      </c>
      <c r="E2667">
        <v>109</v>
      </c>
      <c r="F2667">
        <v>24</v>
      </c>
      <c r="G2667" t="s">
        <v>4798</v>
      </c>
      <c r="H2667" t="s">
        <v>4804</v>
      </c>
      <c r="I2667">
        <v>17.989999999999998</v>
      </c>
      <c r="J2667">
        <v>5</v>
      </c>
      <c r="K2667">
        <v>3.63</v>
      </c>
      <c r="L2667">
        <v>0</v>
      </c>
      <c r="M2667" t="s">
        <v>4810</v>
      </c>
      <c r="N2667" t="s">
        <v>4900</v>
      </c>
      <c r="O2667" t="s">
        <v>4912</v>
      </c>
    </row>
    <row r="2668" spans="1:15" x14ac:dyDescent="0.35">
      <c r="A2668" t="s">
        <v>2631</v>
      </c>
      <c r="B2668">
        <v>49</v>
      </c>
      <c r="C2668" t="s">
        <v>4803</v>
      </c>
      <c r="D2668" t="s">
        <v>13</v>
      </c>
      <c r="E2668">
        <v>60</v>
      </c>
      <c r="F2668">
        <v>32</v>
      </c>
      <c r="G2668" t="s">
        <v>4798</v>
      </c>
      <c r="H2668" t="s">
        <v>4804</v>
      </c>
      <c r="I2668">
        <v>13.99</v>
      </c>
      <c r="J2668">
        <v>2</v>
      </c>
      <c r="K2668">
        <v>2</v>
      </c>
      <c r="L2668">
        <v>0</v>
      </c>
      <c r="M2668" t="s">
        <v>4810</v>
      </c>
      <c r="N2668" t="s">
        <v>4900</v>
      </c>
      <c r="O2668" t="s">
        <v>4910</v>
      </c>
    </row>
    <row r="2669" spans="1:15" x14ac:dyDescent="0.35">
      <c r="A2669" t="s">
        <v>2632</v>
      </c>
      <c r="B2669">
        <v>38</v>
      </c>
      <c r="C2669" t="s">
        <v>4802</v>
      </c>
      <c r="D2669" t="s">
        <v>13</v>
      </c>
      <c r="E2669">
        <v>78</v>
      </c>
      <c r="F2669">
        <v>1</v>
      </c>
      <c r="G2669" t="s">
        <v>4798</v>
      </c>
      <c r="H2669" t="s">
        <v>4806</v>
      </c>
      <c r="I2669">
        <v>13.99</v>
      </c>
      <c r="J2669">
        <v>3</v>
      </c>
      <c r="K2669">
        <v>2.6</v>
      </c>
      <c r="L2669">
        <v>0</v>
      </c>
      <c r="M2669" t="s">
        <v>4812</v>
      </c>
      <c r="N2669" t="s">
        <v>4900</v>
      </c>
      <c r="O2669" t="s">
        <v>4910</v>
      </c>
    </row>
    <row r="2670" spans="1:15" x14ac:dyDescent="0.35">
      <c r="A2670" t="s">
        <v>2633</v>
      </c>
      <c r="B2670">
        <v>59</v>
      </c>
      <c r="C2670" t="s">
        <v>4803</v>
      </c>
      <c r="D2670" t="s">
        <v>13</v>
      </c>
      <c r="E2670">
        <v>64</v>
      </c>
      <c r="F2670">
        <v>20</v>
      </c>
      <c r="G2670" t="s">
        <v>4798</v>
      </c>
      <c r="H2670" t="s">
        <v>4805</v>
      </c>
      <c r="I2670">
        <v>13.99</v>
      </c>
      <c r="J2670">
        <v>2</v>
      </c>
      <c r="K2670">
        <v>2.13</v>
      </c>
      <c r="L2670">
        <v>0</v>
      </c>
      <c r="M2670" t="s">
        <v>4810</v>
      </c>
      <c r="N2670" t="s">
        <v>4900</v>
      </c>
      <c r="O2670" t="s">
        <v>4911</v>
      </c>
    </row>
    <row r="2671" spans="1:15" x14ac:dyDescent="0.35">
      <c r="A2671" t="s">
        <v>2634</v>
      </c>
      <c r="B2671">
        <v>42</v>
      </c>
      <c r="C2671" t="s">
        <v>4802</v>
      </c>
      <c r="D2671" t="s">
        <v>13</v>
      </c>
      <c r="E2671">
        <v>59</v>
      </c>
      <c r="F2671">
        <v>47</v>
      </c>
      <c r="G2671" t="s">
        <v>4800</v>
      </c>
      <c r="H2671" t="s">
        <v>4806</v>
      </c>
      <c r="I2671">
        <v>13.99</v>
      </c>
      <c r="J2671">
        <v>4</v>
      </c>
      <c r="K2671">
        <v>1.97</v>
      </c>
      <c r="L2671">
        <v>1</v>
      </c>
      <c r="M2671" t="s">
        <v>4811</v>
      </c>
      <c r="N2671" t="s">
        <v>4899</v>
      </c>
      <c r="O2671" t="s">
        <v>4910</v>
      </c>
    </row>
    <row r="2672" spans="1:15" x14ac:dyDescent="0.35">
      <c r="A2672" t="s">
        <v>2635</v>
      </c>
      <c r="B2672">
        <v>34</v>
      </c>
      <c r="C2672" t="s">
        <v>4803</v>
      </c>
      <c r="D2672" t="s">
        <v>13</v>
      </c>
      <c r="E2672">
        <v>38</v>
      </c>
      <c r="F2672">
        <v>39</v>
      </c>
      <c r="G2672" t="s">
        <v>4797</v>
      </c>
      <c r="H2672" t="s">
        <v>4805</v>
      </c>
      <c r="I2672">
        <v>13.99</v>
      </c>
      <c r="J2672">
        <v>3</v>
      </c>
      <c r="K2672">
        <v>1.27</v>
      </c>
      <c r="L2672">
        <v>0</v>
      </c>
      <c r="M2672" t="s">
        <v>4810</v>
      </c>
      <c r="N2672" t="s">
        <v>4900</v>
      </c>
      <c r="O2672" t="s">
        <v>4912</v>
      </c>
    </row>
    <row r="2673" spans="1:15" x14ac:dyDescent="0.35">
      <c r="A2673" t="s">
        <v>2636</v>
      </c>
      <c r="B2673">
        <v>58</v>
      </c>
      <c r="C2673" t="s">
        <v>4802</v>
      </c>
      <c r="D2673" t="s">
        <v>13</v>
      </c>
      <c r="E2673">
        <v>60</v>
      </c>
      <c r="F2673">
        <v>36</v>
      </c>
      <c r="G2673" t="s">
        <v>4798</v>
      </c>
      <c r="H2673" t="s">
        <v>4804</v>
      </c>
      <c r="I2673">
        <v>13.99</v>
      </c>
      <c r="J2673">
        <v>2</v>
      </c>
      <c r="K2673">
        <v>5</v>
      </c>
      <c r="L2673">
        <v>1</v>
      </c>
      <c r="M2673" t="s">
        <v>4810</v>
      </c>
      <c r="N2673" t="s">
        <v>4899</v>
      </c>
      <c r="O2673" t="s">
        <v>4911</v>
      </c>
    </row>
    <row r="2674" spans="1:15" x14ac:dyDescent="0.35">
      <c r="A2674" t="s">
        <v>2637</v>
      </c>
      <c r="B2674">
        <v>23</v>
      </c>
      <c r="C2674" t="s">
        <v>4802</v>
      </c>
      <c r="D2674" t="s">
        <v>13</v>
      </c>
      <c r="E2674">
        <v>80</v>
      </c>
      <c r="F2674">
        <v>38</v>
      </c>
      <c r="G2674" t="s">
        <v>4799</v>
      </c>
      <c r="H2674" t="s">
        <v>4807</v>
      </c>
      <c r="I2674">
        <v>13.99</v>
      </c>
      <c r="J2674">
        <v>3</v>
      </c>
      <c r="K2674">
        <v>2.67</v>
      </c>
      <c r="L2674">
        <v>0</v>
      </c>
      <c r="M2674" t="s">
        <v>4809</v>
      </c>
      <c r="N2674" t="s">
        <v>4900</v>
      </c>
      <c r="O2674" t="s">
        <v>4912</v>
      </c>
    </row>
    <row r="2675" spans="1:15" x14ac:dyDescent="0.35">
      <c r="A2675" t="s">
        <v>2638</v>
      </c>
      <c r="B2675">
        <v>38</v>
      </c>
      <c r="C2675" t="s">
        <v>4803</v>
      </c>
      <c r="D2675" t="s">
        <v>13</v>
      </c>
      <c r="E2675">
        <v>44</v>
      </c>
      <c r="F2675">
        <v>25</v>
      </c>
      <c r="G2675" t="s">
        <v>4799</v>
      </c>
      <c r="H2675" t="s">
        <v>4805</v>
      </c>
      <c r="I2675">
        <v>13.99</v>
      </c>
      <c r="J2675">
        <v>4</v>
      </c>
      <c r="K2675">
        <v>1.47</v>
      </c>
      <c r="L2675">
        <v>0</v>
      </c>
      <c r="M2675" t="s">
        <v>4812</v>
      </c>
      <c r="N2675" t="s">
        <v>4900</v>
      </c>
      <c r="O2675" t="s">
        <v>4910</v>
      </c>
    </row>
    <row r="2676" spans="1:15" x14ac:dyDescent="0.35">
      <c r="A2676" t="s">
        <v>2639</v>
      </c>
      <c r="B2676">
        <v>59</v>
      </c>
      <c r="C2676" t="s">
        <v>4803</v>
      </c>
      <c r="D2676" t="s">
        <v>13</v>
      </c>
      <c r="E2676">
        <v>52</v>
      </c>
      <c r="F2676">
        <v>57</v>
      </c>
      <c r="G2676" t="s">
        <v>4798</v>
      </c>
      <c r="H2676" t="s">
        <v>4806</v>
      </c>
      <c r="I2676">
        <v>13.99</v>
      </c>
      <c r="J2676">
        <v>3</v>
      </c>
      <c r="K2676">
        <v>1.73</v>
      </c>
      <c r="L2676">
        <v>1</v>
      </c>
      <c r="M2676" t="s">
        <v>4810</v>
      </c>
      <c r="N2676" t="s">
        <v>4899</v>
      </c>
      <c r="O2676" t="s">
        <v>4911</v>
      </c>
    </row>
    <row r="2677" spans="1:15" x14ac:dyDescent="0.35">
      <c r="A2677" t="s">
        <v>2640</v>
      </c>
      <c r="B2677">
        <v>60</v>
      </c>
      <c r="C2677" t="s">
        <v>4803</v>
      </c>
      <c r="D2677" t="s">
        <v>13</v>
      </c>
      <c r="E2677">
        <v>48</v>
      </c>
      <c r="F2677">
        <v>30</v>
      </c>
      <c r="G2677" t="s">
        <v>4797</v>
      </c>
      <c r="H2677" t="s">
        <v>4806</v>
      </c>
      <c r="I2677">
        <v>13.99</v>
      </c>
      <c r="J2677">
        <v>2</v>
      </c>
      <c r="K2677">
        <v>1.6</v>
      </c>
      <c r="L2677">
        <v>0</v>
      </c>
      <c r="M2677" t="s">
        <v>4811</v>
      </c>
      <c r="N2677" t="s">
        <v>4900</v>
      </c>
      <c r="O2677" t="s">
        <v>4911</v>
      </c>
    </row>
    <row r="2678" spans="1:15" x14ac:dyDescent="0.35">
      <c r="A2678" t="s">
        <v>2641</v>
      </c>
      <c r="B2678">
        <v>37</v>
      </c>
      <c r="C2678" t="s">
        <v>4802</v>
      </c>
      <c r="D2678" t="s">
        <v>13</v>
      </c>
      <c r="E2678">
        <v>76</v>
      </c>
      <c r="F2678">
        <v>15</v>
      </c>
      <c r="G2678" t="s">
        <v>4799</v>
      </c>
      <c r="H2678" t="s">
        <v>4804</v>
      </c>
      <c r="I2678">
        <v>13.99</v>
      </c>
      <c r="J2678">
        <v>4</v>
      </c>
      <c r="K2678">
        <v>2.5299999999999998</v>
      </c>
      <c r="L2678">
        <v>0</v>
      </c>
      <c r="M2678" t="s">
        <v>4809</v>
      </c>
      <c r="N2678" t="s">
        <v>4900</v>
      </c>
      <c r="O2678" t="s">
        <v>4910</v>
      </c>
    </row>
    <row r="2679" spans="1:15" x14ac:dyDescent="0.35">
      <c r="A2679" t="s">
        <v>2642</v>
      </c>
      <c r="B2679">
        <v>21</v>
      </c>
      <c r="C2679" t="s">
        <v>4802</v>
      </c>
      <c r="D2679" t="s">
        <v>13</v>
      </c>
      <c r="E2679">
        <v>59</v>
      </c>
      <c r="F2679">
        <v>47</v>
      </c>
      <c r="G2679" t="s">
        <v>4797</v>
      </c>
      <c r="H2679" t="s">
        <v>4804</v>
      </c>
      <c r="I2679">
        <v>13.99</v>
      </c>
      <c r="J2679">
        <v>1</v>
      </c>
      <c r="K2679">
        <v>1.97</v>
      </c>
      <c r="L2679">
        <v>0</v>
      </c>
      <c r="M2679" t="s">
        <v>4810</v>
      </c>
      <c r="N2679" t="s">
        <v>4900</v>
      </c>
      <c r="O2679" t="s">
        <v>4912</v>
      </c>
    </row>
    <row r="2680" spans="1:15" x14ac:dyDescent="0.35">
      <c r="A2680" t="s">
        <v>2643</v>
      </c>
      <c r="B2680">
        <v>50</v>
      </c>
      <c r="C2680" t="s">
        <v>4802</v>
      </c>
      <c r="D2680" t="s">
        <v>13</v>
      </c>
      <c r="E2680">
        <v>53</v>
      </c>
      <c r="F2680">
        <v>40</v>
      </c>
      <c r="G2680" t="s">
        <v>4797</v>
      </c>
      <c r="H2680" t="s">
        <v>4805</v>
      </c>
      <c r="I2680">
        <v>13.99</v>
      </c>
      <c r="J2680">
        <v>1</v>
      </c>
      <c r="K2680">
        <v>1.77</v>
      </c>
      <c r="L2680">
        <v>0</v>
      </c>
      <c r="M2680" t="s">
        <v>4811</v>
      </c>
      <c r="N2680" t="s">
        <v>4900</v>
      </c>
      <c r="O2680" t="s">
        <v>4910</v>
      </c>
    </row>
    <row r="2681" spans="1:15" x14ac:dyDescent="0.35">
      <c r="A2681" t="s">
        <v>2644</v>
      </c>
      <c r="B2681">
        <v>39</v>
      </c>
      <c r="C2681" t="s">
        <v>4802</v>
      </c>
      <c r="D2681" t="s">
        <v>13</v>
      </c>
      <c r="E2681">
        <v>58</v>
      </c>
      <c r="F2681">
        <v>42</v>
      </c>
      <c r="G2681" t="s">
        <v>4799</v>
      </c>
      <c r="H2681" t="s">
        <v>4804</v>
      </c>
      <c r="I2681">
        <v>13.99</v>
      </c>
      <c r="J2681">
        <v>1</v>
      </c>
      <c r="K2681">
        <v>1.93</v>
      </c>
      <c r="L2681">
        <v>0</v>
      </c>
      <c r="M2681" t="s">
        <v>4808</v>
      </c>
      <c r="N2681" t="s">
        <v>4900</v>
      </c>
      <c r="O2681" t="s">
        <v>4910</v>
      </c>
    </row>
    <row r="2682" spans="1:15" x14ac:dyDescent="0.35">
      <c r="A2682" t="s">
        <v>2645</v>
      </c>
      <c r="B2682">
        <v>33</v>
      </c>
      <c r="C2682" t="s">
        <v>4802</v>
      </c>
      <c r="D2682" t="s">
        <v>13</v>
      </c>
      <c r="E2682">
        <v>51</v>
      </c>
      <c r="F2682">
        <v>24</v>
      </c>
      <c r="G2682" t="s">
        <v>4799</v>
      </c>
      <c r="H2682" t="s">
        <v>4804</v>
      </c>
      <c r="I2682">
        <v>13.99</v>
      </c>
      <c r="J2682">
        <v>4</v>
      </c>
      <c r="K2682">
        <v>1.7</v>
      </c>
      <c r="L2682">
        <v>0</v>
      </c>
      <c r="M2682" t="s">
        <v>4808</v>
      </c>
      <c r="N2682" t="s">
        <v>4900</v>
      </c>
      <c r="O2682" t="s">
        <v>4912</v>
      </c>
    </row>
    <row r="2683" spans="1:15" x14ac:dyDescent="0.35">
      <c r="A2683" t="s">
        <v>4838</v>
      </c>
      <c r="B2683">
        <v>20</v>
      </c>
      <c r="C2683" t="s">
        <v>4803</v>
      </c>
      <c r="D2683" t="s">
        <v>13</v>
      </c>
      <c r="E2683">
        <v>79</v>
      </c>
      <c r="F2683">
        <v>53</v>
      </c>
      <c r="G2683" t="s">
        <v>4800</v>
      </c>
      <c r="H2683" t="s">
        <v>4804</v>
      </c>
      <c r="I2683">
        <v>13.99</v>
      </c>
      <c r="J2683">
        <v>2</v>
      </c>
      <c r="K2683">
        <v>2.63</v>
      </c>
      <c r="L2683">
        <v>0</v>
      </c>
      <c r="M2683" t="s">
        <v>4809</v>
      </c>
      <c r="N2683" t="s">
        <v>4900</v>
      </c>
      <c r="O2683" t="s">
        <v>4912</v>
      </c>
    </row>
    <row r="2684" spans="1:15" x14ac:dyDescent="0.35">
      <c r="A2684" t="s">
        <v>2646</v>
      </c>
      <c r="B2684">
        <v>35</v>
      </c>
      <c r="C2684" t="s">
        <v>4803</v>
      </c>
      <c r="D2684" t="s">
        <v>15</v>
      </c>
      <c r="E2684">
        <v>73</v>
      </c>
      <c r="F2684">
        <v>39</v>
      </c>
      <c r="G2684" t="s">
        <v>4798</v>
      </c>
      <c r="H2684" t="s">
        <v>4805</v>
      </c>
      <c r="I2684">
        <v>17.989999999999998</v>
      </c>
      <c r="J2684">
        <v>2</v>
      </c>
      <c r="K2684">
        <v>2.4300000000000002</v>
      </c>
      <c r="L2684">
        <v>1</v>
      </c>
      <c r="M2684" t="s">
        <v>4812</v>
      </c>
      <c r="N2684" t="s">
        <v>4899</v>
      </c>
      <c r="O2684" t="s">
        <v>4910</v>
      </c>
    </row>
    <row r="2685" spans="1:15" x14ac:dyDescent="0.35">
      <c r="A2685" t="s">
        <v>2647</v>
      </c>
      <c r="B2685">
        <v>31</v>
      </c>
      <c r="C2685" t="s">
        <v>4802</v>
      </c>
      <c r="D2685" t="s">
        <v>13</v>
      </c>
      <c r="E2685">
        <v>36</v>
      </c>
      <c r="F2685">
        <v>38</v>
      </c>
      <c r="G2685" t="s">
        <v>4799</v>
      </c>
      <c r="H2685" t="s">
        <v>4805</v>
      </c>
      <c r="I2685">
        <v>13.99</v>
      </c>
      <c r="J2685">
        <v>3</v>
      </c>
      <c r="K2685">
        <v>1.2</v>
      </c>
      <c r="L2685">
        <v>0</v>
      </c>
      <c r="M2685" t="s">
        <v>4810</v>
      </c>
      <c r="N2685" t="s">
        <v>4900</v>
      </c>
      <c r="O2685" t="s">
        <v>4912</v>
      </c>
    </row>
    <row r="2686" spans="1:15" x14ac:dyDescent="0.35">
      <c r="A2686" t="s">
        <v>2648</v>
      </c>
      <c r="B2686">
        <v>39</v>
      </c>
      <c r="C2686" t="s">
        <v>4803</v>
      </c>
      <c r="D2686" t="s">
        <v>13</v>
      </c>
      <c r="E2686">
        <v>49</v>
      </c>
      <c r="F2686">
        <v>16</v>
      </c>
      <c r="G2686" t="s">
        <v>4799</v>
      </c>
      <c r="H2686" t="s">
        <v>4806</v>
      </c>
      <c r="I2686">
        <v>13.99</v>
      </c>
      <c r="J2686">
        <v>1</v>
      </c>
      <c r="K2686">
        <v>1.63</v>
      </c>
      <c r="L2686">
        <v>0</v>
      </c>
      <c r="M2686" t="s">
        <v>4808</v>
      </c>
      <c r="N2686" t="s">
        <v>4900</v>
      </c>
      <c r="O2686" t="s">
        <v>4910</v>
      </c>
    </row>
    <row r="2687" spans="1:15" x14ac:dyDescent="0.35">
      <c r="A2687" t="s">
        <v>2649</v>
      </c>
      <c r="B2687">
        <v>64</v>
      </c>
      <c r="C2687" t="s">
        <v>4803</v>
      </c>
      <c r="D2687" t="s">
        <v>13</v>
      </c>
      <c r="E2687">
        <v>50</v>
      </c>
      <c r="F2687">
        <v>45</v>
      </c>
      <c r="G2687" t="s">
        <v>4797</v>
      </c>
      <c r="H2687" t="s">
        <v>4805</v>
      </c>
      <c r="I2687">
        <v>13.99</v>
      </c>
      <c r="J2687">
        <v>2</v>
      </c>
      <c r="K2687">
        <v>1.67</v>
      </c>
      <c r="L2687">
        <v>0</v>
      </c>
      <c r="M2687" t="s">
        <v>4811</v>
      </c>
      <c r="N2687" t="s">
        <v>4900</v>
      </c>
      <c r="O2687" t="s">
        <v>4911</v>
      </c>
    </row>
    <row r="2688" spans="1:15" x14ac:dyDescent="0.35">
      <c r="A2688" t="s">
        <v>2650</v>
      </c>
      <c r="B2688">
        <v>25</v>
      </c>
      <c r="C2688" t="s">
        <v>4803</v>
      </c>
      <c r="D2688" t="s">
        <v>13</v>
      </c>
      <c r="E2688">
        <v>77</v>
      </c>
      <c r="F2688">
        <v>21</v>
      </c>
      <c r="G2688" t="s">
        <v>4798</v>
      </c>
      <c r="H2688" t="s">
        <v>4804</v>
      </c>
      <c r="I2688">
        <v>13.99</v>
      </c>
      <c r="J2688">
        <v>2</v>
      </c>
      <c r="K2688">
        <v>2.57</v>
      </c>
      <c r="L2688">
        <v>1</v>
      </c>
      <c r="M2688" t="s">
        <v>4812</v>
      </c>
      <c r="N2688" t="s">
        <v>4899</v>
      </c>
      <c r="O2688" t="s">
        <v>4912</v>
      </c>
    </row>
    <row r="2689" spans="1:15" x14ac:dyDescent="0.35">
      <c r="A2689" t="s">
        <v>2651</v>
      </c>
      <c r="B2689">
        <v>57</v>
      </c>
      <c r="C2689" t="s">
        <v>4802</v>
      </c>
      <c r="D2689" t="s">
        <v>13</v>
      </c>
      <c r="E2689">
        <v>32</v>
      </c>
      <c r="F2689">
        <v>60</v>
      </c>
      <c r="G2689" t="s">
        <v>4798</v>
      </c>
      <c r="H2689" t="s">
        <v>4806</v>
      </c>
      <c r="I2689">
        <v>13.99</v>
      </c>
      <c r="J2689">
        <v>2</v>
      </c>
      <c r="K2689">
        <v>1.07</v>
      </c>
      <c r="L2689">
        <v>0</v>
      </c>
      <c r="M2689" t="s">
        <v>4808</v>
      </c>
      <c r="N2689" t="s">
        <v>4900</v>
      </c>
      <c r="O2689" t="s">
        <v>4911</v>
      </c>
    </row>
    <row r="2690" spans="1:15" x14ac:dyDescent="0.35">
      <c r="A2690" t="s">
        <v>2652</v>
      </c>
      <c r="B2690">
        <v>46</v>
      </c>
      <c r="C2690" t="s">
        <v>4803</v>
      </c>
      <c r="D2690" t="s">
        <v>15</v>
      </c>
      <c r="E2690">
        <v>87</v>
      </c>
      <c r="F2690">
        <v>23</v>
      </c>
      <c r="G2690" t="s">
        <v>4797</v>
      </c>
      <c r="H2690" t="s">
        <v>4805</v>
      </c>
      <c r="I2690">
        <v>17.989999999999998</v>
      </c>
      <c r="J2690">
        <v>2</v>
      </c>
      <c r="K2690">
        <v>2.9</v>
      </c>
      <c r="L2690">
        <v>0</v>
      </c>
      <c r="M2690" t="s">
        <v>4811</v>
      </c>
      <c r="N2690" t="s">
        <v>4900</v>
      </c>
      <c r="O2690" t="s">
        <v>4910</v>
      </c>
    </row>
    <row r="2691" spans="1:15" x14ac:dyDescent="0.35">
      <c r="A2691" t="s">
        <v>2653</v>
      </c>
      <c r="B2691">
        <v>56</v>
      </c>
      <c r="C2691" t="s">
        <v>4802</v>
      </c>
      <c r="D2691" t="s">
        <v>13</v>
      </c>
      <c r="E2691">
        <v>73</v>
      </c>
      <c r="F2691">
        <v>13</v>
      </c>
      <c r="G2691" t="s">
        <v>4799</v>
      </c>
      <c r="H2691" t="s">
        <v>4805</v>
      </c>
      <c r="I2691">
        <v>13.99</v>
      </c>
      <c r="J2691">
        <v>2</v>
      </c>
      <c r="K2691">
        <v>2.4300000000000002</v>
      </c>
      <c r="L2691">
        <v>0</v>
      </c>
      <c r="M2691" t="s">
        <v>4812</v>
      </c>
      <c r="N2691" t="s">
        <v>4900</v>
      </c>
      <c r="O2691" t="s">
        <v>4911</v>
      </c>
    </row>
    <row r="2692" spans="1:15" x14ac:dyDescent="0.35">
      <c r="A2692" t="s">
        <v>2654</v>
      </c>
      <c r="B2692">
        <v>59</v>
      </c>
      <c r="C2692" t="s">
        <v>4803</v>
      </c>
      <c r="D2692" t="s">
        <v>13</v>
      </c>
      <c r="E2692">
        <v>35</v>
      </c>
      <c r="F2692">
        <v>48</v>
      </c>
      <c r="G2692" t="s">
        <v>4797</v>
      </c>
      <c r="H2692" t="s">
        <v>4805</v>
      </c>
      <c r="I2692">
        <v>13.99</v>
      </c>
      <c r="J2692">
        <v>3</v>
      </c>
      <c r="K2692">
        <v>1.17</v>
      </c>
      <c r="L2692">
        <v>1</v>
      </c>
      <c r="M2692" t="s">
        <v>4811</v>
      </c>
      <c r="N2692" t="s">
        <v>4899</v>
      </c>
      <c r="O2692" t="s">
        <v>4911</v>
      </c>
    </row>
    <row r="2693" spans="1:15" x14ac:dyDescent="0.35">
      <c r="A2693" t="s">
        <v>2655</v>
      </c>
      <c r="B2693">
        <v>21</v>
      </c>
      <c r="C2693" t="s">
        <v>4803</v>
      </c>
      <c r="D2693" t="s">
        <v>13</v>
      </c>
      <c r="E2693">
        <v>44</v>
      </c>
      <c r="F2693">
        <v>41</v>
      </c>
      <c r="G2693" t="s">
        <v>4798</v>
      </c>
      <c r="H2693" t="s">
        <v>4804</v>
      </c>
      <c r="I2693">
        <v>13.99</v>
      </c>
      <c r="J2693">
        <v>4</v>
      </c>
      <c r="K2693">
        <v>1.47</v>
      </c>
      <c r="L2693">
        <v>0</v>
      </c>
      <c r="M2693" t="s">
        <v>4809</v>
      </c>
      <c r="N2693" t="s">
        <v>4900</v>
      </c>
      <c r="O2693" t="s">
        <v>4912</v>
      </c>
    </row>
    <row r="2694" spans="1:15" x14ac:dyDescent="0.35">
      <c r="A2694" t="s">
        <v>2656</v>
      </c>
      <c r="B2694">
        <v>26</v>
      </c>
      <c r="C2694" t="s">
        <v>4803</v>
      </c>
      <c r="D2694" t="s">
        <v>13</v>
      </c>
      <c r="E2694">
        <v>32</v>
      </c>
      <c r="F2694">
        <v>8</v>
      </c>
      <c r="G2694" t="s">
        <v>4797</v>
      </c>
      <c r="H2694" t="s">
        <v>4805</v>
      </c>
      <c r="I2694">
        <v>13.99</v>
      </c>
      <c r="J2694">
        <v>2</v>
      </c>
      <c r="K2694">
        <v>2.0299999999999998</v>
      </c>
      <c r="L2694">
        <v>0</v>
      </c>
      <c r="M2694" t="s">
        <v>4812</v>
      </c>
      <c r="N2694" t="s">
        <v>4900</v>
      </c>
      <c r="O2694" t="s">
        <v>4912</v>
      </c>
    </row>
    <row r="2695" spans="1:15" x14ac:dyDescent="0.35">
      <c r="A2695" t="s">
        <v>2657</v>
      </c>
      <c r="B2695">
        <v>62</v>
      </c>
      <c r="C2695" t="s">
        <v>4802</v>
      </c>
      <c r="D2695" t="s">
        <v>13</v>
      </c>
      <c r="E2695">
        <v>59</v>
      </c>
      <c r="F2695">
        <v>46</v>
      </c>
      <c r="G2695" t="s">
        <v>4798</v>
      </c>
      <c r="H2695" t="s">
        <v>4807</v>
      </c>
      <c r="I2695">
        <v>13.99</v>
      </c>
      <c r="J2695">
        <v>4</v>
      </c>
      <c r="K2695">
        <v>1.97</v>
      </c>
      <c r="L2695">
        <v>0</v>
      </c>
      <c r="M2695" t="s">
        <v>4808</v>
      </c>
      <c r="N2695" t="s">
        <v>4900</v>
      </c>
      <c r="O2695" t="s">
        <v>4911</v>
      </c>
    </row>
    <row r="2696" spans="1:15" x14ac:dyDescent="0.35">
      <c r="A2696" t="s">
        <v>2658</v>
      </c>
      <c r="B2696">
        <v>28</v>
      </c>
      <c r="C2696" t="s">
        <v>4802</v>
      </c>
      <c r="D2696" t="s">
        <v>13</v>
      </c>
      <c r="E2696">
        <v>80</v>
      </c>
      <c r="F2696">
        <v>25</v>
      </c>
      <c r="G2696" t="s">
        <v>4798</v>
      </c>
      <c r="H2696" t="s">
        <v>4804</v>
      </c>
      <c r="I2696">
        <v>13.99</v>
      </c>
      <c r="J2696">
        <v>4</v>
      </c>
      <c r="K2696">
        <v>2.67</v>
      </c>
      <c r="L2696">
        <v>0</v>
      </c>
      <c r="M2696" t="s">
        <v>4808</v>
      </c>
      <c r="N2696" t="s">
        <v>4900</v>
      </c>
      <c r="O2696" t="s">
        <v>4912</v>
      </c>
    </row>
    <row r="2697" spans="1:15" x14ac:dyDescent="0.35">
      <c r="A2697" t="s">
        <v>2659</v>
      </c>
      <c r="B2697">
        <v>33</v>
      </c>
      <c r="C2697" t="s">
        <v>4803</v>
      </c>
      <c r="D2697" t="s">
        <v>15</v>
      </c>
      <c r="E2697">
        <v>75</v>
      </c>
      <c r="F2697">
        <v>5</v>
      </c>
      <c r="G2697" t="s">
        <v>4797</v>
      </c>
      <c r="H2697" t="s">
        <v>4804</v>
      </c>
      <c r="I2697">
        <v>17.989999999999998</v>
      </c>
      <c r="J2697">
        <v>3</v>
      </c>
      <c r="K2697">
        <v>2.5</v>
      </c>
      <c r="L2697">
        <v>0</v>
      </c>
      <c r="M2697" t="s">
        <v>4808</v>
      </c>
      <c r="N2697" t="s">
        <v>4900</v>
      </c>
      <c r="O2697" t="s">
        <v>4912</v>
      </c>
    </row>
    <row r="2698" spans="1:15" x14ac:dyDescent="0.35">
      <c r="A2698" t="s">
        <v>2660</v>
      </c>
      <c r="B2698">
        <v>59</v>
      </c>
      <c r="C2698" t="s">
        <v>4803</v>
      </c>
      <c r="D2698" t="s">
        <v>13</v>
      </c>
      <c r="E2698">
        <v>67</v>
      </c>
      <c r="F2698">
        <v>42</v>
      </c>
      <c r="G2698" t="s">
        <v>4800</v>
      </c>
      <c r="H2698" t="s">
        <v>4804</v>
      </c>
      <c r="I2698">
        <v>13.99</v>
      </c>
      <c r="J2698">
        <v>1</v>
      </c>
      <c r="K2698">
        <v>2.23</v>
      </c>
      <c r="L2698">
        <v>0</v>
      </c>
      <c r="M2698" t="s">
        <v>4808</v>
      </c>
      <c r="N2698" t="s">
        <v>4900</v>
      </c>
      <c r="O2698" t="s">
        <v>4911</v>
      </c>
    </row>
    <row r="2699" spans="1:15" x14ac:dyDescent="0.35">
      <c r="A2699" t="s">
        <v>2661</v>
      </c>
      <c r="B2699">
        <v>61</v>
      </c>
      <c r="C2699" t="s">
        <v>4802</v>
      </c>
      <c r="D2699" t="s">
        <v>13</v>
      </c>
      <c r="E2699">
        <v>30</v>
      </c>
      <c r="F2699">
        <v>3</v>
      </c>
      <c r="G2699" t="s">
        <v>4798</v>
      </c>
      <c r="H2699" t="s">
        <v>4804</v>
      </c>
      <c r="I2699">
        <v>13.99</v>
      </c>
      <c r="J2699">
        <v>3</v>
      </c>
      <c r="K2699">
        <v>1</v>
      </c>
      <c r="L2699">
        <v>0</v>
      </c>
      <c r="M2699" t="s">
        <v>4808</v>
      </c>
      <c r="N2699" t="s">
        <v>4900</v>
      </c>
      <c r="O2699" t="s">
        <v>4911</v>
      </c>
    </row>
    <row r="2700" spans="1:15" x14ac:dyDescent="0.35">
      <c r="A2700" t="s">
        <v>2662</v>
      </c>
      <c r="B2700">
        <v>32</v>
      </c>
      <c r="C2700" t="s">
        <v>4803</v>
      </c>
      <c r="D2700" t="s">
        <v>15</v>
      </c>
      <c r="E2700">
        <v>54</v>
      </c>
      <c r="F2700">
        <v>60</v>
      </c>
      <c r="G2700" t="s">
        <v>4797</v>
      </c>
      <c r="H2700" t="s">
        <v>4806</v>
      </c>
      <c r="I2700">
        <v>17.989999999999998</v>
      </c>
      <c r="J2700">
        <v>5</v>
      </c>
      <c r="K2700">
        <v>1.8</v>
      </c>
      <c r="L2700">
        <v>0</v>
      </c>
      <c r="M2700" t="s">
        <v>4810</v>
      </c>
      <c r="N2700" t="s">
        <v>4900</v>
      </c>
      <c r="O2700" t="s">
        <v>4912</v>
      </c>
    </row>
    <row r="2701" spans="1:15" x14ac:dyDescent="0.35">
      <c r="A2701" t="s">
        <v>2663</v>
      </c>
      <c r="B2701">
        <v>35</v>
      </c>
      <c r="C2701" t="s">
        <v>4802</v>
      </c>
      <c r="D2701" t="s">
        <v>13</v>
      </c>
      <c r="E2701">
        <v>71</v>
      </c>
      <c r="F2701">
        <v>4</v>
      </c>
      <c r="G2701" t="s">
        <v>4797</v>
      </c>
      <c r="H2701" t="s">
        <v>4805</v>
      </c>
      <c r="I2701">
        <v>13.99</v>
      </c>
      <c r="J2701">
        <v>2</v>
      </c>
      <c r="K2701">
        <v>2.37</v>
      </c>
      <c r="L2701">
        <v>0</v>
      </c>
      <c r="M2701" t="s">
        <v>4810</v>
      </c>
      <c r="N2701" t="s">
        <v>4900</v>
      </c>
      <c r="O2701" t="s">
        <v>4910</v>
      </c>
    </row>
    <row r="2702" spans="1:15" x14ac:dyDescent="0.35">
      <c r="A2702" t="s">
        <v>2664</v>
      </c>
      <c r="B2702">
        <v>63</v>
      </c>
      <c r="C2702" t="s">
        <v>4803</v>
      </c>
      <c r="D2702" t="s">
        <v>15</v>
      </c>
      <c r="E2702">
        <v>37</v>
      </c>
      <c r="F2702">
        <v>40</v>
      </c>
      <c r="G2702" t="s">
        <v>4797</v>
      </c>
      <c r="H2702" t="s">
        <v>4804</v>
      </c>
      <c r="I2702">
        <v>17.989999999999998</v>
      </c>
      <c r="J2702">
        <v>2</v>
      </c>
      <c r="K2702">
        <v>1.23</v>
      </c>
      <c r="L2702">
        <v>0</v>
      </c>
      <c r="M2702" t="s">
        <v>4808</v>
      </c>
      <c r="N2702" t="s">
        <v>4900</v>
      </c>
      <c r="O2702" t="s">
        <v>4911</v>
      </c>
    </row>
    <row r="2703" spans="1:15" x14ac:dyDescent="0.35">
      <c r="A2703" t="s">
        <v>2665</v>
      </c>
      <c r="B2703">
        <v>60</v>
      </c>
      <c r="C2703" t="s">
        <v>4803</v>
      </c>
      <c r="D2703" t="s">
        <v>15</v>
      </c>
      <c r="E2703">
        <v>56</v>
      </c>
      <c r="F2703">
        <v>38</v>
      </c>
      <c r="G2703" t="s">
        <v>4798</v>
      </c>
      <c r="H2703" t="s">
        <v>4806</v>
      </c>
      <c r="I2703">
        <v>17.989999999999998</v>
      </c>
      <c r="J2703">
        <v>2</v>
      </c>
      <c r="K2703">
        <v>1.87</v>
      </c>
      <c r="L2703">
        <v>0</v>
      </c>
      <c r="M2703" t="s">
        <v>4810</v>
      </c>
      <c r="N2703" t="s">
        <v>4900</v>
      </c>
      <c r="O2703" t="s">
        <v>4911</v>
      </c>
    </row>
    <row r="2704" spans="1:15" x14ac:dyDescent="0.35">
      <c r="A2704" t="s">
        <v>2666</v>
      </c>
      <c r="B2704">
        <v>44</v>
      </c>
      <c r="C2704" t="s">
        <v>4803</v>
      </c>
      <c r="D2704" t="s">
        <v>13</v>
      </c>
      <c r="E2704">
        <v>69</v>
      </c>
      <c r="F2704">
        <v>24</v>
      </c>
      <c r="G2704" t="s">
        <v>4798</v>
      </c>
      <c r="H2704" t="s">
        <v>4806</v>
      </c>
      <c r="I2704">
        <v>13.99</v>
      </c>
      <c r="J2704">
        <v>3</v>
      </c>
      <c r="K2704">
        <v>2.2999999999999998</v>
      </c>
      <c r="L2704">
        <v>0</v>
      </c>
      <c r="M2704" t="s">
        <v>4810</v>
      </c>
      <c r="N2704" t="s">
        <v>4900</v>
      </c>
      <c r="O2704" t="s">
        <v>4910</v>
      </c>
    </row>
    <row r="2705" spans="1:15" x14ac:dyDescent="0.35">
      <c r="A2705" t="s">
        <v>2667</v>
      </c>
      <c r="B2705">
        <v>20</v>
      </c>
      <c r="C2705" t="s">
        <v>4803</v>
      </c>
      <c r="D2705" t="s">
        <v>13</v>
      </c>
      <c r="E2705">
        <v>78</v>
      </c>
      <c r="F2705">
        <v>30</v>
      </c>
      <c r="G2705" t="s">
        <v>4797</v>
      </c>
      <c r="H2705" t="s">
        <v>4807</v>
      </c>
      <c r="I2705">
        <v>13.99</v>
      </c>
      <c r="J2705">
        <v>4</v>
      </c>
      <c r="K2705">
        <v>2.6</v>
      </c>
      <c r="L2705">
        <v>1</v>
      </c>
      <c r="M2705" t="s">
        <v>4808</v>
      </c>
      <c r="N2705" t="s">
        <v>4899</v>
      </c>
      <c r="O2705" t="s">
        <v>4912</v>
      </c>
    </row>
    <row r="2706" spans="1:15" x14ac:dyDescent="0.35">
      <c r="A2706" t="s">
        <v>2668</v>
      </c>
      <c r="B2706">
        <v>50</v>
      </c>
      <c r="C2706" t="s">
        <v>4802</v>
      </c>
      <c r="D2706" t="s">
        <v>15</v>
      </c>
      <c r="E2706">
        <v>71</v>
      </c>
      <c r="F2706">
        <v>10</v>
      </c>
      <c r="G2706" t="s">
        <v>4799</v>
      </c>
      <c r="H2706" t="s">
        <v>4805</v>
      </c>
      <c r="I2706">
        <v>17.989999999999998</v>
      </c>
      <c r="J2706">
        <v>2</v>
      </c>
      <c r="K2706">
        <v>2.37</v>
      </c>
      <c r="L2706">
        <v>0</v>
      </c>
      <c r="M2706" t="s">
        <v>4809</v>
      </c>
      <c r="N2706" t="s">
        <v>4900</v>
      </c>
      <c r="O2706" t="s">
        <v>4910</v>
      </c>
    </row>
    <row r="2707" spans="1:15" x14ac:dyDescent="0.35">
      <c r="A2707" t="s">
        <v>2669</v>
      </c>
      <c r="B2707">
        <v>41</v>
      </c>
      <c r="C2707" t="s">
        <v>4803</v>
      </c>
      <c r="D2707" t="s">
        <v>15</v>
      </c>
      <c r="E2707">
        <v>113</v>
      </c>
      <c r="F2707">
        <v>36</v>
      </c>
      <c r="G2707" t="s">
        <v>4799</v>
      </c>
      <c r="H2707" t="s">
        <v>4805</v>
      </c>
      <c r="I2707">
        <v>17.989999999999998</v>
      </c>
      <c r="J2707">
        <v>2</v>
      </c>
      <c r="K2707">
        <v>3.77</v>
      </c>
      <c r="L2707">
        <v>0</v>
      </c>
      <c r="M2707" t="s">
        <v>4810</v>
      </c>
      <c r="N2707" t="s">
        <v>4900</v>
      </c>
      <c r="O2707" t="s">
        <v>4910</v>
      </c>
    </row>
    <row r="2708" spans="1:15" x14ac:dyDescent="0.35">
      <c r="A2708" t="s">
        <v>2670</v>
      </c>
      <c r="B2708">
        <v>42</v>
      </c>
      <c r="C2708" t="s">
        <v>4803</v>
      </c>
      <c r="D2708" t="s">
        <v>13</v>
      </c>
      <c r="E2708">
        <v>50</v>
      </c>
      <c r="F2708">
        <v>57</v>
      </c>
      <c r="G2708" t="s">
        <v>4799</v>
      </c>
      <c r="H2708" t="s">
        <v>4804</v>
      </c>
      <c r="I2708">
        <v>13.99</v>
      </c>
      <c r="J2708">
        <v>2</v>
      </c>
      <c r="K2708">
        <v>1.67</v>
      </c>
      <c r="L2708">
        <v>0</v>
      </c>
      <c r="M2708" t="s">
        <v>4808</v>
      </c>
      <c r="N2708" t="s">
        <v>4900</v>
      </c>
      <c r="O2708" t="s">
        <v>4910</v>
      </c>
    </row>
    <row r="2709" spans="1:15" x14ac:dyDescent="0.35">
      <c r="A2709" t="s">
        <v>2671</v>
      </c>
      <c r="B2709">
        <v>56</v>
      </c>
      <c r="C2709" t="s">
        <v>4802</v>
      </c>
      <c r="D2709" t="s">
        <v>15</v>
      </c>
      <c r="E2709">
        <v>92</v>
      </c>
      <c r="F2709">
        <v>7</v>
      </c>
      <c r="G2709" t="s">
        <v>4798</v>
      </c>
      <c r="H2709" t="s">
        <v>4804</v>
      </c>
      <c r="I2709">
        <v>17.989999999999998</v>
      </c>
      <c r="J2709">
        <v>4</v>
      </c>
      <c r="K2709">
        <v>3.07</v>
      </c>
      <c r="L2709">
        <v>0</v>
      </c>
      <c r="M2709" t="s">
        <v>4809</v>
      </c>
      <c r="N2709" t="s">
        <v>4900</v>
      </c>
      <c r="O2709" t="s">
        <v>4911</v>
      </c>
    </row>
    <row r="2710" spans="1:15" x14ac:dyDescent="0.35">
      <c r="A2710" t="s">
        <v>2672</v>
      </c>
      <c r="B2710">
        <v>40</v>
      </c>
      <c r="C2710" t="s">
        <v>4803</v>
      </c>
      <c r="D2710" t="s">
        <v>13</v>
      </c>
      <c r="E2710">
        <v>32</v>
      </c>
      <c r="F2710">
        <v>21</v>
      </c>
      <c r="G2710" t="s">
        <v>4799</v>
      </c>
      <c r="H2710" t="s">
        <v>4805</v>
      </c>
      <c r="I2710">
        <v>13.99</v>
      </c>
      <c r="J2710">
        <v>2</v>
      </c>
      <c r="K2710">
        <v>1.07</v>
      </c>
      <c r="L2710">
        <v>0</v>
      </c>
      <c r="M2710" t="s">
        <v>4808</v>
      </c>
      <c r="N2710" t="s">
        <v>4900</v>
      </c>
      <c r="O2710" t="s">
        <v>4910</v>
      </c>
    </row>
    <row r="2711" spans="1:15" x14ac:dyDescent="0.35">
      <c r="A2711" t="s">
        <v>2673</v>
      </c>
      <c r="B2711">
        <v>52</v>
      </c>
      <c r="C2711" t="s">
        <v>4803</v>
      </c>
      <c r="D2711" t="s">
        <v>13</v>
      </c>
      <c r="E2711">
        <v>68</v>
      </c>
      <c r="F2711">
        <v>12</v>
      </c>
      <c r="G2711" t="s">
        <v>4799</v>
      </c>
      <c r="H2711" t="s">
        <v>4805</v>
      </c>
      <c r="I2711">
        <v>13.99</v>
      </c>
      <c r="J2711">
        <v>3</v>
      </c>
      <c r="K2711">
        <v>2.27</v>
      </c>
      <c r="L2711">
        <v>0</v>
      </c>
      <c r="M2711" t="s">
        <v>4808</v>
      </c>
      <c r="N2711" t="s">
        <v>4900</v>
      </c>
      <c r="O2711" t="s">
        <v>4910</v>
      </c>
    </row>
    <row r="2712" spans="1:15" x14ac:dyDescent="0.35">
      <c r="A2712" t="s">
        <v>2674</v>
      </c>
      <c r="B2712">
        <v>52</v>
      </c>
      <c r="C2712" t="s">
        <v>4803</v>
      </c>
      <c r="D2712" t="s">
        <v>13</v>
      </c>
      <c r="E2712">
        <v>63</v>
      </c>
      <c r="F2712">
        <v>26</v>
      </c>
      <c r="G2712" t="s">
        <v>4797</v>
      </c>
      <c r="H2712" t="s">
        <v>4804</v>
      </c>
      <c r="I2712">
        <v>13.99</v>
      </c>
      <c r="J2712">
        <v>1</v>
      </c>
      <c r="K2712">
        <v>2.1</v>
      </c>
      <c r="L2712">
        <v>0</v>
      </c>
      <c r="M2712" t="s">
        <v>4809</v>
      </c>
      <c r="N2712" t="s">
        <v>4900</v>
      </c>
      <c r="O2712" t="s">
        <v>4910</v>
      </c>
    </row>
    <row r="2713" spans="1:15" x14ac:dyDescent="0.35">
      <c r="A2713" t="s">
        <v>2675</v>
      </c>
      <c r="B2713">
        <v>33</v>
      </c>
      <c r="C2713" t="s">
        <v>4803</v>
      </c>
      <c r="D2713" t="s">
        <v>13</v>
      </c>
      <c r="E2713">
        <v>56</v>
      </c>
      <c r="F2713">
        <v>44</v>
      </c>
      <c r="G2713" t="s">
        <v>4798</v>
      </c>
      <c r="H2713" t="s">
        <v>4804</v>
      </c>
      <c r="I2713">
        <v>13.99</v>
      </c>
      <c r="J2713">
        <v>3</v>
      </c>
      <c r="K2713">
        <v>1.87</v>
      </c>
      <c r="L2713">
        <v>0</v>
      </c>
      <c r="M2713" t="s">
        <v>4812</v>
      </c>
      <c r="N2713" t="s">
        <v>4900</v>
      </c>
      <c r="O2713" t="s">
        <v>4912</v>
      </c>
    </row>
    <row r="2714" spans="1:15" x14ac:dyDescent="0.35">
      <c r="A2714" t="s">
        <v>2676</v>
      </c>
      <c r="B2714">
        <v>64</v>
      </c>
      <c r="C2714" t="s">
        <v>4802</v>
      </c>
      <c r="D2714" t="s">
        <v>13</v>
      </c>
      <c r="E2714">
        <v>55</v>
      </c>
      <c r="F2714">
        <v>17</v>
      </c>
      <c r="G2714" t="s">
        <v>4797</v>
      </c>
      <c r="H2714" t="s">
        <v>4805</v>
      </c>
      <c r="I2714">
        <v>13.99</v>
      </c>
      <c r="J2714">
        <v>1</v>
      </c>
      <c r="K2714">
        <v>1.83</v>
      </c>
      <c r="L2714">
        <v>0</v>
      </c>
      <c r="M2714" t="s">
        <v>4809</v>
      </c>
      <c r="N2714" t="s">
        <v>4900</v>
      </c>
      <c r="O2714" t="s">
        <v>4911</v>
      </c>
    </row>
    <row r="2715" spans="1:15" x14ac:dyDescent="0.35">
      <c r="A2715" t="s">
        <v>2677</v>
      </c>
      <c r="B2715">
        <v>40</v>
      </c>
      <c r="C2715" t="s">
        <v>4803</v>
      </c>
      <c r="D2715" t="s">
        <v>13</v>
      </c>
      <c r="E2715">
        <v>77</v>
      </c>
      <c r="F2715">
        <v>1</v>
      </c>
      <c r="G2715" t="s">
        <v>4797</v>
      </c>
      <c r="H2715" t="s">
        <v>4806</v>
      </c>
      <c r="I2715">
        <v>13.99</v>
      </c>
      <c r="J2715">
        <v>2</v>
      </c>
      <c r="K2715">
        <v>2.0299999999999998</v>
      </c>
      <c r="L2715">
        <v>0</v>
      </c>
      <c r="M2715" t="s">
        <v>4812</v>
      </c>
      <c r="N2715" t="s">
        <v>4900</v>
      </c>
      <c r="O2715" t="s">
        <v>4910</v>
      </c>
    </row>
    <row r="2716" spans="1:15" x14ac:dyDescent="0.35">
      <c r="A2716" t="s">
        <v>2678</v>
      </c>
      <c r="B2716">
        <v>43</v>
      </c>
      <c r="C2716" t="s">
        <v>4803</v>
      </c>
      <c r="D2716" t="s">
        <v>13</v>
      </c>
      <c r="E2716">
        <v>58</v>
      </c>
      <c r="F2716">
        <v>41</v>
      </c>
      <c r="G2716" t="s">
        <v>4799</v>
      </c>
      <c r="H2716" t="s">
        <v>4805</v>
      </c>
      <c r="I2716">
        <v>13.99</v>
      </c>
      <c r="J2716">
        <v>2</v>
      </c>
      <c r="K2716">
        <v>5</v>
      </c>
      <c r="L2716">
        <v>0</v>
      </c>
      <c r="M2716" t="s">
        <v>4810</v>
      </c>
      <c r="N2716" t="s">
        <v>4900</v>
      </c>
      <c r="O2716" t="s">
        <v>4910</v>
      </c>
    </row>
    <row r="2717" spans="1:15" x14ac:dyDescent="0.35">
      <c r="A2717" t="s">
        <v>2679</v>
      </c>
      <c r="B2717">
        <v>57</v>
      </c>
      <c r="C2717" t="s">
        <v>4802</v>
      </c>
      <c r="D2717" t="s">
        <v>15</v>
      </c>
      <c r="E2717">
        <v>98</v>
      </c>
      <c r="F2717">
        <v>10</v>
      </c>
      <c r="G2717" t="s">
        <v>4798</v>
      </c>
      <c r="H2717" t="s">
        <v>4805</v>
      </c>
      <c r="I2717">
        <v>17.989999999999998</v>
      </c>
      <c r="J2717">
        <v>5</v>
      </c>
      <c r="K2717">
        <v>3.27</v>
      </c>
      <c r="L2717">
        <v>0</v>
      </c>
      <c r="M2717" t="s">
        <v>4810</v>
      </c>
      <c r="N2717" t="s">
        <v>4900</v>
      </c>
      <c r="O2717" t="s">
        <v>4911</v>
      </c>
    </row>
    <row r="2718" spans="1:15" x14ac:dyDescent="0.35">
      <c r="A2718" t="s">
        <v>2680</v>
      </c>
      <c r="B2718">
        <v>24</v>
      </c>
      <c r="C2718" t="s">
        <v>4802</v>
      </c>
      <c r="D2718" t="s">
        <v>13</v>
      </c>
      <c r="E2718">
        <v>43</v>
      </c>
      <c r="F2718">
        <v>4</v>
      </c>
      <c r="G2718" t="s">
        <v>4799</v>
      </c>
      <c r="H2718" t="s">
        <v>4806</v>
      </c>
      <c r="I2718">
        <v>13.99</v>
      </c>
      <c r="J2718">
        <v>1</v>
      </c>
      <c r="K2718">
        <v>1.43</v>
      </c>
      <c r="L2718">
        <v>0</v>
      </c>
      <c r="M2718" t="s">
        <v>4809</v>
      </c>
      <c r="N2718" t="s">
        <v>4900</v>
      </c>
      <c r="O2718" t="s">
        <v>4912</v>
      </c>
    </row>
    <row r="2719" spans="1:15" x14ac:dyDescent="0.35">
      <c r="A2719" t="s">
        <v>2681</v>
      </c>
      <c r="B2719">
        <v>64</v>
      </c>
      <c r="C2719" t="s">
        <v>4802</v>
      </c>
      <c r="D2719" t="s">
        <v>13</v>
      </c>
      <c r="E2719">
        <v>50</v>
      </c>
      <c r="F2719">
        <v>25</v>
      </c>
      <c r="G2719" t="s">
        <v>4797</v>
      </c>
      <c r="H2719" t="s">
        <v>4804</v>
      </c>
      <c r="I2719">
        <v>13.99</v>
      </c>
      <c r="J2719">
        <v>3</v>
      </c>
      <c r="K2719">
        <v>5</v>
      </c>
      <c r="L2719">
        <v>0</v>
      </c>
      <c r="M2719" t="s">
        <v>4810</v>
      </c>
      <c r="N2719" t="s">
        <v>4900</v>
      </c>
      <c r="O2719" t="s">
        <v>4911</v>
      </c>
    </row>
    <row r="2720" spans="1:15" x14ac:dyDescent="0.35">
      <c r="A2720" t="s">
        <v>2682</v>
      </c>
      <c r="B2720">
        <v>40</v>
      </c>
      <c r="C2720" t="s">
        <v>4803</v>
      </c>
      <c r="D2720" t="s">
        <v>13</v>
      </c>
      <c r="E2720">
        <v>79</v>
      </c>
      <c r="F2720">
        <v>27</v>
      </c>
      <c r="G2720" t="s">
        <v>4797</v>
      </c>
      <c r="H2720" t="s">
        <v>4806</v>
      </c>
      <c r="I2720">
        <v>13.99</v>
      </c>
      <c r="J2720">
        <v>1</v>
      </c>
      <c r="K2720">
        <v>2.63</v>
      </c>
      <c r="L2720">
        <v>0</v>
      </c>
      <c r="M2720" t="s">
        <v>4808</v>
      </c>
      <c r="N2720" t="s">
        <v>4900</v>
      </c>
      <c r="O2720" t="s">
        <v>4910</v>
      </c>
    </row>
    <row r="2721" spans="1:15" x14ac:dyDescent="0.35">
      <c r="A2721" t="s">
        <v>2683</v>
      </c>
      <c r="B2721">
        <v>51</v>
      </c>
      <c r="C2721" t="s">
        <v>4803</v>
      </c>
      <c r="D2721" t="s">
        <v>13</v>
      </c>
      <c r="E2721">
        <v>68</v>
      </c>
      <c r="F2721">
        <v>23</v>
      </c>
      <c r="G2721" t="s">
        <v>4799</v>
      </c>
      <c r="H2721" t="s">
        <v>4806</v>
      </c>
      <c r="I2721">
        <v>13.99</v>
      </c>
      <c r="J2721">
        <v>3</v>
      </c>
      <c r="K2721">
        <v>2.27</v>
      </c>
      <c r="L2721">
        <v>1</v>
      </c>
      <c r="M2721" t="s">
        <v>4811</v>
      </c>
      <c r="N2721" t="s">
        <v>4899</v>
      </c>
      <c r="O2721" t="s">
        <v>4910</v>
      </c>
    </row>
    <row r="2722" spans="1:15" x14ac:dyDescent="0.35">
      <c r="A2722" t="s">
        <v>2684</v>
      </c>
      <c r="B2722">
        <v>34</v>
      </c>
      <c r="C2722" t="s">
        <v>4803</v>
      </c>
      <c r="D2722" t="s">
        <v>13</v>
      </c>
      <c r="E2722">
        <v>48</v>
      </c>
      <c r="F2722">
        <v>13</v>
      </c>
      <c r="G2722" t="s">
        <v>4797</v>
      </c>
      <c r="H2722" t="s">
        <v>4806</v>
      </c>
      <c r="I2722">
        <v>13.99</v>
      </c>
      <c r="J2722">
        <v>4</v>
      </c>
      <c r="K2722">
        <v>1.6</v>
      </c>
      <c r="L2722">
        <v>0</v>
      </c>
      <c r="M2722" t="s">
        <v>4809</v>
      </c>
      <c r="N2722" t="s">
        <v>4900</v>
      </c>
      <c r="O2722" t="s">
        <v>4912</v>
      </c>
    </row>
    <row r="2723" spans="1:15" x14ac:dyDescent="0.35">
      <c r="A2723" t="s">
        <v>2685</v>
      </c>
      <c r="B2723">
        <v>33</v>
      </c>
      <c r="C2723" t="s">
        <v>4802</v>
      </c>
      <c r="D2723" t="s">
        <v>13</v>
      </c>
      <c r="E2723">
        <v>56</v>
      </c>
      <c r="F2723">
        <v>46</v>
      </c>
      <c r="G2723" t="s">
        <v>4798</v>
      </c>
      <c r="H2723" t="s">
        <v>4806</v>
      </c>
      <c r="I2723">
        <v>13.99</v>
      </c>
      <c r="J2723">
        <v>4</v>
      </c>
      <c r="K2723">
        <v>1.87</v>
      </c>
      <c r="L2723">
        <v>0</v>
      </c>
      <c r="M2723" t="s">
        <v>4811</v>
      </c>
      <c r="N2723" t="s">
        <v>4900</v>
      </c>
      <c r="O2723" t="s">
        <v>4912</v>
      </c>
    </row>
    <row r="2724" spans="1:15" x14ac:dyDescent="0.35">
      <c r="A2724" t="s">
        <v>2686</v>
      </c>
      <c r="B2724">
        <v>63</v>
      </c>
      <c r="C2724" t="s">
        <v>4802</v>
      </c>
      <c r="D2724" t="s">
        <v>13</v>
      </c>
      <c r="E2724">
        <v>52</v>
      </c>
      <c r="F2724">
        <v>40</v>
      </c>
      <c r="G2724" t="s">
        <v>4799</v>
      </c>
      <c r="H2724" t="s">
        <v>4804</v>
      </c>
      <c r="I2724">
        <v>13.99</v>
      </c>
      <c r="J2724">
        <v>3</v>
      </c>
      <c r="K2724">
        <v>1.73</v>
      </c>
      <c r="L2724">
        <v>0</v>
      </c>
      <c r="M2724" t="s">
        <v>4811</v>
      </c>
      <c r="N2724" t="s">
        <v>4900</v>
      </c>
      <c r="O2724" t="s">
        <v>4911</v>
      </c>
    </row>
    <row r="2725" spans="1:15" x14ac:dyDescent="0.35">
      <c r="A2725" t="s">
        <v>2687</v>
      </c>
      <c r="B2725">
        <v>30</v>
      </c>
      <c r="C2725" t="s">
        <v>4803</v>
      </c>
      <c r="D2725" t="s">
        <v>13</v>
      </c>
      <c r="E2725">
        <v>71</v>
      </c>
      <c r="F2725">
        <v>57</v>
      </c>
      <c r="G2725" t="s">
        <v>4799</v>
      </c>
      <c r="H2725" t="s">
        <v>4806</v>
      </c>
      <c r="I2725">
        <v>13.99</v>
      </c>
      <c r="J2725">
        <v>3</v>
      </c>
      <c r="K2725">
        <v>2.37</v>
      </c>
      <c r="L2725">
        <v>0</v>
      </c>
      <c r="M2725" t="s">
        <v>4812</v>
      </c>
      <c r="N2725" t="s">
        <v>4900</v>
      </c>
      <c r="O2725" t="s">
        <v>4912</v>
      </c>
    </row>
    <row r="2726" spans="1:15" x14ac:dyDescent="0.35">
      <c r="A2726" t="s">
        <v>2688</v>
      </c>
      <c r="B2726">
        <v>28</v>
      </c>
      <c r="C2726" t="s">
        <v>4802</v>
      </c>
      <c r="D2726" t="s">
        <v>13</v>
      </c>
      <c r="E2726">
        <v>59</v>
      </c>
      <c r="F2726">
        <v>31</v>
      </c>
      <c r="G2726" t="s">
        <v>4798</v>
      </c>
      <c r="H2726" t="s">
        <v>4805</v>
      </c>
      <c r="I2726">
        <v>13.99</v>
      </c>
      <c r="J2726">
        <v>4</v>
      </c>
      <c r="K2726">
        <v>1.97</v>
      </c>
      <c r="L2726">
        <v>0</v>
      </c>
      <c r="M2726" t="s">
        <v>4808</v>
      </c>
      <c r="N2726" t="s">
        <v>4900</v>
      </c>
      <c r="O2726" t="s">
        <v>4912</v>
      </c>
    </row>
    <row r="2727" spans="1:15" x14ac:dyDescent="0.35">
      <c r="A2727" t="s">
        <v>2689</v>
      </c>
      <c r="B2727">
        <v>46</v>
      </c>
      <c r="C2727" t="s">
        <v>4802</v>
      </c>
      <c r="D2727" t="s">
        <v>13</v>
      </c>
      <c r="E2727">
        <v>79</v>
      </c>
      <c r="F2727">
        <v>51</v>
      </c>
      <c r="G2727" t="s">
        <v>4798</v>
      </c>
      <c r="H2727" t="s">
        <v>4806</v>
      </c>
      <c r="I2727">
        <v>13.99</v>
      </c>
      <c r="J2727">
        <v>3</v>
      </c>
      <c r="K2727">
        <v>2.0299999999999998</v>
      </c>
      <c r="L2727">
        <v>0</v>
      </c>
      <c r="M2727" t="s">
        <v>4809</v>
      </c>
      <c r="N2727" t="s">
        <v>4900</v>
      </c>
      <c r="O2727" t="s">
        <v>4910</v>
      </c>
    </row>
    <row r="2728" spans="1:15" x14ac:dyDescent="0.35">
      <c r="A2728" t="s">
        <v>2690</v>
      </c>
      <c r="B2728">
        <v>55</v>
      </c>
      <c r="C2728" t="s">
        <v>4802</v>
      </c>
      <c r="D2728" t="s">
        <v>13</v>
      </c>
      <c r="E2728">
        <v>79</v>
      </c>
      <c r="F2728">
        <v>39</v>
      </c>
      <c r="G2728" t="s">
        <v>4799</v>
      </c>
      <c r="H2728" t="s">
        <v>4805</v>
      </c>
      <c r="I2728">
        <v>13.99</v>
      </c>
      <c r="J2728">
        <v>3</v>
      </c>
      <c r="K2728">
        <v>2.63</v>
      </c>
      <c r="L2728">
        <v>0</v>
      </c>
      <c r="M2728" t="s">
        <v>4808</v>
      </c>
      <c r="N2728" t="s">
        <v>4900</v>
      </c>
      <c r="O2728" t="s">
        <v>4911</v>
      </c>
    </row>
    <row r="2729" spans="1:15" x14ac:dyDescent="0.35">
      <c r="A2729" t="s">
        <v>2691</v>
      </c>
      <c r="B2729">
        <v>49</v>
      </c>
      <c r="C2729" t="s">
        <v>4802</v>
      </c>
      <c r="D2729" t="s">
        <v>15</v>
      </c>
      <c r="E2729">
        <v>108</v>
      </c>
      <c r="F2729">
        <v>54</v>
      </c>
      <c r="G2729" t="s">
        <v>4799</v>
      </c>
      <c r="H2729" t="s">
        <v>4806</v>
      </c>
      <c r="I2729">
        <v>17.989999999999998</v>
      </c>
      <c r="J2729">
        <v>4</v>
      </c>
      <c r="K2729">
        <v>3.6</v>
      </c>
      <c r="L2729">
        <v>0</v>
      </c>
      <c r="M2729" t="s">
        <v>4808</v>
      </c>
      <c r="N2729" t="s">
        <v>4900</v>
      </c>
      <c r="O2729" t="s">
        <v>4910</v>
      </c>
    </row>
    <row r="2730" spans="1:15" x14ac:dyDescent="0.35">
      <c r="A2730" t="s">
        <v>2692</v>
      </c>
      <c r="B2730">
        <v>18</v>
      </c>
      <c r="C2730" t="s">
        <v>4803</v>
      </c>
      <c r="D2730" t="s">
        <v>15</v>
      </c>
      <c r="E2730">
        <v>77</v>
      </c>
      <c r="F2730" t="s">
        <v>4814</v>
      </c>
      <c r="G2730" t="s">
        <v>4798</v>
      </c>
      <c r="H2730" t="s">
        <v>4805</v>
      </c>
      <c r="I2730">
        <v>17.989999999999998</v>
      </c>
      <c r="J2730">
        <v>4</v>
      </c>
      <c r="K2730">
        <v>2.57</v>
      </c>
      <c r="L2730">
        <v>0</v>
      </c>
      <c r="M2730" t="s">
        <v>4808</v>
      </c>
      <c r="N2730" t="s">
        <v>4900</v>
      </c>
      <c r="O2730" t="s">
        <v>4912</v>
      </c>
    </row>
    <row r="2731" spans="1:15" x14ac:dyDescent="0.35">
      <c r="A2731" t="s">
        <v>2693</v>
      </c>
      <c r="B2731">
        <v>34</v>
      </c>
      <c r="C2731" t="s">
        <v>4802</v>
      </c>
      <c r="D2731" t="s">
        <v>15</v>
      </c>
      <c r="E2731">
        <v>98</v>
      </c>
      <c r="F2731">
        <v>17</v>
      </c>
      <c r="G2731" t="s">
        <v>4797</v>
      </c>
      <c r="H2731" t="s">
        <v>4806</v>
      </c>
      <c r="I2731">
        <v>17.989999999999998</v>
      </c>
      <c r="J2731">
        <v>2</v>
      </c>
      <c r="K2731">
        <v>5</v>
      </c>
      <c r="L2731">
        <v>0</v>
      </c>
      <c r="M2731" t="s">
        <v>4809</v>
      </c>
      <c r="N2731" t="s">
        <v>4900</v>
      </c>
      <c r="O2731" t="s">
        <v>4912</v>
      </c>
    </row>
    <row r="2732" spans="1:15" x14ac:dyDescent="0.35">
      <c r="A2732" t="s">
        <v>2694</v>
      </c>
      <c r="B2732">
        <v>44</v>
      </c>
      <c r="C2732" t="s">
        <v>4803</v>
      </c>
      <c r="D2732" t="s">
        <v>13</v>
      </c>
      <c r="E2732">
        <v>38</v>
      </c>
      <c r="F2732">
        <v>3</v>
      </c>
      <c r="G2732" t="s">
        <v>4798</v>
      </c>
      <c r="H2732" t="s">
        <v>4807</v>
      </c>
      <c r="I2732">
        <v>13.99</v>
      </c>
      <c r="J2732">
        <v>1</v>
      </c>
      <c r="K2732">
        <v>1.27</v>
      </c>
      <c r="L2732">
        <v>0</v>
      </c>
      <c r="M2732" t="s">
        <v>4809</v>
      </c>
      <c r="N2732" t="s">
        <v>4900</v>
      </c>
      <c r="O2732" t="s">
        <v>4910</v>
      </c>
    </row>
    <row r="2733" spans="1:15" x14ac:dyDescent="0.35">
      <c r="A2733" t="s">
        <v>2695</v>
      </c>
      <c r="B2733">
        <v>43</v>
      </c>
      <c r="C2733" t="s">
        <v>4802</v>
      </c>
      <c r="D2733" t="s">
        <v>13</v>
      </c>
      <c r="E2733">
        <v>43</v>
      </c>
      <c r="F2733">
        <v>40</v>
      </c>
      <c r="G2733" t="s">
        <v>4798</v>
      </c>
      <c r="H2733" t="s">
        <v>4804</v>
      </c>
      <c r="I2733">
        <v>13.99</v>
      </c>
      <c r="J2733">
        <v>1</v>
      </c>
      <c r="K2733">
        <v>1.43</v>
      </c>
      <c r="L2733">
        <v>0</v>
      </c>
      <c r="M2733" t="s">
        <v>4810</v>
      </c>
      <c r="N2733" t="s">
        <v>4900</v>
      </c>
      <c r="O2733" t="s">
        <v>4910</v>
      </c>
    </row>
    <row r="2734" spans="1:15" x14ac:dyDescent="0.35">
      <c r="A2734" t="s">
        <v>2696</v>
      </c>
      <c r="B2734">
        <v>47</v>
      </c>
      <c r="C2734" t="s">
        <v>4802</v>
      </c>
      <c r="D2734" t="s">
        <v>13</v>
      </c>
      <c r="E2734">
        <v>62</v>
      </c>
      <c r="F2734">
        <v>13</v>
      </c>
      <c r="G2734" t="s">
        <v>4799</v>
      </c>
      <c r="H2734" t="s">
        <v>4804</v>
      </c>
      <c r="I2734">
        <v>13.99</v>
      </c>
      <c r="J2734">
        <v>2</v>
      </c>
      <c r="K2734">
        <v>2.0699999999999998</v>
      </c>
      <c r="L2734">
        <v>0</v>
      </c>
      <c r="M2734" t="s">
        <v>4808</v>
      </c>
      <c r="N2734" t="s">
        <v>4900</v>
      </c>
      <c r="O2734" t="s">
        <v>4910</v>
      </c>
    </row>
    <row r="2735" spans="1:15" x14ac:dyDescent="0.35">
      <c r="A2735" t="s">
        <v>2697</v>
      </c>
      <c r="B2735">
        <v>24</v>
      </c>
      <c r="C2735" t="s">
        <v>4803</v>
      </c>
      <c r="D2735" t="s">
        <v>13</v>
      </c>
      <c r="E2735">
        <v>55</v>
      </c>
      <c r="F2735">
        <v>3</v>
      </c>
      <c r="G2735" t="s">
        <v>4799</v>
      </c>
      <c r="H2735" t="s">
        <v>4806</v>
      </c>
      <c r="I2735">
        <v>13.99</v>
      </c>
      <c r="J2735">
        <v>1</v>
      </c>
      <c r="K2735">
        <v>1.83</v>
      </c>
      <c r="L2735">
        <v>0</v>
      </c>
      <c r="M2735" t="s">
        <v>4810</v>
      </c>
      <c r="N2735" t="s">
        <v>4900</v>
      </c>
      <c r="O2735" t="s">
        <v>4912</v>
      </c>
    </row>
    <row r="2736" spans="1:15" x14ac:dyDescent="0.35">
      <c r="A2736" t="s">
        <v>2698</v>
      </c>
      <c r="B2736">
        <v>61</v>
      </c>
      <c r="C2736" t="s">
        <v>4803</v>
      </c>
      <c r="D2736" t="s">
        <v>13</v>
      </c>
      <c r="E2736">
        <v>53</v>
      </c>
      <c r="F2736">
        <v>11</v>
      </c>
      <c r="G2736" t="s">
        <v>4797</v>
      </c>
      <c r="H2736" t="s">
        <v>4806</v>
      </c>
      <c r="I2736">
        <v>13.99</v>
      </c>
      <c r="J2736">
        <v>2</v>
      </c>
      <c r="K2736">
        <v>1.77</v>
      </c>
      <c r="L2736">
        <v>0</v>
      </c>
      <c r="M2736" t="s">
        <v>4810</v>
      </c>
      <c r="N2736" t="s">
        <v>4900</v>
      </c>
      <c r="O2736" t="s">
        <v>4911</v>
      </c>
    </row>
    <row r="2737" spans="1:15" x14ac:dyDescent="0.35">
      <c r="A2737" t="s">
        <v>2699</v>
      </c>
      <c r="B2737">
        <v>44</v>
      </c>
      <c r="C2737" t="s">
        <v>4803</v>
      </c>
      <c r="D2737" t="s">
        <v>15</v>
      </c>
      <c r="E2737">
        <v>86</v>
      </c>
      <c r="F2737">
        <v>58</v>
      </c>
      <c r="G2737" t="s">
        <v>4797</v>
      </c>
      <c r="H2737" t="s">
        <v>4805</v>
      </c>
      <c r="I2737">
        <v>17.989999999999998</v>
      </c>
      <c r="J2737">
        <v>3</v>
      </c>
      <c r="K2737">
        <v>2.87</v>
      </c>
      <c r="L2737">
        <v>0</v>
      </c>
      <c r="M2737" t="s">
        <v>4809</v>
      </c>
      <c r="N2737" t="s">
        <v>4900</v>
      </c>
      <c r="O2737" t="s">
        <v>4910</v>
      </c>
    </row>
    <row r="2738" spans="1:15" x14ac:dyDescent="0.35">
      <c r="A2738" t="s">
        <v>2700</v>
      </c>
      <c r="B2738">
        <v>24</v>
      </c>
      <c r="C2738" t="s">
        <v>4803</v>
      </c>
      <c r="D2738" t="s">
        <v>13</v>
      </c>
      <c r="E2738">
        <v>55</v>
      </c>
      <c r="F2738">
        <v>51</v>
      </c>
      <c r="G2738" t="s">
        <v>4799</v>
      </c>
      <c r="H2738" t="s">
        <v>4805</v>
      </c>
      <c r="I2738">
        <v>13.99</v>
      </c>
      <c r="J2738">
        <v>3</v>
      </c>
      <c r="K2738">
        <v>1.83</v>
      </c>
      <c r="L2738">
        <v>0</v>
      </c>
      <c r="M2738" t="s">
        <v>4810</v>
      </c>
      <c r="N2738" t="s">
        <v>4900</v>
      </c>
      <c r="O2738" t="s">
        <v>4912</v>
      </c>
    </row>
    <row r="2739" spans="1:15" x14ac:dyDescent="0.35">
      <c r="A2739" t="s">
        <v>2701</v>
      </c>
      <c r="B2739">
        <v>38</v>
      </c>
      <c r="C2739" t="s">
        <v>4802</v>
      </c>
      <c r="D2739" t="s">
        <v>13</v>
      </c>
      <c r="E2739">
        <v>60</v>
      </c>
      <c r="F2739" t="s">
        <v>4814</v>
      </c>
      <c r="G2739" t="s">
        <v>4798</v>
      </c>
      <c r="H2739" t="s">
        <v>4805</v>
      </c>
      <c r="I2739">
        <v>13.99</v>
      </c>
      <c r="J2739">
        <v>2</v>
      </c>
      <c r="K2739">
        <v>2</v>
      </c>
      <c r="L2739">
        <v>0</v>
      </c>
      <c r="M2739" t="s">
        <v>4809</v>
      </c>
      <c r="N2739" t="s">
        <v>4900</v>
      </c>
      <c r="O2739" t="s">
        <v>4910</v>
      </c>
    </row>
    <row r="2740" spans="1:15" x14ac:dyDescent="0.35">
      <c r="A2740" t="s">
        <v>2702</v>
      </c>
      <c r="B2740">
        <v>65</v>
      </c>
      <c r="C2740" t="s">
        <v>4802</v>
      </c>
      <c r="D2740" t="s">
        <v>13</v>
      </c>
      <c r="E2740">
        <v>31</v>
      </c>
      <c r="F2740">
        <v>29</v>
      </c>
      <c r="G2740" t="s">
        <v>4797</v>
      </c>
      <c r="H2740" t="s">
        <v>4805</v>
      </c>
      <c r="I2740">
        <v>13.99</v>
      </c>
      <c r="J2740">
        <v>1</v>
      </c>
      <c r="K2740">
        <v>1.03</v>
      </c>
      <c r="L2740">
        <v>1</v>
      </c>
      <c r="M2740" t="s">
        <v>4809</v>
      </c>
      <c r="N2740" t="s">
        <v>4899</v>
      </c>
      <c r="O2740" t="s">
        <v>4911</v>
      </c>
    </row>
    <row r="2741" spans="1:15" x14ac:dyDescent="0.35">
      <c r="A2741" t="s">
        <v>2703</v>
      </c>
      <c r="B2741">
        <v>33</v>
      </c>
      <c r="C2741" t="s">
        <v>4803</v>
      </c>
      <c r="D2741" t="s">
        <v>13</v>
      </c>
      <c r="E2741">
        <v>45</v>
      </c>
      <c r="F2741">
        <v>6</v>
      </c>
      <c r="G2741" t="s">
        <v>4798</v>
      </c>
      <c r="H2741" t="s">
        <v>4805</v>
      </c>
      <c r="I2741">
        <v>13.99</v>
      </c>
      <c r="J2741">
        <v>3</v>
      </c>
      <c r="K2741">
        <v>1.5</v>
      </c>
      <c r="L2741">
        <v>0</v>
      </c>
      <c r="M2741" t="s">
        <v>4809</v>
      </c>
      <c r="N2741" t="s">
        <v>4900</v>
      </c>
      <c r="O2741" t="s">
        <v>4912</v>
      </c>
    </row>
    <row r="2742" spans="1:15" x14ac:dyDescent="0.35">
      <c r="A2742" t="s">
        <v>2704</v>
      </c>
      <c r="B2742">
        <v>39</v>
      </c>
      <c r="C2742" t="s">
        <v>4802</v>
      </c>
      <c r="D2742" t="s">
        <v>13</v>
      </c>
      <c r="E2742">
        <v>78</v>
      </c>
      <c r="F2742">
        <v>40</v>
      </c>
      <c r="G2742" t="s">
        <v>4799</v>
      </c>
      <c r="H2742" t="s">
        <v>4805</v>
      </c>
      <c r="I2742">
        <v>13.99</v>
      </c>
      <c r="J2742">
        <v>2</v>
      </c>
      <c r="K2742">
        <v>2.6</v>
      </c>
      <c r="L2742">
        <v>0</v>
      </c>
      <c r="M2742" t="s">
        <v>4811</v>
      </c>
      <c r="N2742" t="s">
        <v>4900</v>
      </c>
      <c r="O2742" t="s">
        <v>4910</v>
      </c>
    </row>
    <row r="2743" spans="1:15" x14ac:dyDescent="0.35">
      <c r="A2743" t="s">
        <v>2705</v>
      </c>
      <c r="B2743">
        <v>42</v>
      </c>
      <c r="C2743" t="s">
        <v>4803</v>
      </c>
      <c r="D2743" t="s">
        <v>13</v>
      </c>
      <c r="E2743">
        <v>79</v>
      </c>
      <c r="F2743">
        <v>39</v>
      </c>
      <c r="G2743" t="s">
        <v>4797</v>
      </c>
      <c r="H2743" t="s">
        <v>4804</v>
      </c>
      <c r="I2743">
        <v>13.99</v>
      </c>
      <c r="J2743">
        <v>4</v>
      </c>
      <c r="K2743">
        <v>2.63</v>
      </c>
      <c r="L2743">
        <v>0</v>
      </c>
      <c r="M2743" t="s">
        <v>4809</v>
      </c>
      <c r="N2743" t="s">
        <v>4900</v>
      </c>
      <c r="O2743" t="s">
        <v>4910</v>
      </c>
    </row>
    <row r="2744" spans="1:15" x14ac:dyDescent="0.35">
      <c r="A2744" t="s">
        <v>2706</v>
      </c>
      <c r="B2744">
        <v>33</v>
      </c>
      <c r="C2744" t="s">
        <v>4802</v>
      </c>
      <c r="D2744" t="s">
        <v>13</v>
      </c>
      <c r="E2744">
        <v>52</v>
      </c>
      <c r="F2744">
        <v>54</v>
      </c>
      <c r="G2744" t="s">
        <v>4799</v>
      </c>
      <c r="H2744" t="s">
        <v>4804</v>
      </c>
      <c r="I2744">
        <v>13.99</v>
      </c>
      <c r="J2744">
        <v>3</v>
      </c>
      <c r="K2744">
        <v>1.73</v>
      </c>
      <c r="L2744">
        <v>0</v>
      </c>
      <c r="M2744" t="s">
        <v>4811</v>
      </c>
      <c r="N2744" t="s">
        <v>4900</v>
      </c>
      <c r="O2744" t="s">
        <v>4912</v>
      </c>
    </row>
    <row r="2745" spans="1:15" x14ac:dyDescent="0.35">
      <c r="A2745" t="s">
        <v>2707</v>
      </c>
      <c r="B2745">
        <v>24</v>
      </c>
      <c r="C2745" t="s">
        <v>4803</v>
      </c>
      <c r="D2745" t="s">
        <v>13</v>
      </c>
      <c r="E2745">
        <v>39</v>
      </c>
      <c r="F2745">
        <v>45</v>
      </c>
      <c r="G2745" t="s">
        <v>4799</v>
      </c>
      <c r="H2745" t="s">
        <v>4805</v>
      </c>
      <c r="I2745">
        <v>13.99</v>
      </c>
      <c r="J2745">
        <v>1</v>
      </c>
      <c r="K2745">
        <v>1.3</v>
      </c>
      <c r="L2745">
        <v>0</v>
      </c>
      <c r="M2745" t="s">
        <v>4808</v>
      </c>
      <c r="N2745" t="s">
        <v>4900</v>
      </c>
      <c r="O2745" t="s">
        <v>4912</v>
      </c>
    </row>
    <row r="2746" spans="1:15" x14ac:dyDescent="0.35">
      <c r="A2746" t="s">
        <v>2708</v>
      </c>
      <c r="B2746">
        <v>21</v>
      </c>
      <c r="C2746" t="s">
        <v>4802</v>
      </c>
      <c r="D2746" t="s">
        <v>13</v>
      </c>
      <c r="E2746">
        <v>79</v>
      </c>
      <c r="F2746">
        <v>5</v>
      </c>
      <c r="G2746" t="s">
        <v>4798</v>
      </c>
      <c r="H2746" t="s">
        <v>4804</v>
      </c>
      <c r="I2746">
        <v>13.99</v>
      </c>
      <c r="J2746">
        <v>4</v>
      </c>
      <c r="K2746">
        <v>2.63</v>
      </c>
      <c r="L2746">
        <v>0</v>
      </c>
      <c r="M2746" t="s">
        <v>4808</v>
      </c>
      <c r="N2746" t="s">
        <v>4900</v>
      </c>
      <c r="O2746" t="s">
        <v>4912</v>
      </c>
    </row>
    <row r="2747" spans="1:15" x14ac:dyDescent="0.35">
      <c r="A2747" t="s">
        <v>2709</v>
      </c>
      <c r="B2747">
        <v>47</v>
      </c>
      <c r="C2747" t="s">
        <v>4802</v>
      </c>
      <c r="D2747" t="s">
        <v>15</v>
      </c>
      <c r="E2747">
        <v>90</v>
      </c>
      <c r="F2747">
        <v>57</v>
      </c>
      <c r="G2747" t="s">
        <v>4798</v>
      </c>
      <c r="H2747" t="s">
        <v>4806</v>
      </c>
      <c r="I2747">
        <v>17.989999999999998</v>
      </c>
      <c r="J2747">
        <v>2</v>
      </c>
      <c r="K2747">
        <v>2.0299999999999998</v>
      </c>
      <c r="L2747">
        <v>0</v>
      </c>
      <c r="M2747" t="s">
        <v>4812</v>
      </c>
      <c r="N2747" t="s">
        <v>4900</v>
      </c>
      <c r="O2747" t="s">
        <v>4910</v>
      </c>
    </row>
    <row r="2748" spans="1:15" x14ac:dyDescent="0.35">
      <c r="A2748" t="s">
        <v>2710</v>
      </c>
      <c r="B2748">
        <v>33</v>
      </c>
      <c r="C2748" t="s">
        <v>4803</v>
      </c>
      <c r="D2748" t="s">
        <v>15</v>
      </c>
      <c r="E2748">
        <v>85</v>
      </c>
      <c r="F2748" t="s">
        <v>4814</v>
      </c>
      <c r="G2748" t="s">
        <v>4801</v>
      </c>
      <c r="H2748" t="s">
        <v>4805</v>
      </c>
      <c r="I2748">
        <v>17.989999999999998</v>
      </c>
      <c r="J2748">
        <v>4</v>
      </c>
      <c r="K2748">
        <v>2.83</v>
      </c>
      <c r="L2748">
        <v>0</v>
      </c>
      <c r="M2748" t="s">
        <v>4808</v>
      </c>
      <c r="N2748" t="s">
        <v>4900</v>
      </c>
      <c r="O2748" t="s">
        <v>4912</v>
      </c>
    </row>
    <row r="2749" spans="1:15" x14ac:dyDescent="0.35">
      <c r="A2749" t="s">
        <v>2711</v>
      </c>
      <c r="B2749">
        <v>65</v>
      </c>
      <c r="C2749" t="s">
        <v>4802</v>
      </c>
      <c r="D2749" t="s">
        <v>13</v>
      </c>
      <c r="E2749">
        <v>76</v>
      </c>
      <c r="F2749">
        <v>31</v>
      </c>
      <c r="G2749" t="s">
        <v>4799</v>
      </c>
      <c r="H2749" t="s">
        <v>4804</v>
      </c>
      <c r="I2749">
        <v>13.99</v>
      </c>
      <c r="J2749">
        <v>2</v>
      </c>
      <c r="K2749">
        <v>2.5299999999999998</v>
      </c>
      <c r="L2749">
        <v>0</v>
      </c>
      <c r="M2749" t="s">
        <v>4810</v>
      </c>
      <c r="N2749" t="s">
        <v>4900</v>
      </c>
      <c r="O2749" t="s">
        <v>4911</v>
      </c>
    </row>
    <row r="2750" spans="1:15" x14ac:dyDescent="0.35">
      <c r="A2750" t="s">
        <v>2712</v>
      </c>
      <c r="B2750">
        <v>56</v>
      </c>
      <c r="C2750" t="s">
        <v>4802</v>
      </c>
      <c r="D2750" t="s">
        <v>15</v>
      </c>
      <c r="E2750">
        <v>66</v>
      </c>
      <c r="F2750">
        <v>40</v>
      </c>
      <c r="G2750" t="s">
        <v>4797</v>
      </c>
      <c r="H2750" t="s">
        <v>4804</v>
      </c>
      <c r="I2750">
        <v>17.989999999999998</v>
      </c>
      <c r="J2750">
        <v>5</v>
      </c>
      <c r="K2750">
        <v>2.2000000000000002</v>
      </c>
      <c r="L2750">
        <v>0</v>
      </c>
      <c r="M2750" t="s">
        <v>4811</v>
      </c>
      <c r="N2750" t="s">
        <v>4900</v>
      </c>
      <c r="O2750" t="s">
        <v>4911</v>
      </c>
    </row>
    <row r="2751" spans="1:15" x14ac:dyDescent="0.35">
      <c r="A2751" t="s">
        <v>2713</v>
      </c>
      <c r="B2751">
        <v>21</v>
      </c>
      <c r="C2751" t="s">
        <v>4803</v>
      </c>
      <c r="D2751" t="s">
        <v>13</v>
      </c>
      <c r="E2751">
        <v>34</v>
      </c>
      <c r="F2751">
        <v>60</v>
      </c>
      <c r="G2751" t="s">
        <v>4798</v>
      </c>
      <c r="H2751" t="s">
        <v>4805</v>
      </c>
      <c r="I2751">
        <v>13.99</v>
      </c>
      <c r="J2751">
        <v>2</v>
      </c>
      <c r="K2751">
        <v>1.1299999999999999</v>
      </c>
      <c r="L2751">
        <v>0</v>
      </c>
      <c r="M2751" t="s">
        <v>4809</v>
      </c>
      <c r="N2751" t="s">
        <v>4900</v>
      </c>
      <c r="O2751" t="s">
        <v>4912</v>
      </c>
    </row>
    <row r="2752" spans="1:15" x14ac:dyDescent="0.35">
      <c r="A2752" t="s">
        <v>2714</v>
      </c>
      <c r="B2752">
        <v>22</v>
      </c>
      <c r="C2752" t="s">
        <v>4802</v>
      </c>
      <c r="D2752" t="s">
        <v>15</v>
      </c>
      <c r="E2752">
        <v>99</v>
      </c>
      <c r="F2752">
        <v>48</v>
      </c>
      <c r="G2752" t="s">
        <v>4798</v>
      </c>
      <c r="H2752" t="s">
        <v>4805</v>
      </c>
      <c r="I2752">
        <v>17.989999999999998</v>
      </c>
      <c r="J2752">
        <v>2</v>
      </c>
      <c r="K2752">
        <v>5</v>
      </c>
      <c r="L2752">
        <v>0</v>
      </c>
      <c r="M2752" t="s">
        <v>4811</v>
      </c>
      <c r="N2752" t="s">
        <v>4900</v>
      </c>
      <c r="O2752" t="s">
        <v>4912</v>
      </c>
    </row>
    <row r="2753" spans="1:15" x14ac:dyDescent="0.35">
      <c r="A2753" t="s">
        <v>2715</v>
      </c>
      <c r="B2753">
        <v>30</v>
      </c>
      <c r="C2753" t="s">
        <v>4802</v>
      </c>
      <c r="D2753" t="s">
        <v>13</v>
      </c>
      <c r="E2753">
        <v>59</v>
      </c>
      <c r="F2753">
        <v>44</v>
      </c>
      <c r="G2753" t="s">
        <v>4799</v>
      </c>
      <c r="H2753" t="s">
        <v>4804</v>
      </c>
      <c r="I2753">
        <v>13.99</v>
      </c>
      <c r="J2753">
        <v>1</v>
      </c>
      <c r="K2753">
        <v>1.97</v>
      </c>
      <c r="L2753">
        <v>0</v>
      </c>
      <c r="M2753" t="s">
        <v>4810</v>
      </c>
      <c r="N2753" t="s">
        <v>4900</v>
      </c>
      <c r="O2753" t="s">
        <v>4912</v>
      </c>
    </row>
    <row r="2754" spans="1:15" x14ac:dyDescent="0.35">
      <c r="A2754" t="s">
        <v>2716</v>
      </c>
      <c r="B2754">
        <v>21</v>
      </c>
      <c r="C2754" t="s">
        <v>4802</v>
      </c>
      <c r="D2754" t="s">
        <v>13</v>
      </c>
      <c r="E2754">
        <v>48</v>
      </c>
      <c r="F2754">
        <v>47</v>
      </c>
      <c r="G2754" t="s">
        <v>4799</v>
      </c>
      <c r="H2754" t="s">
        <v>4804</v>
      </c>
      <c r="I2754">
        <v>13.99</v>
      </c>
      <c r="J2754">
        <v>2</v>
      </c>
      <c r="K2754">
        <v>1.6</v>
      </c>
      <c r="L2754">
        <v>1</v>
      </c>
      <c r="M2754" t="s">
        <v>4811</v>
      </c>
      <c r="N2754" t="s">
        <v>4899</v>
      </c>
      <c r="O2754" t="s">
        <v>4912</v>
      </c>
    </row>
    <row r="2755" spans="1:15" x14ac:dyDescent="0.35">
      <c r="A2755" t="s">
        <v>2717</v>
      </c>
      <c r="B2755">
        <v>52</v>
      </c>
      <c r="C2755" t="s">
        <v>4802</v>
      </c>
      <c r="D2755" t="s">
        <v>15</v>
      </c>
      <c r="E2755">
        <v>105</v>
      </c>
      <c r="F2755">
        <v>55</v>
      </c>
      <c r="G2755" t="s">
        <v>4799</v>
      </c>
      <c r="H2755" t="s">
        <v>4806</v>
      </c>
      <c r="I2755">
        <v>17.989999999999998</v>
      </c>
      <c r="J2755">
        <v>4</v>
      </c>
      <c r="K2755">
        <v>3.5</v>
      </c>
      <c r="L2755">
        <v>0</v>
      </c>
      <c r="M2755" t="s">
        <v>4809</v>
      </c>
      <c r="N2755" t="s">
        <v>4900</v>
      </c>
      <c r="O2755" t="s">
        <v>4910</v>
      </c>
    </row>
    <row r="2756" spans="1:15" x14ac:dyDescent="0.35">
      <c r="A2756" t="s">
        <v>2718</v>
      </c>
      <c r="B2756">
        <v>50</v>
      </c>
      <c r="C2756" t="s">
        <v>4803</v>
      </c>
      <c r="D2756" t="s">
        <v>13</v>
      </c>
      <c r="E2756">
        <v>31</v>
      </c>
      <c r="F2756">
        <v>14</v>
      </c>
      <c r="G2756" t="s">
        <v>4797</v>
      </c>
      <c r="H2756" t="s">
        <v>4804</v>
      </c>
      <c r="I2756">
        <v>13.99</v>
      </c>
      <c r="J2756">
        <v>3</v>
      </c>
      <c r="K2756">
        <v>1.03</v>
      </c>
      <c r="L2756">
        <v>0</v>
      </c>
      <c r="M2756" t="s">
        <v>4812</v>
      </c>
      <c r="N2756" t="s">
        <v>4900</v>
      </c>
      <c r="O2756" t="s">
        <v>4910</v>
      </c>
    </row>
    <row r="2757" spans="1:15" x14ac:dyDescent="0.35">
      <c r="A2757" t="s">
        <v>4877</v>
      </c>
      <c r="B2757">
        <v>25</v>
      </c>
      <c r="C2757" t="s">
        <v>4802</v>
      </c>
      <c r="D2757" t="s">
        <v>13</v>
      </c>
      <c r="E2757">
        <v>57</v>
      </c>
      <c r="F2757">
        <v>43</v>
      </c>
      <c r="G2757" t="s">
        <v>4798</v>
      </c>
      <c r="H2757" t="s">
        <v>4804</v>
      </c>
      <c r="I2757">
        <v>13.99</v>
      </c>
      <c r="J2757">
        <v>3</v>
      </c>
      <c r="K2757">
        <v>1.9</v>
      </c>
      <c r="L2757">
        <v>0</v>
      </c>
      <c r="M2757" t="s">
        <v>4811</v>
      </c>
      <c r="N2757" t="s">
        <v>4900</v>
      </c>
      <c r="O2757" t="s">
        <v>4912</v>
      </c>
    </row>
    <row r="2758" spans="1:15" x14ac:dyDescent="0.35">
      <c r="A2758" t="s">
        <v>2719</v>
      </c>
      <c r="B2758">
        <v>53</v>
      </c>
      <c r="C2758" t="s">
        <v>4802</v>
      </c>
      <c r="D2758" t="s">
        <v>13</v>
      </c>
      <c r="E2758">
        <v>46</v>
      </c>
      <c r="F2758">
        <v>9</v>
      </c>
      <c r="G2758" t="s">
        <v>4798</v>
      </c>
      <c r="H2758" t="s">
        <v>4804</v>
      </c>
      <c r="I2758">
        <v>13.99</v>
      </c>
      <c r="J2758">
        <v>4</v>
      </c>
      <c r="K2758">
        <v>1.53</v>
      </c>
      <c r="L2758">
        <v>0</v>
      </c>
      <c r="M2758" t="s">
        <v>4811</v>
      </c>
      <c r="N2758" t="s">
        <v>4900</v>
      </c>
      <c r="O2758" t="s">
        <v>4910</v>
      </c>
    </row>
    <row r="2759" spans="1:15" x14ac:dyDescent="0.35">
      <c r="A2759" t="s">
        <v>2720</v>
      </c>
      <c r="B2759">
        <v>30</v>
      </c>
      <c r="C2759" t="s">
        <v>4802</v>
      </c>
      <c r="D2759" t="s">
        <v>13</v>
      </c>
      <c r="E2759">
        <v>64</v>
      </c>
      <c r="F2759">
        <v>53</v>
      </c>
      <c r="G2759" t="s">
        <v>4797</v>
      </c>
      <c r="H2759" t="s">
        <v>4805</v>
      </c>
      <c r="I2759">
        <v>13.99</v>
      </c>
      <c r="J2759">
        <v>3</v>
      </c>
      <c r="K2759">
        <v>2.13</v>
      </c>
      <c r="L2759">
        <v>0</v>
      </c>
      <c r="M2759" t="s">
        <v>4808</v>
      </c>
      <c r="N2759" t="s">
        <v>4900</v>
      </c>
      <c r="O2759" t="s">
        <v>4912</v>
      </c>
    </row>
    <row r="2760" spans="1:15" x14ac:dyDescent="0.35">
      <c r="A2760" t="s">
        <v>2721</v>
      </c>
      <c r="B2760">
        <v>37</v>
      </c>
      <c r="C2760" t="s">
        <v>4802</v>
      </c>
      <c r="D2760" t="s">
        <v>14</v>
      </c>
      <c r="E2760">
        <v>18</v>
      </c>
      <c r="F2760">
        <v>39</v>
      </c>
      <c r="G2760" t="s">
        <v>4798</v>
      </c>
      <c r="H2760" t="s">
        <v>4804</v>
      </c>
      <c r="I2760">
        <v>8.99</v>
      </c>
      <c r="J2760">
        <v>2</v>
      </c>
      <c r="K2760">
        <v>0.6</v>
      </c>
      <c r="L2760">
        <v>0</v>
      </c>
      <c r="M2760" t="s">
        <v>4812</v>
      </c>
      <c r="N2760" t="s">
        <v>4900</v>
      </c>
      <c r="O2760" t="s">
        <v>4910</v>
      </c>
    </row>
    <row r="2761" spans="1:15" x14ac:dyDescent="0.35">
      <c r="A2761" t="s">
        <v>2722</v>
      </c>
      <c r="B2761">
        <v>54</v>
      </c>
      <c r="C2761" t="s">
        <v>4803</v>
      </c>
      <c r="D2761" t="s">
        <v>13</v>
      </c>
      <c r="E2761">
        <v>50</v>
      </c>
      <c r="F2761">
        <v>46</v>
      </c>
      <c r="G2761" t="s">
        <v>4800</v>
      </c>
      <c r="H2761" t="s">
        <v>4807</v>
      </c>
      <c r="I2761">
        <v>13.99</v>
      </c>
      <c r="J2761">
        <v>3</v>
      </c>
      <c r="K2761">
        <v>1.67</v>
      </c>
      <c r="L2761">
        <v>0</v>
      </c>
      <c r="M2761" t="s">
        <v>4811</v>
      </c>
      <c r="N2761" t="s">
        <v>4900</v>
      </c>
      <c r="O2761" t="s">
        <v>4910</v>
      </c>
    </row>
    <row r="2762" spans="1:15" x14ac:dyDescent="0.35">
      <c r="A2762" t="s">
        <v>2723</v>
      </c>
      <c r="B2762">
        <v>55</v>
      </c>
      <c r="C2762" t="s">
        <v>4803</v>
      </c>
      <c r="D2762" t="s">
        <v>13</v>
      </c>
      <c r="E2762">
        <v>54</v>
      </c>
      <c r="F2762">
        <v>26</v>
      </c>
      <c r="G2762" t="s">
        <v>4799</v>
      </c>
      <c r="H2762" t="s">
        <v>4805</v>
      </c>
      <c r="I2762">
        <v>13.99</v>
      </c>
      <c r="J2762">
        <v>3</v>
      </c>
      <c r="K2762">
        <v>1.8</v>
      </c>
      <c r="L2762">
        <v>0</v>
      </c>
      <c r="M2762" t="s">
        <v>4809</v>
      </c>
      <c r="N2762" t="s">
        <v>4900</v>
      </c>
      <c r="O2762" t="s">
        <v>4911</v>
      </c>
    </row>
    <row r="2763" spans="1:15" x14ac:dyDescent="0.35">
      <c r="A2763" t="s">
        <v>2724</v>
      </c>
      <c r="B2763">
        <v>39</v>
      </c>
      <c r="C2763" t="s">
        <v>4802</v>
      </c>
      <c r="D2763" t="s">
        <v>13</v>
      </c>
      <c r="E2763">
        <v>39</v>
      </c>
      <c r="F2763">
        <v>53</v>
      </c>
      <c r="G2763" t="s">
        <v>4797</v>
      </c>
      <c r="H2763" t="s">
        <v>4806</v>
      </c>
      <c r="I2763">
        <v>13.99</v>
      </c>
      <c r="J2763">
        <v>3</v>
      </c>
      <c r="K2763">
        <v>1.3</v>
      </c>
      <c r="L2763">
        <v>0</v>
      </c>
      <c r="M2763" t="s">
        <v>4808</v>
      </c>
      <c r="N2763" t="s">
        <v>4900</v>
      </c>
      <c r="O2763" t="s">
        <v>4910</v>
      </c>
    </row>
    <row r="2764" spans="1:15" x14ac:dyDescent="0.35">
      <c r="A2764" t="s">
        <v>2725</v>
      </c>
      <c r="B2764">
        <v>60</v>
      </c>
      <c r="C2764" t="s">
        <v>4802</v>
      </c>
      <c r="D2764" t="s">
        <v>13</v>
      </c>
      <c r="E2764">
        <v>48</v>
      </c>
      <c r="F2764">
        <v>45</v>
      </c>
      <c r="G2764" t="s">
        <v>4799</v>
      </c>
      <c r="H2764" t="s">
        <v>4805</v>
      </c>
      <c r="I2764">
        <v>13.99</v>
      </c>
      <c r="J2764">
        <v>4</v>
      </c>
      <c r="K2764">
        <v>1.6</v>
      </c>
      <c r="L2764">
        <v>1</v>
      </c>
      <c r="M2764" t="s">
        <v>4809</v>
      </c>
      <c r="N2764" t="s">
        <v>4899</v>
      </c>
      <c r="O2764" t="s">
        <v>4911</v>
      </c>
    </row>
    <row r="2765" spans="1:15" x14ac:dyDescent="0.35">
      <c r="A2765" t="s">
        <v>2726</v>
      </c>
      <c r="B2765">
        <v>27</v>
      </c>
      <c r="C2765" t="s">
        <v>4803</v>
      </c>
      <c r="D2765" t="s">
        <v>13</v>
      </c>
      <c r="E2765">
        <v>49</v>
      </c>
      <c r="F2765">
        <v>40</v>
      </c>
      <c r="G2765" t="s">
        <v>4799</v>
      </c>
      <c r="H2765" t="s">
        <v>4805</v>
      </c>
      <c r="I2765">
        <v>13.99</v>
      </c>
      <c r="J2765">
        <v>2</v>
      </c>
      <c r="K2765">
        <v>1.63</v>
      </c>
      <c r="L2765">
        <v>0</v>
      </c>
      <c r="M2765" t="s">
        <v>4810</v>
      </c>
      <c r="N2765" t="s">
        <v>4900</v>
      </c>
      <c r="O2765" t="s">
        <v>4912</v>
      </c>
    </row>
    <row r="2766" spans="1:15" x14ac:dyDescent="0.35">
      <c r="A2766" t="s">
        <v>2727</v>
      </c>
      <c r="B2766">
        <v>50</v>
      </c>
      <c r="C2766" t="s">
        <v>4802</v>
      </c>
      <c r="D2766" t="s">
        <v>15</v>
      </c>
      <c r="E2766">
        <v>109</v>
      </c>
      <c r="F2766">
        <v>14</v>
      </c>
      <c r="G2766" t="s">
        <v>4799</v>
      </c>
      <c r="H2766" t="s">
        <v>4805</v>
      </c>
      <c r="I2766">
        <v>17.989999999999998</v>
      </c>
      <c r="J2766">
        <v>5</v>
      </c>
      <c r="K2766">
        <v>3.63</v>
      </c>
      <c r="L2766">
        <v>0</v>
      </c>
      <c r="M2766" t="s">
        <v>4812</v>
      </c>
      <c r="N2766" t="s">
        <v>4900</v>
      </c>
      <c r="O2766" t="s">
        <v>4910</v>
      </c>
    </row>
    <row r="2767" spans="1:15" x14ac:dyDescent="0.35">
      <c r="A2767" t="s">
        <v>2728</v>
      </c>
      <c r="B2767">
        <v>50</v>
      </c>
      <c r="C2767" t="s">
        <v>4802</v>
      </c>
      <c r="D2767" t="s">
        <v>13</v>
      </c>
      <c r="E2767">
        <v>72</v>
      </c>
      <c r="F2767">
        <v>8</v>
      </c>
      <c r="G2767" t="s">
        <v>4798</v>
      </c>
      <c r="H2767" t="s">
        <v>4805</v>
      </c>
      <c r="I2767">
        <v>13.99</v>
      </c>
      <c r="J2767">
        <v>2</v>
      </c>
      <c r="K2767">
        <v>5</v>
      </c>
      <c r="L2767">
        <v>0</v>
      </c>
      <c r="M2767" t="s">
        <v>4812</v>
      </c>
      <c r="N2767" t="s">
        <v>4900</v>
      </c>
      <c r="O2767" t="s">
        <v>4910</v>
      </c>
    </row>
    <row r="2768" spans="1:15" x14ac:dyDescent="0.35">
      <c r="A2768" t="s">
        <v>2729</v>
      </c>
      <c r="B2768">
        <v>47</v>
      </c>
      <c r="C2768" t="s">
        <v>4803</v>
      </c>
      <c r="D2768" t="s">
        <v>13</v>
      </c>
      <c r="E2768">
        <v>72</v>
      </c>
      <c r="F2768">
        <v>17</v>
      </c>
      <c r="G2768" t="s">
        <v>4799</v>
      </c>
      <c r="H2768" t="s">
        <v>4804</v>
      </c>
      <c r="I2768">
        <v>13.99</v>
      </c>
      <c r="J2768">
        <v>1</v>
      </c>
      <c r="K2768">
        <v>2.4</v>
      </c>
      <c r="L2768">
        <v>0</v>
      </c>
      <c r="M2768" t="s">
        <v>4809</v>
      </c>
      <c r="N2768" t="s">
        <v>4900</v>
      </c>
      <c r="O2768" t="s">
        <v>4910</v>
      </c>
    </row>
    <row r="2769" spans="1:15" x14ac:dyDescent="0.35">
      <c r="A2769" t="s">
        <v>2730</v>
      </c>
      <c r="B2769">
        <v>40</v>
      </c>
      <c r="C2769" t="s">
        <v>4802</v>
      </c>
      <c r="D2769" t="s">
        <v>13</v>
      </c>
      <c r="E2769">
        <v>74</v>
      </c>
      <c r="F2769">
        <v>10</v>
      </c>
      <c r="G2769" t="s">
        <v>4799</v>
      </c>
      <c r="H2769" t="s">
        <v>4805</v>
      </c>
      <c r="I2769">
        <v>13.99</v>
      </c>
      <c r="J2769">
        <v>1</v>
      </c>
      <c r="K2769">
        <v>2.4700000000000002</v>
      </c>
      <c r="L2769">
        <v>0</v>
      </c>
      <c r="M2769" t="s">
        <v>4809</v>
      </c>
      <c r="N2769" t="s">
        <v>4900</v>
      </c>
      <c r="O2769" t="s">
        <v>4910</v>
      </c>
    </row>
    <row r="2770" spans="1:15" x14ac:dyDescent="0.35">
      <c r="A2770" t="s">
        <v>2731</v>
      </c>
      <c r="B2770">
        <v>40</v>
      </c>
      <c r="C2770" t="s">
        <v>4803</v>
      </c>
      <c r="D2770" t="s">
        <v>13</v>
      </c>
      <c r="E2770">
        <v>70</v>
      </c>
      <c r="F2770">
        <v>14</v>
      </c>
      <c r="G2770" t="s">
        <v>4800</v>
      </c>
      <c r="H2770" t="s">
        <v>4805</v>
      </c>
      <c r="I2770">
        <v>13.99</v>
      </c>
      <c r="J2770">
        <v>1</v>
      </c>
      <c r="K2770">
        <v>2.33</v>
      </c>
      <c r="L2770">
        <v>0</v>
      </c>
      <c r="M2770" t="s">
        <v>4810</v>
      </c>
      <c r="N2770" t="s">
        <v>4900</v>
      </c>
      <c r="O2770" t="s">
        <v>4910</v>
      </c>
    </row>
    <row r="2771" spans="1:15" x14ac:dyDescent="0.35">
      <c r="A2771" t="s">
        <v>2732</v>
      </c>
      <c r="B2771">
        <v>53</v>
      </c>
      <c r="C2771" t="s">
        <v>4803</v>
      </c>
      <c r="D2771" t="s">
        <v>13</v>
      </c>
      <c r="E2771">
        <v>78</v>
      </c>
      <c r="F2771">
        <v>36</v>
      </c>
      <c r="G2771" t="s">
        <v>4798</v>
      </c>
      <c r="H2771" t="s">
        <v>4805</v>
      </c>
      <c r="I2771">
        <v>13.99</v>
      </c>
      <c r="J2771">
        <v>2</v>
      </c>
      <c r="K2771">
        <v>2.6</v>
      </c>
      <c r="L2771">
        <v>1</v>
      </c>
      <c r="M2771" t="s">
        <v>4811</v>
      </c>
      <c r="N2771" t="s">
        <v>4899</v>
      </c>
      <c r="O2771" t="s">
        <v>4910</v>
      </c>
    </row>
    <row r="2772" spans="1:15" x14ac:dyDescent="0.35">
      <c r="A2772" t="s">
        <v>2733</v>
      </c>
      <c r="B2772">
        <v>18</v>
      </c>
      <c r="C2772" t="s">
        <v>4802</v>
      </c>
      <c r="D2772" t="s">
        <v>13</v>
      </c>
      <c r="E2772">
        <v>69</v>
      </c>
      <c r="F2772">
        <v>8</v>
      </c>
      <c r="G2772" t="s">
        <v>4798</v>
      </c>
      <c r="H2772" t="s">
        <v>4805</v>
      </c>
      <c r="I2772">
        <v>13.99</v>
      </c>
      <c r="J2772">
        <v>3</v>
      </c>
      <c r="K2772">
        <v>2.2999999999999998</v>
      </c>
      <c r="L2772">
        <v>0</v>
      </c>
      <c r="M2772" t="s">
        <v>4809</v>
      </c>
      <c r="N2772" t="s">
        <v>4900</v>
      </c>
      <c r="O2772" t="s">
        <v>4912</v>
      </c>
    </row>
    <row r="2773" spans="1:15" x14ac:dyDescent="0.35">
      <c r="A2773" t="s">
        <v>2734</v>
      </c>
      <c r="B2773">
        <v>38</v>
      </c>
      <c r="C2773" t="s">
        <v>4803</v>
      </c>
      <c r="D2773" t="s">
        <v>13</v>
      </c>
      <c r="E2773">
        <v>36</v>
      </c>
      <c r="F2773">
        <v>27</v>
      </c>
      <c r="G2773" t="s">
        <v>4798</v>
      </c>
      <c r="H2773" t="s">
        <v>4806</v>
      </c>
      <c r="I2773">
        <v>13.99</v>
      </c>
      <c r="J2773">
        <v>4</v>
      </c>
      <c r="K2773">
        <v>1.2</v>
      </c>
      <c r="L2773">
        <v>1</v>
      </c>
      <c r="M2773" t="s">
        <v>4812</v>
      </c>
      <c r="N2773" t="s">
        <v>4899</v>
      </c>
      <c r="O2773" t="s">
        <v>4910</v>
      </c>
    </row>
    <row r="2774" spans="1:15" x14ac:dyDescent="0.35">
      <c r="A2774" t="s">
        <v>2735</v>
      </c>
      <c r="B2774">
        <v>30</v>
      </c>
      <c r="C2774" t="s">
        <v>4803</v>
      </c>
      <c r="D2774" t="s">
        <v>13</v>
      </c>
      <c r="E2774">
        <v>31</v>
      </c>
      <c r="F2774">
        <v>2</v>
      </c>
      <c r="G2774" t="s">
        <v>4798</v>
      </c>
      <c r="H2774" t="s">
        <v>4804</v>
      </c>
      <c r="I2774">
        <v>13.99</v>
      </c>
      <c r="J2774">
        <v>1</v>
      </c>
      <c r="K2774">
        <v>1.03</v>
      </c>
      <c r="L2774">
        <v>0</v>
      </c>
      <c r="M2774" t="s">
        <v>4808</v>
      </c>
      <c r="N2774" t="s">
        <v>4900</v>
      </c>
      <c r="O2774" t="s">
        <v>4912</v>
      </c>
    </row>
    <row r="2775" spans="1:15" x14ac:dyDescent="0.35">
      <c r="A2775" t="s">
        <v>2736</v>
      </c>
      <c r="B2775">
        <v>51</v>
      </c>
      <c r="C2775" t="s">
        <v>4803</v>
      </c>
      <c r="D2775" t="s">
        <v>15</v>
      </c>
      <c r="E2775">
        <v>60</v>
      </c>
      <c r="F2775">
        <v>44</v>
      </c>
      <c r="G2775" t="s">
        <v>4799</v>
      </c>
      <c r="H2775" t="s">
        <v>4806</v>
      </c>
      <c r="I2775">
        <v>17.989999999999998</v>
      </c>
      <c r="J2775">
        <v>2</v>
      </c>
      <c r="K2775">
        <v>2</v>
      </c>
      <c r="L2775">
        <v>1</v>
      </c>
      <c r="M2775" t="s">
        <v>4811</v>
      </c>
      <c r="N2775" t="s">
        <v>4899</v>
      </c>
      <c r="O2775" t="s">
        <v>4910</v>
      </c>
    </row>
    <row r="2776" spans="1:15" x14ac:dyDescent="0.35">
      <c r="A2776" t="s">
        <v>2737</v>
      </c>
      <c r="B2776">
        <v>47</v>
      </c>
      <c r="C2776" t="s">
        <v>4803</v>
      </c>
      <c r="D2776" t="s">
        <v>15</v>
      </c>
      <c r="E2776">
        <v>107</v>
      </c>
      <c r="F2776">
        <v>11</v>
      </c>
      <c r="G2776" t="s">
        <v>4800</v>
      </c>
      <c r="H2776" t="s">
        <v>4805</v>
      </c>
      <c r="I2776">
        <v>17.989999999999998</v>
      </c>
      <c r="J2776">
        <v>3</v>
      </c>
      <c r="K2776">
        <v>3.57</v>
      </c>
      <c r="L2776">
        <v>0</v>
      </c>
      <c r="M2776" t="s">
        <v>4810</v>
      </c>
      <c r="N2776" t="s">
        <v>4900</v>
      </c>
      <c r="O2776" t="s">
        <v>4910</v>
      </c>
    </row>
    <row r="2777" spans="1:15" x14ac:dyDescent="0.35">
      <c r="A2777" t="s">
        <v>2738</v>
      </c>
      <c r="B2777">
        <v>27</v>
      </c>
      <c r="C2777" t="s">
        <v>4803</v>
      </c>
      <c r="D2777" t="s">
        <v>15</v>
      </c>
      <c r="E2777">
        <v>90</v>
      </c>
      <c r="F2777">
        <v>48</v>
      </c>
      <c r="G2777" t="s">
        <v>4799</v>
      </c>
      <c r="H2777" t="s">
        <v>4804</v>
      </c>
      <c r="I2777">
        <v>17.989999999999998</v>
      </c>
      <c r="J2777">
        <v>2</v>
      </c>
      <c r="K2777">
        <v>3</v>
      </c>
      <c r="L2777">
        <v>1</v>
      </c>
      <c r="M2777" t="s">
        <v>4808</v>
      </c>
      <c r="N2777" t="s">
        <v>4899</v>
      </c>
      <c r="O2777" t="s">
        <v>4912</v>
      </c>
    </row>
    <row r="2778" spans="1:15" x14ac:dyDescent="0.35">
      <c r="A2778" t="s">
        <v>2739</v>
      </c>
      <c r="B2778">
        <v>59</v>
      </c>
      <c r="C2778" t="s">
        <v>4802</v>
      </c>
      <c r="D2778" t="s">
        <v>15</v>
      </c>
      <c r="E2778">
        <v>96</v>
      </c>
      <c r="F2778">
        <v>10</v>
      </c>
      <c r="G2778" t="s">
        <v>4798</v>
      </c>
      <c r="H2778" t="s">
        <v>4804</v>
      </c>
      <c r="I2778">
        <v>17.989999999999998</v>
      </c>
      <c r="J2778">
        <v>4</v>
      </c>
      <c r="K2778">
        <v>3.2</v>
      </c>
      <c r="L2778">
        <v>0</v>
      </c>
      <c r="M2778" t="s">
        <v>4808</v>
      </c>
      <c r="N2778" t="s">
        <v>4900</v>
      </c>
      <c r="O2778" t="s">
        <v>4911</v>
      </c>
    </row>
    <row r="2779" spans="1:15" x14ac:dyDescent="0.35">
      <c r="A2779" t="s">
        <v>4839</v>
      </c>
      <c r="B2779">
        <v>33</v>
      </c>
      <c r="C2779" t="s">
        <v>4803</v>
      </c>
      <c r="D2779" t="s">
        <v>13</v>
      </c>
      <c r="E2779">
        <v>66</v>
      </c>
      <c r="F2779">
        <v>33</v>
      </c>
      <c r="G2779" t="s">
        <v>4797</v>
      </c>
      <c r="H2779" t="s">
        <v>4805</v>
      </c>
      <c r="I2779">
        <v>13.99</v>
      </c>
      <c r="J2779">
        <v>2</v>
      </c>
      <c r="K2779">
        <v>2.2000000000000002</v>
      </c>
      <c r="L2779">
        <v>1</v>
      </c>
      <c r="M2779" t="s">
        <v>4812</v>
      </c>
      <c r="N2779" t="s">
        <v>4899</v>
      </c>
      <c r="O2779" t="s">
        <v>4912</v>
      </c>
    </row>
    <row r="2780" spans="1:15" x14ac:dyDescent="0.35">
      <c r="A2780" t="s">
        <v>2740</v>
      </c>
      <c r="B2780">
        <v>35</v>
      </c>
      <c r="C2780" t="s">
        <v>4802</v>
      </c>
      <c r="D2780" t="s">
        <v>13</v>
      </c>
      <c r="E2780">
        <v>61</v>
      </c>
      <c r="F2780">
        <v>7</v>
      </c>
      <c r="G2780" t="s">
        <v>4797</v>
      </c>
      <c r="H2780" t="s">
        <v>4806</v>
      </c>
      <c r="I2780">
        <v>13.99</v>
      </c>
      <c r="J2780">
        <v>1</v>
      </c>
      <c r="K2780">
        <v>2.0299999999999998</v>
      </c>
      <c r="L2780">
        <v>0</v>
      </c>
      <c r="M2780" t="s">
        <v>4811</v>
      </c>
      <c r="N2780" t="s">
        <v>4900</v>
      </c>
      <c r="O2780" t="s">
        <v>4910</v>
      </c>
    </row>
    <row r="2781" spans="1:15" x14ac:dyDescent="0.35">
      <c r="A2781" t="s">
        <v>2741</v>
      </c>
      <c r="B2781">
        <v>46</v>
      </c>
      <c r="C2781" t="s">
        <v>4803</v>
      </c>
      <c r="D2781" t="s">
        <v>13</v>
      </c>
      <c r="E2781">
        <v>74</v>
      </c>
      <c r="F2781">
        <v>51</v>
      </c>
      <c r="G2781" t="s">
        <v>4798</v>
      </c>
      <c r="H2781" t="s">
        <v>4805</v>
      </c>
      <c r="I2781">
        <v>13.99</v>
      </c>
      <c r="J2781">
        <v>1</v>
      </c>
      <c r="K2781">
        <v>2.4700000000000002</v>
      </c>
      <c r="L2781">
        <v>1</v>
      </c>
      <c r="M2781" t="s">
        <v>4812</v>
      </c>
      <c r="N2781" t="s">
        <v>4899</v>
      </c>
      <c r="O2781" t="s">
        <v>4910</v>
      </c>
    </row>
    <row r="2782" spans="1:15" x14ac:dyDescent="0.35">
      <c r="A2782" t="s">
        <v>2742</v>
      </c>
      <c r="B2782">
        <v>35</v>
      </c>
      <c r="C2782" t="s">
        <v>4802</v>
      </c>
      <c r="D2782" t="s">
        <v>13</v>
      </c>
      <c r="E2782">
        <v>69</v>
      </c>
      <c r="F2782">
        <v>999</v>
      </c>
      <c r="G2782" t="s">
        <v>4797</v>
      </c>
      <c r="H2782" t="s">
        <v>4804</v>
      </c>
      <c r="I2782">
        <v>13.99</v>
      </c>
      <c r="J2782">
        <v>2</v>
      </c>
      <c r="K2782">
        <v>2.2999999999999998</v>
      </c>
      <c r="L2782">
        <v>1</v>
      </c>
      <c r="M2782" t="s">
        <v>4811</v>
      </c>
      <c r="N2782" t="s">
        <v>4899</v>
      </c>
      <c r="O2782" t="s">
        <v>4910</v>
      </c>
    </row>
    <row r="2783" spans="1:15" x14ac:dyDescent="0.35">
      <c r="A2783" t="s">
        <v>2743</v>
      </c>
      <c r="B2783">
        <v>32</v>
      </c>
      <c r="C2783" t="s">
        <v>4803</v>
      </c>
      <c r="D2783" t="s">
        <v>13</v>
      </c>
      <c r="E2783">
        <v>49</v>
      </c>
      <c r="F2783">
        <v>30</v>
      </c>
      <c r="G2783" t="s">
        <v>4800</v>
      </c>
      <c r="H2783" t="s">
        <v>4805</v>
      </c>
      <c r="I2783">
        <v>13.99</v>
      </c>
      <c r="J2783">
        <v>4</v>
      </c>
      <c r="K2783">
        <v>1.63</v>
      </c>
      <c r="L2783">
        <v>0</v>
      </c>
      <c r="M2783" t="s">
        <v>4808</v>
      </c>
      <c r="N2783" t="s">
        <v>4900</v>
      </c>
      <c r="O2783" t="s">
        <v>4912</v>
      </c>
    </row>
    <row r="2784" spans="1:15" x14ac:dyDescent="0.35">
      <c r="A2784" t="s">
        <v>2744</v>
      </c>
      <c r="B2784">
        <v>29</v>
      </c>
      <c r="C2784" t="s">
        <v>4803</v>
      </c>
      <c r="D2784" t="s">
        <v>15</v>
      </c>
      <c r="E2784">
        <v>117</v>
      </c>
      <c r="F2784">
        <v>27</v>
      </c>
      <c r="G2784" t="s">
        <v>4798</v>
      </c>
      <c r="H2784" t="s">
        <v>4806</v>
      </c>
      <c r="I2784">
        <v>17.989999999999998</v>
      </c>
      <c r="J2784">
        <v>2</v>
      </c>
      <c r="K2784">
        <v>2.0299999999999998</v>
      </c>
      <c r="L2784">
        <v>0</v>
      </c>
      <c r="M2784" t="s">
        <v>4810</v>
      </c>
      <c r="N2784" t="s">
        <v>4900</v>
      </c>
      <c r="O2784" t="s">
        <v>4912</v>
      </c>
    </row>
    <row r="2785" spans="1:15" x14ac:dyDescent="0.35">
      <c r="A2785" t="s">
        <v>2745</v>
      </c>
      <c r="B2785">
        <v>60</v>
      </c>
      <c r="C2785" t="s">
        <v>4802</v>
      </c>
      <c r="D2785" t="s">
        <v>13</v>
      </c>
      <c r="E2785">
        <v>37</v>
      </c>
      <c r="F2785">
        <v>8</v>
      </c>
      <c r="G2785" t="s">
        <v>4799</v>
      </c>
      <c r="H2785" t="s">
        <v>4806</v>
      </c>
      <c r="I2785">
        <v>13.99</v>
      </c>
      <c r="J2785">
        <v>3</v>
      </c>
      <c r="K2785">
        <v>1.23</v>
      </c>
      <c r="L2785">
        <v>0</v>
      </c>
      <c r="M2785" t="s">
        <v>4811</v>
      </c>
      <c r="N2785" t="s">
        <v>4900</v>
      </c>
      <c r="O2785" t="s">
        <v>4911</v>
      </c>
    </row>
    <row r="2786" spans="1:15" x14ac:dyDescent="0.35">
      <c r="A2786" t="s">
        <v>2746</v>
      </c>
      <c r="B2786">
        <v>47</v>
      </c>
      <c r="C2786" t="s">
        <v>4802</v>
      </c>
      <c r="D2786" t="s">
        <v>13</v>
      </c>
      <c r="E2786">
        <v>58</v>
      </c>
      <c r="F2786">
        <v>43</v>
      </c>
      <c r="G2786" t="s">
        <v>4799</v>
      </c>
      <c r="H2786" t="s">
        <v>4805</v>
      </c>
      <c r="I2786">
        <v>13.99</v>
      </c>
      <c r="J2786">
        <v>2</v>
      </c>
      <c r="K2786">
        <v>1.93</v>
      </c>
      <c r="L2786">
        <v>0</v>
      </c>
      <c r="M2786" t="s">
        <v>4810</v>
      </c>
      <c r="N2786" t="s">
        <v>4900</v>
      </c>
      <c r="O2786" t="s">
        <v>4910</v>
      </c>
    </row>
    <row r="2787" spans="1:15" x14ac:dyDescent="0.35">
      <c r="A2787" t="s">
        <v>2747</v>
      </c>
      <c r="B2787">
        <v>29</v>
      </c>
      <c r="C2787" t="s">
        <v>4803</v>
      </c>
      <c r="D2787" t="s">
        <v>13</v>
      </c>
      <c r="E2787">
        <v>75</v>
      </c>
      <c r="F2787" t="s">
        <v>4814</v>
      </c>
      <c r="G2787" t="s">
        <v>4798</v>
      </c>
      <c r="H2787" t="s">
        <v>4804</v>
      </c>
      <c r="I2787">
        <v>13.99</v>
      </c>
      <c r="J2787">
        <v>4</v>
      </c>
      <c r="K2787">
        <v>2.5</v>
      </c>
      <c r="L2787">
        <v>0</v>
      </c>
      <c r="M2787" t="s">
        <v>4811</v>
      </c>
      <c r="N2787" t="s">
        <v>4900</v>
      </c>
      <c r="O2787" t="s">
        <v>4912</v>
      </c>
    </row>
    <row r="2788" spans="1:15" x14ac:dyDescent="0.35">
      <c r="A2788" t="s">
        <v>2748</v>
      </c>
      <c r="B2788">
        <v>57</v>
      </c>
      <c r="C2788" t="s">
        <v>4802</v>
      </c>
      <c r="D2788" t="s">
        <v>13</v>
      </c>
      <c r="E2788">
        <v>45</v>
      </c>
      <c r="F2788">
        <v>999</v>
      </c>
      <c r="G2788" t="s">
        <v>4797</v>
      </c>
      <c r="H2788" t="s">
        <v>4806</v>
      </c>
      <c r="I2788">
        <v>13.99</v>
      </c>
      <c r="J2788">
        <v>4</v>
      </c>
      <c r="K2788">
        <v>1.5</v>
      </c>
      <c r="L2788">
        <v>0</v>
      </c>
      <c r="M2788" t="s">
        <v>4811</v>
      </c>
      <c r="N2788" t="s">
        <v>4900</v>
      </c>
      <c r="O2788" t="s">
        <v>4911</v>
      </c>
    </row>
    <row r="2789" spans="1:15" x14ac:dyDescent="0.35">
      <c r="A2789" t="s">
        <v>2749</v>
      </c>
      <c r="B2789">
        <v>48</v>
      </c>
      <c r="C2789" t="s">
        <v>4803</v>
      </c>
      <c r="D2789" t="s">
        <v>13</v>
      </c>
      <c r="E2789">
        <v>68</v>
      </c>
      <c r="F2789">
        <v>17</v>
      </c>
      <c r="G2789" t="s">
        <v>4798</v>
      </c>
      <c r="H2789" t="s">
        <v>4804</v>
      </c>
      <c r="I2789">
        <v>13.99</v>
      </c>
      <c r="J2789">
        <v>2</v>
      </c>
      <c r="K2789">
        <v>2.27</v>
      </c>
      <c r="L2789">
        <v>0</v>
      </c>
      <c r="M2789" t="s">
        <v>4809</v>
      </c>
      <c r="N2789" t="s">
        <v>4900</v>
      </c>
      <c r="O2789" t="s">
        <v>4910</v>
      </c>
    </row>
    <row r="2790" spans="1:15" x14ac:dyDescent="0.35">
      <c r="A2790" t="s">
        <v>2750</v>
      </c>
      <c r="B2790">
        <v>34</v>
      </c>
      <c r="C2790" t="s">
        <v>4803</v>
      </c>
      <c r="D2790" t="s">
        <v>13</v>
      </c>
      <c r="E2790">
        <v>67</v>
      </c>
      <c r="F2790">
        <v>1</v>
      </c>
      <c r="G2790" t="s">
        <v>4798</v>
      </c>
      <c r="H2790" t="s">
        <v>4804</v>
      </c>
      <c r="I2790">
        <v>13.99</v>
      </c>
      <c r="J2790">
        <v>2</v>
      </c>
      <c r="K2790">
        <v>2.23</v>
      </c>
      <c r="L2790">
        <v>0</v>
      </c>
      <c r="M2790" t="s">
        <v>4810</v>
      </c>
      <c r="N2790" t="s">
        <v>4900</v>
      </c>
      <c r="O2790" t="s">
        <v>4912</v>
      </c>
    </row>
    <row r="2791" spans="1:15" x14ac:dyDescent="0.35">
      <c r="A2791" t="s">
        <v>2751</v>
      </c>
      <c r="B2791">
        <v>47</v>
      </c>
      <c r="C2791" t="s">
        <v>4803</v>
      </c>
      <c r="D2791" t="s">
        <v>13</v>
      </c>
      <c r="E2791">
        <v>55</v>
      </c>
      <c r="F2791">
        <v>6</v>
      </c>
      <c r="G2791" t="s">
        <v>4798</v>
      </c>
      <c r="H2791" t="s">
        <v>4806</v>
      </c>
      <c r="I2791">
        <v>13.99</v>
      </c>
      <c r="J2791">
        <v>4</v>
      </c>
      <c r="K2791">
        <v>1.83</v>
      </c>
      <c r="L2791">
        <v>0</v>
      </c>
      <c r="M2791" t="s">
        <v>4808</v>
      </c>
      <c r="N2791" t="s">
        <v>4900</v>
      </c>
      <c r="O2791" t="s">
        <v>4910</v>
      </c>
    </row>
    <row r="2792" spans="1:15" x14ac:dyDescent="0.35">
      <c r="A2792" t="s">
        <v>4840</v>
      </c>
      <c r="B2792">
        <v>20</v>
      </c>
      <c r="C2792" t="s">
        <v>4803</v>
      </c>
      <c r="D2792" t="s">
        <v>13</v>
      </c>
      <c r="E2792">
        <v>33</v>
      </c>
      <c r="F2792">
        <v>13</v>
      </c>
      <c r="G2792" t="s">
        <v>4797</v>
      </c>
      <c r="H2792" t="s">
        <v>4805</v>
      </c>
      <c r="I2792">
        <v>13.99</v>
      </c>
      <c r="J2792">
        <v>1</v>
      </c>
      <c r="K2792">
        <v>1.1000000000000001</v>
      </c>
      <c r="L2792">
        <v>1</v>
      </c>
      <c r="M2792" t="s">
        <v>4808</v>
      </c>
      <c r="N2792" t="s">
        <v>4899</v>
      </c>
      <c r="O2792" t="s">
        <v>4912</v>
      </c>
    </row>
    <row r="2793" spans="1:15" x14ac:dyDescent="0.35">
      <c r="A2793" t="s">
        <v>2752</v>
      </c>
      <c r="B2793">
        <v>26</v>
      </c>
      <c r="C2793" t="s">
        <v>4802</v>
      </c>
      <c r="D2793" t="s">
        <v>13</v>
      </c>
      <c r="E2793">
        <v>59</v>
      </c>
      <c r="F2793">
        <v>43</v>
      </c>
      <c r="G2793" t="s">
        <v>4797</v>
      </c>
      <c r="H2793" t="s">
        <v>4805</v>
      </c>
      <c r="I2793">
        <v>13.99</v>
      </c>
      <c r="J2793">
        <v>2</v>
      </c>
      <c r="K2793">
        <v>1.97</v>
      </c>
      <c r="L2793">
        <v>0</v>
      </c>
      <c r="M2793" t="s">
        <v>4811</v>
      </c>
      <c r="N2793" t="s">
        <v>4900</v>
      </c>
      <c r="O2793" t="s">
        <v>4912</v>
      </c>
    </row>
    <row r="2794" spans="1:15" x14ac:dyDescent="0.35">
      <c r="A2794" t="s">
        <v>2753</v>
      </c>
      <c r="B2794">
        <v>26</v>
      </c>
      <c r="C2794" t="s">
        <v>4803</v>
      </c>
      <c r="D2794" t="s">
        <v>15</v>
      </c>
      <c r="E2794">
        <v>51</v>
      </c>
      <c r="F2794" t="s">
        <v>4814</v>
      </c>
      <c r="G2794" t="s">
        <v>4799</v>
      </c>
      <c r="H2794" t="s">
        <v>4805</v>
      </c>
      <c r="I2794">
        <v>17.989999999999998</v>
      </c>
      <c r="J2794">
        <v>2</v>
      </c>
      <c r="K2794">
        <v>1.7</v>
      </c>
      <c r="L2794">
        <v>0</v>
      </c>
      <c r="M2794" t="s">
        <v>4812</v>
      </c>
      <c r="N2794" t="s">
        <v>4900</v>
      </c>
      <c r="O2794" t="s">
        <v>4912</v>
      </c>
    </row>
    <row r="2795" spans="1:15" x14ac:dyDescent="0.35">
      <c r="A2795" t="s">
        <v>2754</v>
      </c>
      <c r="B2795">
        <v>64</v>
      </c>
      <c r="C2795" t="s">
        <v>4802</v>
      </c>
      <c r="D2795" t="s">
        <v>14</v>
      </c>
      <c r="E2795">
        <v>41</v>
      </c>
      <c r="F2795">
        <v>59</v>
      </c>
      <c r="G2795" t="s">
        <v>4798</v>
      </c>
      <c r="H2795" t="s">
        <v>4805</v>
      </c>
      <c r="I2795">
        <v>8.99</v>
      </c>
      <c r="J2795">
        <v>1</v>
      </c>
      <c r="K2795">
        <v>2.0299999999999998</v>
      </c>
      <c r="L2795">
        <v>1</v>
      </c>
      <c r="M2795" t="s">
        <v>4808</v>
      </c>
      <c r="N2795" t="s">
        <v>4899</v>
      </c>
      <c r="O2795" t="s">
        <v>4911</v>
      </c>
    </row>
    <row r="2796" spans="1:15" x14ac:dyDescent="0.35">
      <c r="A2796" t="s">
        <v>2755</v>
      </c>
      <c r="B2796">
        <v>20</v>
      </c>
      <c r="C2796" t="s">
        <v>4803</v>
      </c>
      <c r="D2796" t="s">
        <v>13</v>
      </c>
      <c r="E2796">
        <v>79</v>
      </c>
      <c r="F2796">
        <v>21</v>
      </c>
      <c r="G2796" t="s">
        <v>4799</v>
      </c>
      <c r="H2796" t="s">
        <v>4805</v>
      </c>
      <c r="I2796">
        <v>13.99</v>
      </c>
      <c r="J2796">
        <v>4</v>
      </c>
      <c r="K2796">
        <v>2.63</v>
      </c>
      <c r="L2796">
        <v>0</v>
      </c>
      <c r="M2796" t="s">
        <v>4810</v>
      </c>
      <c r="N2796" t="s">
        <v>4900</v>
      </c>
      <c r="O2796" t="s">
        <v>4912</v>
      </c>
    </row>
    <row r="2797" spans="1:15" x14ac:dyDescent="0.35">
      <c r="A2797" t="s">
        <v>2756</v>
      </c>
      <c r="B2797">
        <v>59</v>
      </c>
      <c r="C2797" t="s">
        <v>4803</v>
      </c>
      <c r="D2797" t="s">
        <v>13</v>
      </c>
      <c r="E2797">
        <v>48</v>
      </c>
      <c r="F2797">
        <v>12</v>
      </c>
      <c r="G2797" t="s">
        <v>4798</v>
      </c>
      <c r="H2797" t="s">
        <v>4804</v>
      </c>
      <c r="I2797">
        <v>13.99</v>
      </c>
      <c r="J2797">
        <v>3</v>
      </c>
      <c r="K2797">
        <v>1.6</v>
      </c>
      <c r="L2797">
        <v>0</v>
      </c>
      <c r="M2797" t="s">
        <v>4811</v>
      </c>
      <c r="N2797" t="s">
        <v>4900</v>
      </c>
      <c r="O2797" t="s">
        <v>4911</v>
      </c>
    </row>
    <row r="2798" spans="1:15" x14ac:dyDescent="0.35">
      <c r="A2798" t="s">
        <v>2757</v>
      </c>
      <c r="B2798">
        <v>34</v>
      </c>
      <c r="C2798" t="s">
        <v>4802</v>
      </c>
      <c r="D2798" t="s">
        <v>15</v>
      </c>
      <c r="E2798">
        <v>64</v>
      </c>
      <c r="F2798">
        <v>2</v>
      </c>
      <c r="G2798" t="s">
        <v>4799</v>
      </c>
      <c r="H2798" t="s">
        <v>4805</v>
      </c>
      <c r="I2798">
        <v>17.989999999999998</v>
      </c>
      <c r="J2798">
        <v>4</v>
      </c>
      <c r="K2798">
        <v>2.13</v>
      </c>
      <c r="L2798">
        <v>0</v>
      </c>
      <c r="M2798" t="s">
        <v>4810</v>
      </c>
      <c r="N2798" t="s">
        <v>4900</v>
      </c>
      <c r="O2798" t="s">
        <v>4912</v>
      </c>
    </row>
    <row r="2799" spans="1:15" x14ac:dyDescent="0.35">
      <c r="A2799" t="s">
        <v>2758</v>
      </c>
      <c r="B2799">
        <v>18</v>
      </c>
      <c r="C2799" t="s">
        <v>4803</v>
      </c>
      <c r="D2799" t="s">
        <v>15</v>
      </c>
      <c r="E2799">
        <v>70</v>
      </c>
      <c r="F2799">
        <v>21</v>
      </c>
      <c r="G2799" t="s">
        <v>4798</v>
      </c>
      <c r="H2799" t="s">
        <v>4805</v>
      </c>
      <c r="I2799">
        <v>17.989999999999998</v>
      </c>
      <c r="J2799">
        <v>4</v>
      </c>
      <c r="K2799">
        <v>2.33</v>
      </c>
      <c r="L2799">
        <v>1</v>
      </c>
      <c r="M2799" t="s">
        <v>4810</v>
      </c>
      <c r="N2799" t="s">
        <v>4899</v>
      </c>
      <c r="O2799" t="s">
        <v>4912</v>
      </c>
    </row>
    <row r="2800" spans="1:15" x14ac:dyDescent="0.35">
      <c r="A2800" t="s">
        <v>2759</v>
      </c>
      <c r="B2800">
        <v>32</v>
      </c>
      <c r="C2800" t="s">
        <v>4802</v>
      </c>
      <c r="D2800" t="s">
        <v>15</v>
      </c>
      <c r="E2800">
        <v>52</v>
      </c>
      <c r="F2800">
        <v>23</v>
      </c>
      <c r="G2800" t="s">
        <v>4799</v>
      </c>
      <c r="H2800" t="s">
        <v>4805</v>
      </c>
      <c r="I2800">
        <v>17.989999999999998</v>
      </c>
      <c r="J2800">
        <v>2</v>
      </c>
      <c r="K2800">
        <v>1.73</v>
      </c>
      <c r="L2800">
        <v>0</v>
      </c>
      <c r="M2800" t="s">
        <v>4808</v>
      </c>
      <c r="N2800" t="s">
        <v>4900</v>
      </c>
      <c r="O2800" t="s">
        <v>4912</v>
      </c>
    </row>
    <row r="2801" spans="1:15" x14ac:dyDescent="0.35">
      <c r="A2801" t="s">
        <v>2760</v>
      </c>
      <c r="B2801">
        <v>57</v>
      </c>
      <c r="C2801" t="s">
        <v>4803</v>
      </c>
      <c r="D2801" t="s">
        <v>15</v>
      </c>
      <c r="E2801">
        <v>83</v>
      </c>
      <c r="F2801">
        <v>5</v>
      </c>
      <c r="G2801" t="s">
        <v>4797</v>
      </c>
      <c r="H2801" t="s">
        <v>4805</v>
      </c>
      <c r="I2801">
        <v>17.989999999999998</v>
      </c>
      <c r="J2801">
        <v>4</v>
      </c>
      <c r="K2801">
        <v>2.0299999999999998</v>
      </c>
      <c r="L2801">
        <v>1</v>
      </c>
      <c r="M2801" t="s">
        <v>4808</v>
      </c>
      <c r="N2801" t="s">
        <v>4899</v>
      </c>
      <c r="O2801" t="s">
        <v>4911</v>
      </c>
    </row>
    <row r="2802" spans="1:15" x14ac:dyDescent="0.35">
      <c r="A2802" t="s">
        <v>2761</v>
      </c>
      <c r="B2802">
        <v>44</v>
      </c>
      <c r="C2802" t="s">
        <v>4802</v>
      </c>
      <c r="D2802" t="s">
        <v>13</v>
      </c>
      <c r="E2802">
        <v>67</v>
      </c>
      <c r="F2802">
        <v>2</v>
      </c>
      <c r="G2802" t="s">
        <v>4798</v>
      </c>
      <c r="H2802" t="s">
        <v>4805</v>
      </c>
      <c r="I2802">
        <v>13.99</v>
      </c>
      <c r="J2802">
        <v>3</v>
      </c>
      <c r="K2802">
        <v>2.23</v>
      </c>
      <c r="L2802">
        <v>0</v>
      </c>
      <c r="M2802" t="s">
        <v>4810</v>
      </c>
      <c r="N2802" t="s">
        <v>4900</v>
      </c>
      <c r="O2802" t="s">
        <v>4910</v>
      </c>
    </row>
    <row r="2803" spans="1:15" x14ac:dyDescent="0.35">
      <c r="A2803" t="s">
        <v>2762</v>
      </c>
      <c r="B2803">
        <v>56</v>
      </c>
      <c r="C2803" t="s">
        <v>4803</v>
      </c>
      <c r="D2803" t="s">
        <v>15</v>
      </c>
      <c r="E2803">
        <v>59</v>
      </c>
      <c r="F2803">
        <v>8</v>
      </c>
      <c r="G2803" t="s">
        <v>4799</v>
      </c>
      <c r="H2803" t="s">
        <v>4805</v>
      </c>
      <c r="I2803">
        <v>17.989999999999998</v>
      </c>
      <c r="J2803">
        <v>3</v>
      </c>
      <c r="K2803">
        <v>1.97</v>
      </c>
      <c r="L2803">
        <v>0</v>
      </c>
      <c r="M2803" t="s">
        <v>4810</v>
      </c>
      <c r="N2803" t="s">
        <v>4900</v>
      </c>
      <c r="O2803" t="s">
        <v>4911</v>
      </c>
    </row>
    <row r="2804" spans="1:15" x14ac:dyDescent="0.35">
      <c r="A2804" t="s">
        <v>2763</v>
      </c>
      <c r="B2804">
        <v>54</v>
      </c>
      <c r="C2804" t="s">
        <v>4803</v>
      </c>
      <c r="D2804" t="s">
        <v>13</v>
      </c>
      <c r="E2804">
        <v>46</v>
      </c>
      <c r="F2804">
        <v>24</v>
      </c>
      <c r="G2804" t="s">
        <v>4797</v>
      </c>
      <c r="H2804" t="s">
        <v>4804</v>
      </c>
      <c r="I2804">
        <v>13.99</v>
      </c>
      <c r="J2804">
        <v>3</v>
      </c>
      <c r="K2804">
        <v>1.53</v>
      </c>
      <c r="L2804">
        <v>0</v>
      </c>
      <c r="M2804" t="s">
        <v>4811</v>
      </c>
      <c r="N2804" t="s">
        <v>4900</v>
      </c>
      <c r="O2804" t="s">
        <v>4910</v>
      </c>
    </row>
    <row r="2805" spans="1:15" x14ac:dyDescent="0.35">
      <c r="A2805" t="s">
        <v>2764</v>
      </c>
      <c r="B2805">
        <v>39</v>
      </c>
      <c r="C2805" t="s">
        <v>4803</v>
      </c>
      <c r="D2805" t="s">
        <v>15</v>
      </c>
      <c r="E2805">
        <v>72</v>
      </c>
      <c r="F2805">
        <v>3</v>
      </c>
      <c r="G2805" t="s">
        <v>4798</v>
      </c>
      <c r="H2805" t="s">
        <v>4806</v>
      </c>
      <c r="I2805">
        <v>17.989999999999998</v>
      </c>
      <c r="J2805">
        <v>2</v>
      </c>
      <c r="K2805">
        <v>2.4</v>
      </c>
      <c r="L2805">
        <v>0</v>
      </c>
      <c r="M2805" t="s">
        <v>4808</v>
      </c>
      <c r="N2805" t="s">
        <v>4900</v>
      </c>
      <c r="O2805" t="s">
        <v>4910</v>
      </c>
    </row>
    <row r="2806" spans="1:15" x14ac:dyDescent="0.35">
      <c r="A2806" t="s">
        <v>2765</v>
      </c>
      <c r="B2806">
        <v>19</v>
      </c>
      <c r="C2806" t="s">
        <v>4802</v>
      </c>
      <c r="D2806" t="s">
        <v>13</v>
      </c>
      <c r="E2806">
        <v>33</v>
      </c>
      <c r="F2806">
        <v>13</v>
      </c>
      <c r="G2806" t="s">
        <v>4798</v>
      </c>
      <c r="H2806" t="s">
        <v>4804</v>
      </c>
      <c r="I2806">
        <v>13.99</v>
      </c>
      <c r="J2806">
        <v>3</v>
      </c>
      <c r="K2806">
        <v>1.1000000000000001</v>
      </c>
      <c r="L2806">
        <v>0</v>
      </c>
      <c r="M2806" t="s">
        <v>4808</v>
      </c>
      <c r="N2806" t="s">
        <v>4900</v>
      </c>
      <c r="O2806" t="s">
        <v>4912</v>
      </c>
    </row>
    <row r="2807" spans="1:15" x14ac:dyDescent="0.35">
      <c r="A2807" t="s">
        <v>2766</v>
      </c>
      <c r="B2807">
        <v>31</v>
      </c>
      <c r="C2807" t="s">
        <v>4803</v>
      </c>
      <c r="D2807" t="s">
        <v>13</v>
      </c>
      <c r="E2807">
        <v>73</v>
      </c>
      <c r="F2807">
        <v>2</v>
      </c>
      <c r="G2807" t="s">
        <v>4799</v>
      </c>
      <c r="H2807" t="s">
        <v>4805</v>
      </c>
      <c r="I2807">
        <v>13.99</v>
      </c>
      <c r="J2807">
        <v>3</v>
      </c>
      <c r="K2807">
        <v>2.4300000000000002</v>
      </c>
      <c r="L2807">
        <v>0</v>
      </c>
      <c r="M2807" t="s">
        <v>4811</v>
      </c>
      <c r="N2807" t="s">
        <v>4900</v>
      </c>
      <c r="O2807" t="s">
        <v>4912</v>
      </c>
    </row>
    <row r="2808" spans="1:15" x14ac:dyDescent="0.35">
      <c r="A2808" t="s">
        <v>2767</v>
      </c>
      <c r="B2808">
        <v>49</v>
      </c>
      <c r="C2808" t="s">
        <v>4802</v>
      </c>
      <c r="D2808" t="s">
        <v>13</v>
      </c>
      <c r="E2808">
        <v>49</v>
      </c>
      <c r="F2808">
        <v>52</v>
      </c>
      <c r="G2808" t="s">
        <v>4798</v>
      </c>
      <c r="H2808" t="s">
        <v>4805</v>
      </c>
      <c r="I2808">
        <v>13.99</v>
      </c>
      <c r="J2808">
        <v>3</v>
      </c>
      <c r="K2808">
        <v>1.63</v>
      </c>
      <c r="L2808">
        <v>0</v>
      </c>
      <c r="M2808" t="s">
        <v>4812</v>
      </c>
      <c r="N2808" t="s">
        <v>4900</v>
      </c>
      <c r="O2808" t="s">
        <v>4910</v>
      </c>
    </row>
    <row r="2809" spans="1:15" x14ac:dyDescent="0.35">
      <c r="A2809" t="s">
        <v>2768</v>
      </c>
      <c r="B2809">
        <v>19</v>
      </c>
      <c r="C2809" t="s">
        <v>4803</v>
      </c>
      <c r="D2809" t="s">
        <v>13</v>
      </c>
      <c r="E2809">
        <v>80</v>
      </c>
      <c r="F2809">
        <v>43</v>
      </c>
      <c r="G2809" t="s">
        <v>4797</v>
      </c>
      <c r="H2809" t="s">
        <v>4805</v>
      </c>
      <c r="I2809">
        <v>13.99</v>
      </c>
      <c r="J2809">
        <v>1</v>
      </c>
      <c r="K2809">
        <v>2.67</v>
      </c>
      <c r="L2809">
        <v>1</v>
      </c>
      <c r="M2809" t="s">
        <v>4812</v>
      </c>
      <c r="N2809" t="s">
        <v>4899</v>
      </c>
      <c r="O2809" t="s">
        <v>4912</v>
      </c>
    </row>
    <row r="2810" spans="1:15" x14ac:dyDescent="0.35">
      <c r="A2810" t="s">
        <v>2769</v>
      </c>
      <c r="B2810">
        <v>26</v>
      </c>
      <c r="C2810" t="s">
        <v>4802</v>
      </c>
      <c r="D2810" t="s">
        <v>15</v>
      </c>
      <c r="E2810">
        <v>69</v>
      </c>
      <c r="F2810">
        <v>13</v>
      </c>
      <c r="G2810" t="s">
        <v>4798</v>
      </c>
      <c r="H2810" t="s">
        <v>4804</v>
      </c>
      <c r="I2810">
        <v>17.989999999999998</v>
      </c>
      <c r="J2810">
        <v>4</v>
      </c>
      <c r="K2810">
        <v>2.2999999999999998</v>
      </c>
      <c r="L2810">
        <v>0</v>
      </c>
      <c r="M2810" t="s">
        <v>4809</v>
      </c>
      <c r="N2810" t="s">
        <v>4900</v>
      </c>
      <c r="O2810" t="s">
        <v>4912</v>
      </c>
    </row>
    <row r="2811" spans="1:15" x14ac:dyDescent="0.35">
      <c r="A2811" t="s">
        <v>2770</v>
      </c>
      <c r="B2811">
        <v>43</v>
      </c>
      <c r="C2811" t="s">
        <v>4802</v>
      </c>
      <c r="D2811" t="s">
        <v>13</v>
      </c>
      <c r="E2811">
        <v>46</v>
      </c>
      <c r="F2811">
        <v>1</v>
      </c>
      <c r="G2811" t="s">
        <v>4798</v>
      </c>
      <c r="H2811" t="s">
        <v>4806</v>
      </c>
      <c r="I2811">
        <v>13.99</v>
      </c>
      <c r="J2811">
        <v>3</v>
      </c>
      <c r="K2811">
        <v>1.53</v>
      </c>
      <c r="L2811">
        <v>0</v>
      </c>
      <c r="M2811" t="s">
        <v>4809</v>
      </c>
      <c r="N2811" t="s">
        <v>4900</v>
      </c>
      <c r="O2811" t="s">
        <v>4910</v>
      </c>
    </row>
    <row r="2812" spans="1:15" x14ac:dyDescent="0.35">
      <c r="A2812" t="s">
        <v>2771</v>
      </c>
      <c r="B2812">
        <v>32</v>
      </c>
      <c r="C2812" t="s">
        <v>4803</v>
      </c>
      <c r="D2812" t="s">
        <v>13</v>
      </c>
      <c r="E2812">
        <v>74</v>
      </c>
      <c r="F2812">
        <v>6</v>
      </c>
      <c r="G2812" t="s">
        <v>4797</v>
      </c>
      <c r="H2812" t="s">
        <v>4804</v>
      </c>
      <c r="I2812">
        <v>13.99</v>
      </c>
      <c r="J2812">
        <v>1</v>
      </c>
      <c r="K2812">
        <v>2.4700000000000002</v>
      </c>
      <c r="L2812">
        <v>1</v>
      </c>
      <c r="M2812" t="s">
        <v>4811</v>
      </c>
      <c r="N2812" t="s">
        <v>4899</v>
      </c>
      <c r="O2812" t="s">
        <v>4912</v>
      </c>
    </row>
    <row r="2813" spans="1:15" x14ac:dyDescent="0.35">
      <c r="A2813" t="s">
        <v>2772</v>
      </c>
      <c r="B2813">
        <v>46</v>
      </c>
      <c r="C2813" t="s">
        <v>4802</v>
      </c>
      <c r="D2813" t="s">
        <v>13</v>
      </c>
      <c r="E2813">
        <v>68</v>
      </c>
      <c r="F2813">
        <v>10</v>
      </c>
      <c r="G2813" t="s">
        <v>4798</v>
      </c>
      <c r="H2813" t="s">
        <v>4807</v>
      </c>
      <c r="I2813">
        <v>13.99</v>
      </c>
      <c r="J2813">
        <v>2</v>
      </c>
      <c r="K2813">
        <v>2.27</v>
      </c>
      <c r="L2813">
        <v>0</v>
      </c>
      <c r="M2813" t="s">
        <v>4808</v>
      </c>
      <c r="N2813" t="s">
        <v>4900</v>
      </c>
      <c r="O2813" t="s">
        <v>4910</v>
      </c>
    </row>
    <row r="2814" spans="1:15" x14ac:dyDescent="0.35">
      <c r="A2814" t="s">
        <v>2773</v>
      </c>
      <c r="B2814">
        <v>18</v>
      </c>
      <c r="C2814" t="s">
        <v>4803</v>
      </c>
      <c r="D2814" t="s">
        <v>15</v>
      </c>
      <c r="E2814">
        <v>113</v>
      </c>
      <c r="F2814">
        <v>36</v>
      </c>
      <c r="G2814" t="s">
        <v>4799</v>
      </c>
      <c r="H2814" t="s">
        <v>4806</v>
      </c>
      <c r="I2814">
        <v>17.989999999999998</v>
      </c>
      <c r="J2814">
        <v>2</v>
      </c>
      <c r="K2814">
        <v>3.77</v>
      </c>
      <c r="L2814">
        <v>0</v>
      </c>
      <c r="M2814" t="s">
        <v>4810</v>
      </c>
      <c r="N2814" t="s">
        <v>4900</v>
      </c>
      <c r="O2814" t="s">
        <v>4912</v>
      </c>
    </row>
    <row r="2815" spans="1:15" x14ac:dyDescent="0.35">
      <c r="A2815" t="s">
        <v>2774</v>
      </c>
      <c r="B2815">
        <v>47</v>
      </c>
      <c r="C2815" t="s">
        <v>4802</v>
      </c>
      <c r="D2815" t="s">
        <v>15</v>
      </c>
      <c r="E2815">
        <v>87</v>
      </c>
      <c r="F2815">
        <v>47</v>
      </c>
      <c r="G2815" t="s">
        <v>4799</v>
      </c>
      <c r="H2815" t="s">
        <v>4805</v>
      </c>
      <c r="I2815">
        <v>17.989999999999998</v>
      </c>
      <c r="J2815">
        <v>4</v>
      </c>
      <c r="K2815">
        <v>2.0299999999999998</v>
      </c>
      <c r="L2815">
        <v>0</v>
      </c>
      <c r="M2815" t="s">
        <v>4809</v>
      </c>
      <c r="N2815" t="s">
        <v>4900</v>
      </c>
      <c r="O2815" t="s">
        <v>4910</v>
      </c>
    </row>
    <row r="2816" spans="1:15" x14ac:dyDescent="0.35">
      <c r="A2816" t="s">
        <v>2775</v>
      </c>
      <c r="B2816">
        <v>43</v>
      </c>
      <c r="C2816" t="s">
        <v>4802</v>
      </c>
      <c r="D2816" t="s">
        <v>13</v>
      </c>
      <c r="E2816">
        <v>62</v>
      </c>
      <c r="F2816">
        <v>999</v>
      </c>
      <c r="G2816" t="s">
        <v>4799</v>
      </c>
      <c r="H2816" t="s">
        <v>4805</v>
      </c>
      <c r="I2816">
        <v>13.99</v>
      </c>
      <c r="J2816">
        <v>4</v>
      </c>
      <c r="K2816">
        <v>2.0699999999999998</v>
      </c>
      <c r="L2816">
        <v>0</v>
      </c>
      <c r="M2816" t="s">
        <v>4810</v>
      </c>
      <c r="N2816" t="s">
        <v>4900</v>
      </c>
      <c r="O2816" t="s">
        <v>4910</v>
      </c>
    </row>
    <row r="2817" spans="1:15" x14ac:dyDescent="0.35">
      <c r="A2817" t="s">
        <v>2776</v>
      </c>
      <c r="B2817">
        <v>21</v>
      </c>
      <c r="C2817" t="s">
        <v>4803</v>
      </c>
      <c r="D2817" t="s">
        <v>13</v>
      </c>
      <c r="E2817">
        <v>32</v>
      </c>
      <c r="F2817">
        <v>53</v>
      </c>
      <c r="G2817" t="s">
        <v>4797</v>
      </c>
      <c r="H2817" t="s">
        <v>4804</v>
      </c>
      <c r="I2817">
        <v>13.99</v>
      </c>
      <c r="J2817">
        <v>3</v>
      </c>
      <c r="K2817">
        <v>2.0299999999999998</v>
      </c>
      <c r="L2817">
        <v>1</v>
      </c>
      <c r="M2817" t="s">
        <v>4811</v>
      </c>
      <c r="N2817" t="s">
        <v>4899</v>
      </c>
      <c r="O2817" t="s">
        <v>4912</v>
      </c>
    </row>
    <row r="2818" spans="1:15" x14ac:dyDescent="0.35">
      <c r="A2818" t="s">
        <v>2777</v>
      </c>
      <c r="B2818">
        <v>47</v>
      </c>
      <c r="C2818" t="s">
        <v>4802</v>
      </c>
      <c r="D2818" t="s">
        <v>13</v>
      </c>
      <c r="E2818">
        <v>59</v>
      </c>
      <c r="F2818">
        <v>50</v>
      </c>
      <c r="G2818" t="s">
        <v>4798</v>
      </c>
      <c r="H2818" t="s">
        <v>4807</v>
      </c>
      <c r="I2818">
        <v>13.99</v>
      </c>
      <c r="J2818">
        <v>2</v>
      </c>
      <c r="K2818">
        <v>1.97</v>
      </c>
      <c r="L2818">
        <v>0</v>
      </c>
      <c r="M2818" t="s">
        <v>4810</v>
      </c>
      <c r="N2818" t="s">
        <v>4900</v>
      </c>
      <c r="O2818" t="s">
        <v>4910</v>
      </c>
    </row>
    <row r="2819" spans="1:15" x14ac:dyDescent="0.35">
      <c r="A2819" t="s">
        <v>2778</v>
      </c>
      <c r="B2819">
        <v>59</v>
      </c>
      <c r="C2819" t="s">
        <v>4803</v>
      </c>
      <c r="D2819" t="s">
        <v>13</v>
      </c>
      <c r="E2819">
        <v>53</v>
      </c>
      <c r="F2819">
        <v>47</v>
      </c>
      <c r="G2819" t="s">
        <v>4798</v>
      </c>
      <c r="H2819" t="s">
        <v>4806</v>
      </c>
      <c r="I2819">
        <v>13.99</v>
      </c>
      <c r="J2819">
        <v>1</v>
      </c>
      <c r="K2819">
        <v>1.77</v>
      </c>
      <c r="L2819">
        <v>0</v>
      </c>
      <c r="M2819" t="s">
        <v>4808</v>
      </c>
      <c r="N2819" t="s">
        <v>4900</v>
      </c>
      <c r="O2819" t="s">
        <v>4911</v>
      </c>
    </row>
    <row r="2820" spans="1:15" x14ac:dyDescent="0.35">
      <c r="A2820" t="s">
        <v>2779</v>
      </c>
      <c r="B2820">
        <v>53</v>
      </c>
      <c r="C2820" t="s">
        <v>4802</v>
      </c>
      <c r="D2820" t="s">
        <v>13</v>
      </c>
      <c r="E2820">
        <v>65</v>
      </c>
      <c r="F2820">
        <v>46</v>
      </c>
      <c r="G2820" t="s">
        <v>4797</v>
      </c>
      <c r="H2820" t="s">
        <v>4805</v>
      </c>
      <c r="I2820">
        <v>13.99</v>
      </c>
      <c r="J2820">
        <v>1</v>
      </c>
      <c r="K2820">
        <v>5</v>
      </c>
      <c r="L2820">
        <v>0</v>
      </c>
      <c r="M2820" t="s">
        <v>4812</v>
      </c>
      <c r="N2820" t="s">
        <v>4900</v>
      </c>
      <c r="O2820" t="s">
        <v>4910</v>
      </c>
    </row>
    <row r="2821" spans="1:15" x14ac:dyDescent="0.35">
      <c r="A2821" t="s">
        <v>2780</v>
      </c>
      <c r="B2821">
        <v>55</v>
      </c>
      <c r="C2821" t="s">
        <v>4803</v>
      </c>
      <c r="D2821" t="s">
        <v>15</v>
      </c>
      <c r="E2821">
        <v>66</v>
      </c>
      <c r="F2821">
        <v>43</v>
      </c>
      <c r="G2821" t="s">
        <v>4798</v>
      </c>
      <c r="H2821" t="s">
        <v>4806</v>
      </c>
      <c r="I2821">
        <v>17.989999999999998</v>
      </c>
      <c r="J2821">
        <v>3</v>
      </c>
      <c r="K2821">
        <v>2.2000000000000002</v>
      </c>
      <c r="L2821">
        <v>0</v>
      </c>
      <c r="M2821" t="s">
        <v>4812</v>
      </c>
      <c r="N2821" t="s">
        <v>4900</v>
      </c>
      <c r="O2821" t="s">
        <v>4911</v>
      </c>
    </row>
    <row r="2822" spans="1:15" x14ac:dyDescent="0.35">
      <c r="A2822" t="s">
        <v>2781</v>
      </c>
      <c r="B2822">
        <v>19</v>
      </c>
      <c r="C2822" t="s">
        <v>4803</v>
      </c>
      <c r="D2822" t="s">
        <v>14</v>
      </c>
      <c r="E2822">
        <v>31</v>
      </c>
      <c r="F2822">
        <v>45</v>
      </c>
      <c r="G2822" t="s">
        <v>4797</v>
      </c>
      <c r="H2822" t="s">
        <v>4806</v>
      </c>
      <c r="I2822">
        <v>8.99</v>
      </c>
      <c r="J2822">
        <v>1</v>
      </c>
      <c r="K2822">
        <v>1.03</v>
      </c>
      <c r="L2822">
        <v>0</v>
      </c>
      <c r="M2822" t="s">
        <v>4812</v>
      </c>
      <c r="N2822" t="s">
        <v>4900</v>
      </c>
      <c r="O2822" t="s">
        <v>4912</v>
      </c>
    </row>
    <row r="2823" spans="1:15" x14ac:dyDescent="0.35">
      <c r="A2823" t="s">
        <v>2782</v>
      </c>
      <c r="B2823">
        <v>45</v>
      </c>
      <c r="C2823" t="s">
        <v>4803</v>
      </c>
      <c r="D2823" t="s">
        <v>13</v>
      </c>
      <c r="E2823">
        <v>68</v>
      </c>
      <c r="F2823">
        <v>45</v>
      </c>
      <c r="G2823" t="s">
        <v>4798</v>
      </c>
      <c r="H2823" t="s">
        <v>4804</v>
      </c>
      <c r="I2823">
        <v>13.99</v>
      </c>
      <c r="J2823">
        <v>3</v>
      </c>
      <c r="K2823">
        <v>2.27</v>
      </c>
      <c r="L2823">
        <v>1</v>
      </c>
      <c r="M2823" t="s">
        <v>4812</v>
      </c>
      <c r="N2823" t="s">
        <v>4899</v>
      </c>
      <c r="O2823" t="s">
        <v>4910</v>
      </c>
    </row>
    <row r="2824" spans="1:15" x14ac:dyDescent="0.35">
      <c r="A2824" t="s">
        <v>2783</v>
      </c>
      <c r="B2824">
        <v>46</v>
      </c>
      <c r="C2824" t="s">
        <v>4802</v>
      </c>
      <c r="D2824" t="s">
        <v>13</v>
      </c>
      <c r="E2824">
        <v>68</v>
      </c>
      <c r="F2824">
        <v>52</v>
      </c>
      <c r="G2824" t="s">
        <v>4797</v>
      </c>
      <c r="H2824" t="s">
        <v>4805</v>
      </c>
      <c r="I2824">
        <v>13.99</v>
      </c>
      <c r="J2824">
        <v>1</v>
      </c>
      <c r="K2824">
        <v>2.27</v>
      </c>
      <c r="L2824">
        <v>0</v>
      </c>
      <c r="M2824" t="s">
        <v>4810</v>
      </c>
      <c r="N2824" t="s">
        <v>4900</v>
      </c>
      <c r="O2824" t="s">
        <v>4910</v>
      </c>
    </row>
    <row r="2825" spans="1:15" x14ac:dyDescent="0.35">
      <c r="A2825" t="s">
        <v>2784</v>
      </c>
      <c r="B2825">
        <v>63</v>
      </c>
      <c r="C2825" t="s">
        <v>4802</v>
      </c>
      <c r="D2825" t="s">
        <v>14</v>
      </c>
      <c r="E2825">
        <v>48</v>
      </c>
      <c r="F2825">
        <v>37</v>
      </c>
      <c r="G2825" t="s">
        <v>4798</v>
      </c>
      <c r="H2825" t="s">
        <v>4805</v>
      </c>
      <c r="I2825">
        <v>8.99</v>
      </c>
      <c r="J2825">
        <v>1</v>
      </c>
      <c r="K2825">
        <v>1.6</v>
      </c>
      <c r="L2825">
        <v>0</v>
      </c>
      <c r="M2825" t="s">
        <v>4808</v>
      </c>
      <c r="N2825" t="s">
        <v>4900</v>
      </c>
      <c r="O2825" t="s">
        <v>4911</v>
      </c>
    </row>
    <row r="2826" spans="1:15" x14ac:dyDescent="0.35">
      <c r="A2826" t="s">
        <v>2785</v>
      </c>
      <c r="B2826">
        <v>29</v>
      </c>
      <c r="C2826" t="s">
        <v>4802</v>
      </c>
      <c r="D2826" t="s">
        <v>13</v>
      </c>
      <c r="E2826">
        <v>35</v>
      </c>
      <c r="F2826">
        <v>6</v>
      </c>
      <c r="G2826" t="s">
        <v>4798</v>
      </c>
      <c r="H2826" t="s">
        <v>4804</v>
      </c>
      <c r="I2826">
        <v>13.99</v>
      </c>
      <c r="J2826">
        <v>4</v>
      </c>
      <c r="K2826">
        <v>1.17</v>
      </c>
      <c r="L2826">
        <v>0</v>
      </c>
      <c r="M2826" t="s">
        <v>4811</v>
      </c>
      <c r="N2826" t="s">
        <v>4900</v>
      </c>
      <c r="O2826" t="s">
        <v>4912</v>
      </c>
    </row>
    <row r="2827" spans="1:15" x14ac:dyDescent="0.35">
      <c r="A2827" t="s">
        <v>2786</v>
      </c>
      <c r="B2827">
        <v>23</v>
      </c>
      <c r="C2827" t="s">
        <v>4803</v>
      </c>
      <c r="D2827" t="s">
        <v>15</v>
      </c>
      <c r="E2827">
        <v>86</v>
      </c>
      <c r="F2827">
        <v>58</v>
      </c>
      <c r="G2827" t="s">
        <v>4799</v>
      </c>
      <c r="H2827" t="s">
        <v>4806</v>
      </c>
      <c r="I2827">
        <v>17.989999999999998</v>
      </c>
      <c r="J2827">
        <v>2</v>
      </c>
      <c r="K2827">
        <v>2.87</v>
      </c>
      <c r="L2827">
        <v>0</v>
      </c>
      <c r="M2827" t="s">
        <v>4812</v>
      </c>
      <c r="N2827" t="s">
        <v>4900</v>
      </c>
      <c r="O2827" t="s">
        <v>4912</v>
      </c>
    </row>
    <row r="2828" spans="1:15" x14ac:dyDescent="0.35">
      <c r="A2828" t="s">
        <v>2787</v>
      </c>
      <c r="B2828">
        <v>33</v>
      </c>
      <c r="C2828" t="s">
        <v>4803</v>
      </c>
      <c r="D2828" t="s">
        <v>14</v>
      </c>
      <c r="E2828">
        <v>50</v>
      </c>
      <c r="F2828">
        <v>32</v>
      </c>
      <c r="G2828" t="s">
        <v>4797</v>
      </c>
      <c r="H2828" t="s">
        <v>4804</v>
      </c>
      <c r="I2828">
        <v>8.99</v>
      </c>
      <c r="J2828">
        <v>2</v>
      </c>
      <c r="K2828">
        <v>1.67</v>
      </c>
      <c r="L2828">
        <v>0</v>
      </c>
      <c r="M2828" t="s">
        <v>4808</v>
      </c>
      <c r="N2828" t="s">
        <v>4900</v>
      </c>
      <c r="O2828" t="s">
        <v>4912</v>
      </c>
    </row>
    <row r="2829" spans="1:15" x14ac:dyDescent="0.35">
      <c r="A2829" t="s">
        <v>2788</v>
      </c>
      <c r="B2829">
        <v>47</v>
      </c>
      <c r="C2829" t="s">
        <v>4803</v>
      </c>
      <c r="D2829" t="s">
        <v>13</v>
      </c>
      <c r="E2829">
        <v>66</v>
      </c>
      <c r="F2829">
        <v>26</v>
      </c>
      <c r="G2829" t="s">
        <v>4798</v>
      </c>
      <c r="H2829" t="s">
        <v>4805</v>
      </c>
      <c r="I2829">
        <v>13.99</v>
      </c>
      <c r="J2829">
        <v>3</v>
      </c>
      <c r="K2829">
        <v>2.2000000000000002</v>
      </c>
      <c r="L2829">
        <v>0</v>
      </c>
      <c r="M2829" t="s">
        <v>4812</v>
      </c>
      <c r="N2829" t="s">
        <v>4900</v>
      </c>
      <c r="O2829" t="s">
        <v>4910</v>
      </c>
    </row>
    <row r="2830" spans="1:15" x14ac:dyDescent="0.35">
      <c r="A2830" t="s">
        <v>2789</v>
      </c>
      <c r="B2830">
        <v>24</v>
      </c>
      <c r="C2830" t="s">
        <v>4802</v>
      </c>
      <c r="D2830" t="s">
        <v>13</v>
      </c>
      <c r="E2830">
        <v>34</v>
      </c>
      <c r="F2830">
        <v>34</v>
      </c>
      <c r="G2830" t="s">
        <v>4799</v>
      </c>
      <c r="H2830" t="s">
        <v>4805</v>
      </c>
      <c r="I2830">
        <v>13.99</v>
      </c>
      <c r="J2830">
        <v>4</v>
      </c>
      <c r="K2830">
        <v>1.1299999999999999</v>
      </c>
      <c r="L2830">
        <v>1</v>
      </c>
      <c r="M2830" t="s">
        <v>4810</v>
      </c>
      <c r="N2830" t="s">
        <v>4899</v>
      </c>
      <c r="O2830" t="s">
        <v>4912</v>
      </c>
    </row>
    <row r="2831" spans="1:15" x14ac:dyDescent="0.35">
      <c r="A2831" t="s">
        <v>2790</v>
      </c>
      <c r="B2831">
        <v>26</v>
      </c>
      <c r="C2831" t="s">
        <v>4803</v>
      </c>
      <c r="D2831" t="s">
        <v>13</v>
      </c>
      <c r="E2831">
        <v>32</v>
      </c>
      <c r="F2831">
        <v>53</v>
      </c>
      <c r="G2831" t="s">
        <v>4797</v>
      </c>
      <c r="H2831" t="s">
        <v>4804</v>
      </c>
      <c r="I2831">
        <v>13.99</v>
      </c>
      <c r="J2831">
        <v>2</v>
      </c>
      <c r="K2831">
        <v>1.07</v>
      </c>
      <c r="L2831">
        <v>0</v>
      </c>
      <c r="M2831" t="s">
        <v>4809</v>
      </c>
      <c r="N2831" t="s">
        <v>4900</v>
      </c>
      <c r="O2831" t="s">
        <v>4912</v>
      </c>
    </row>
    <row r="2832" spans="1:15" x14ac:dyDescent="0.35">
      <c r="A2832" t="s">
        <v>2791</v>
      </c>
      <c r="B2832">
        <v>19</v>
      </c>
      <c r="C2832" t="s">
        <v>4803</v>
      </c>
      <c r="D2832" t="s">
        <v>13</v>
      </c>
      <c r="E2832">
        <v>68</v>
      </c>
      <c r="F2832">
        <v>39</v>
      </c>
      <c r="G2832" t="s">
        <v>4799</v>
      </c>
      <c r="H2832" t="s">
        <v>4805</v>
      </c>
      <c r="I2832">
        <v>13.99</v>
      </c>
      <c r="J2832">
        <v>1</v>
      </c>
      <c r="K2832">
        <v>2.27</v>
      </c>
      <c r="L2832">
        <v>0</v>
      </c>
      <c r="M2832" t="s">
        <v>4811</v>
      </c>
      <c r="N2832" t="s">
        <v>4900</v>
      </c>
      <c r="O2832" t="s">
        <v>4912</v>
      </c>
    </row>
    <row r="2833" spans="1:15" x14ac:dyDescent="0.35">
      <c r="A2833" t="s">
        <v>2792</v>
      </c>
      <c r="B2833">
        <v>46</v>
      </c>
      <c r="C2833" t="s">
        <v>4803</v>
      </c>
      <c r="D2833" t="s">
        <v>13</v>
      </c>
      <c r="E2833">
        <v>55</v>
      </c>
      <c r="F2833">
        <v>11</v>
      </c>
      <c r="G2833" t="s">
        <v>4799</v>
      </c>
      <c r="H2833" t="s">
        <v>4804</v>
      </c>
      <c r="I2833">
        <v>13.99</v>
      </c>
      <c r="J2833">
        <v>2</v>
      </c>
      <c r="K2833">
        <v>1.83</v>
      </c>
      <c r="L2833">
        <v>0</v>
      </c>
      <c r="M2833" t="s">
        <v>4810</v>
      </c>
      <c r="N2833" t="s">
        <v>4900</v>
      </c>
      <c r="O2833" t="s">
        <v>4910</v>
      </c>
    </row>
    <row r="2834" spans="1:15" x14ac:dyDescent="0.35">
      <c r="A2834" t="s">
        <v>2793</v>
      </c>
      <c r="B2834">
        <v>58</v>
      </c>
      <c r="C2834" t="s">
        <v>4803</v>
      </c>
      <c r="D2834" t="s">
        <v>13</v>
      </c>
      <c r="E2834">
        <v>63</v>
      </c>
      <c r="F2834">
        <v>45</v>
      </c>
      <c r="G2834" t="s">
        <v>4798</v>
      </c>
      <c r="H2834" t="s">
        <v>4804</v>
      </c>
      <c r="I2834">
        <v>13.99</v>
      </c>
      <c r="J2834">
        <v>4</v>
      </c>
      <c r="K2834">
        <v>2.1</v>
      </c>
      <c r="L2834">
        <v>1</v>
      </c>
      <c r="M2834" t="s">
        <v>4812</v>
      </c>
      <c r="N2834" t="s">
        <v>4899</v>
      </c>
      <c r="O2834" t="s">
        <v>4911</v>
      </c>
    </row>
    <row r="2835" spans="1:15" x14ac:dyDescent="0.35">
      <c r="A2835" t="s">
        <v>2794</v>
      </c>
      <c r="B2835">
        <v>19</v>
      </c>
      <c r="C2835" t="s">
        <v>4802</v>
      </c>
      <c r="D2835" t="s">
        <v>15</v>
      </c>
      <c r="E2835">
        <v>59</v>
      </c>
      <c r="F2835">
        <v>24</v>
      </c>
      <c r="G2835" t="s">
        <v>4797</v>
      </c>
      <c r="H2835" t="s">
        <v>4805</v>
      </c>
      <c r="I2835">
        <v>17.989999999999998</v>
      </c>
      <c r="J2835">
        <v>5</v>
      </c>
      <c r="K2835">
        <v>1.97</v>
      </c>
      <c r="L2835">
        <v>0</v>
      </c>
      <c r="M2835" t="s">
        <v>4809</v>
      </c>
      <c r="N2835" t="s">
        <v>4900</v>
      </c>
      <c r="O2835" t="s">
        <v>4912</v>
      </c>
    </row>
    <row r="2836" spans="1:15" x14ac:dyDescent="0.35">
      <c r="A2836" t="s">
        <v>2795</v>
      </c>
      <c r="B2836">
        <v>62</v>
      </c>
      <c r="C2836" t="s">
        <v>4802</v>
      </c>
      <c r="D2836" t="s">
        <v>13</v>
      </c>
      <c r="E2836">
        <v>53</v>
      </c>
      <c r="F2836">
        <v>38</v>
      </c>
      <c r="G2836" t="s">
        <v>4798</v>
      </c>
      <c r="H2836" t="s">
        <v>4804</v>
      </c>
      <c r="I2836">
        <v>13.99</v>
      </c>
      <c r="J2836">
        <v>1</v>
      </c>
      <c r="K2836">
        <v>1.77</v>
      </c>
      <c r="L2836">
        <v>1</v>
      </c>
      <c r="M2836" t="s">
        <v>4810</v>
      </c>
      <c r="N2836" t="s">
        <v>4899</v>
      </c>
      <c r="O2836" t="s">
        <v>4911</v>
      </c>
    </row>
    <row r="2837" spans="1:15" x14ac:dyDescent="0.35">
      <c r="A2837" t="s">
        <v>2796</v>
      </c>
      <c r="B2837">
        <v>43</v>
      </c>
      <c r="C2837" t="s">
        <v>4803</v>
      </c>
      <c r="D2837" t="s">
        <v>13</v>
      </c>
      <c r="E2837">
        <v>64</v>
      </c>
      <c r="F2837">
        <v>999</v>
      </c>
      <c r="G2837" t="s">
        <v>4797</v>
      </c>
      <c r="H2837" t="s">
        <v>4806</v>
      </c>
      <c r="I2837">
        <v>13.99</v>
      </c>
      <c r="J2837">
        <v>1</v>
      </c>
      <c r="K2837">
        <v>5</v>
      </c>
      <c r="L2837">
        <v>0</v>
      </c>
      <c r="M2837" t="s">
        <v>4808</v>
      </c>
      <c r="N2837" t="s">
        <v>4900</v>
      </c>
      <c r="O2837" t="s">
        <v>4910</v>
      </c>
    </row>
    <row r="2838" spans="1:15" x14ac:dyDescent="0.35">
      <c r="A2838" t="s">
        <v>2797</v>
      </c>
      <c r="B2838">
        <v>35</v>
      </c>
      <c r="C2838" t="s">
        <v>4802</v>
      </c>
      <c r="D2838" t="s">
        <v>13</v>
      </c>
      <c r="E2838">
        <v>46</v>
      </c>
      <c r="F2838">
        <v>27</v>
      </c>
      <c r="G2838" t="s">
        <v>4799</v>
      </c>
      <c r="H2838" t="s">
        <v>4804</v>
      </c>
      <c r="I2838">
        <v>13.99</v>
      </c>
      <c r="J2838">
        <v>3</v>
      </c>
      <c r="K2838">
        <v>1.53</v>
      </c>
      <c r="L2838">
        <v>0</v>
      </c>
      <c r="M2838" t="s">
        <v>4812</v>
      </c>
      <c r="N2838" t="s">
        <v>4900</v>
      </c>
      <c r="O2838" t="s">
        <v>4910</v>
      </c>
    </row>
    <row r="2839" spans="1:15" x14ac:dyDescent="0.35">
      <c r="A2839" t="s">
        <v>2798</v>
      </c>
      <c r="B2839">
        <v>58</v>
      </c>
      <c r="C2839" t="s">
        <v>4803</v>
      </c>
      <c r="D2839" t="s">
        <v>15</v>
      </c>
      <c r="E2839">
        <v>64</v>
      </c>
      <c r="F2839">
        <v>40</v>
      </c>
      <c r="G2839" t="s">
        <v>4798</v>
      </c>
      <c r="H2839" t="s">
        <v>4805</v>
      </c>
      <c r="I2839">
        <v>17.989999999999998</v>
      </c>
      <c r="J2839">
        <v>4</v>
      </c>
      <c r="K2839">
        <v>2.13</v>
      </c>
      <c r="L2839">
        <v>1</v>
      </c>
      <c r="M2839" t="s">
        <v>4812</v>
      </c>
      <c r="N2839" t="s">
        <v>4899</v>
      </c>
      <c r="O2839" t="s">
        <v>4911</v>
      </c>
    </row>
    <row r="2840" spans="1:15" x14ac:dyDescent="0.35">
      <c r="A2840" t="s">
        <v>2799</v>
      </c>
      <c r="B2840">
        <v>43</v>
      </c>
      <c r="C2840" t="s">
        <v>4802</v>
      </c>
      <c r="D2840" t="s">
        <v>13</v>
      </c>
      <c r="E2840">
        <v>35</v>
      </c>
      <c r="F2840">
        <v>5</v>
      </c>
      <c r="G2840" t="s">
        <v>4800</v>
      </c>
      <c r="H2840" t="s">
        <v>4804</v>
      </c>
      <c r="I2840">
        <v>13.99</v>
      </c>
      <c r="J2840">
        <v>2</v>
      </c>
      <c r="K2840">
        <v>1.17</v>
      </c>
      <c r="L2840">
        <v>0</v>
      </c>
      <c r="M2840" t="s">
        <v>4810</v>
      </c>
      <c r="N2840" t="s">
        <v>4900</v>
      </c>
      <c r="O2840" t="s">
        <v>4910</v>
      </c>
    </row>
    <row r="2841" spans="1:15" x14ac:dyDescent="0.35">
      <c r="A2841" t="s">
        <v>2800</v>
      </c>
      <c r="B2841">
        <v>45</v>
      </c>
      <c r="C2841" t="s">
        <v>4802</v>
      </c>
      <c r="D2841" t="s">
        <v>13</v>
      </c>
      <c r="E2841">
        <v>47</v>
      </c>
      <c r="F2841">
        <v>43</v>
      </c>
      <c r="G2841" t="s">
        <v>4798</v>
      </c>
      <c r="H2841" t="s">
        <v>4805</v>
      </c>
      <c r="I2841">
        <v>13.99</v>
      </c>
      <c r="J2841">
        <v>2</v>
      </c>
      <c r="K2841">
        <v>1.57</v>
      </c>
      <c r="L2841">
        <v>0</v>
      </c>
      <c r="M2841" t="s">
        <v>4809</v>
      </c>
      <c r="N2841" t="s">
        <v>4900</v>
      </c>
      <c r="O2841" t="s">
        <v>4910</v>
      </c>
    </row>
    <row r="2842" spans="1:15" x14ac:dyDescent="0.35">
      <c r="A2842" t="s">
        <v>2801</v>
      </c>
      <c r="B2842">
        <v>27</v>
      </c>
      <c r="C2842" t="s">
        <v>4803</v>
      </c>
      <c r="D2842" t="s">
        <v>13</v>
      </c>
      <c r="E2842">
        <v>78</v>
      </c>
      <c r="F2842">
        <v>59</v>
      </c>
      <c r="G2842" t="s">
        <v>4800</v>
      </c>
      <c r="H2842" t="s">
        <v>4804</v>
      </c>
      <c r="I2842">
        <v>13.99</v>
      </c>
      <c r="J2842">
        <v>1</v>
      </c>
      <c r="K2842">
        <v>2.6</v>
      </c>
      <c r="L2842">
        <v>0</v>
      </c>
      <c r="M2842" t="s">
        <v>4808</v>
      </c>
      <c r="N2842" t="s">
        <v>4900</v>
      </c>
      <c r="O2842" t="s">
        <v>4912</v>
      </c>
    </row>
    <row r="2843" spans="1:15" x14ac:dyDescent="0.35">
      <c r="A2843" t="s">
        <v>2802</v>
      </c>
      <c r="B2843">
        <v>47</v>
      </c>
      <c r="C2843" t="s">
        <v>4803</v>
      </c>
      <c r="D2843" t="s">
        <v>13</v>
      </c>
      <c r="E2843">
        <v>57</v>
      </c>
      <c r="F2843">
        <v>27</v>
      </c>
      <c r="G2843" t="s">
        <v>4798</v>
      </c>
      <c r="H2843" t="s">
        <v>4806</v>
      </c>
      <c r="I2843">
        <v>13.99</v>
      </c>
      <c r="J2843">
        <v>1</v>
      </c>
      <c r="K2843">
        <v>1.9</v>
      </c>
      <c r="L2843">
        <v>0</v>
      </c>
      <c r="M2843" t="s">
        <v>4811</v>
      </c>
      <c r="N2843" t="s">
        <v>4900</v>
      </c>
      <c r="O2843" t="s">
        <v>4910</v>
      </c>
    </row>
    <row r="2844" spans="1:15" x14ac:dyDescent="0.35">
      <c r="A2844" t="s">
        <v>2803</v>
      </c>
      <c r="B2844">
        <v>45</v>
      </c>
      <c r="C2844" t="s">
        <v>4802</v>
      </c>
      <c r="D2844" t="s">
        <v>13</v>
      </c>
      <c r="E2844">
        <v>70</v>
      </c>
      <c r="F2844">
        <v>12</v>
      </c>
      <c r="G2844" t="s">
        <v>4798</v>
      </c>
      <c r="H2844" t="s">
        <v>4806</v>
      </c>
      <c r="I2844">
        <v>13.99</v>
      </c>
      <c r="J2844">
        <v>3</v>
      </c>
      <c r="K2844">
        <v>2.0299999999999998</v>
      </c>
      <c r="L2844">
        <v>0</v>
      </c>
      <c r="M2844" t="s">
        <v>4810</v>
      </c>
      <c r="N2844" t="s">
        <v>4900</v>
      </c>
      <c r="O2844" t="s">
        <v>4910</v>
      </c>
    </row>
    <row r="2845" spans="1:15" x14ac:dyDescent="0.35">
      <c r="A2845" t="s">
        <v>2804</v>
      </c>
      <c r="B2845">
        <v>51</v>
      </c>
      <c r="C2845" t="s">
        <v>4802</v>
      </c>
      <c r="D2845" t="s">
        <v>13</v>
      </c>
      <c r="E2845">
        <v>63</v>
      </c>
      <c r="F2845">
        <v>15</v>
      </c>
      <c r="G2845" t="s">
        <v>4800</v>
      </c>
      <c r="H2845" t="s">
        <v>4805</v>
      </c>
      <c r="I2845">
        <v>13.99</v>
      </c>
      <c r="J2845">
        <v>3</v>
      </c>
      <c r="K2845">
        <v>2.1</v>
      </c>
      <c r="L2845">
        <v>0</v>
      </c>
      <c r="M2845" t="s">
        <v>4811</v>
      </c>
      <c r="N2845" t="s">
        <v>4900</v>
      </c>
      <c r="O2845" t="s">
        <v>4910</v>
      </c>
    </row>
    <row r="2846" spans="1:15" x14ac:dyDescent="0.35">
      <c r="A2846" t="s">
        <v>2805</v>
      </c>
      <c r="B2846">
        <v>44</v>
      </c>
      <c r="C2846" t="s">
        <v>4802</v>
      </c>
      <c r="D2846" t="s">
        <v>13</v>
      </c>
      <c r="E2846">
        <v>64</v>
      </c>
      <c r="F2846">
        <v>1</v>
      </c>
      <c r="G2846" t="s">
        <v>4798</v>
      </c>
      <c r="H2846" t="s">
        <v>4805</v>
      </c>
      <c r="I2846">
        <v>13.99</v>
      </c>
      <c r="J2846">
        <v>1</v>
      </c>
      <c r="K2846">
        <v>2.13</v>
      </c>
      <c r="L2846">
        <v>0</v>
      </c>
      <c r="M2846" t="s">
        <v>4810</v>
      </c>
      <c r="N2846" t="s">
        <v>4900</v>
      </c>
      <c r="O2846" t="s">
        <v>4910</v>
      </c>
    </row>
    <row r="2847" spans="1:15" x14ac:dyDescent="0.35">
      <c r="A2847" t="s">
        <v>2806</v>
      </c>
      <c r="B2847">
        <v>33</v>
      </c>
      <c r="C2847" t="s">
        <v>4803</v>
      </c>
      <c r="D2847" t="s">
        <v>15</v>
      </c>
      <c r="E2847">
        <v>71</v>
      </c>
      <c r="F2847">
        <v>35</v>
      </c>
      <c r="G2847" t="s">
        <v>4799</v>
      </c>
      <c r="H2847" t="s">
        <v>4806</v>
      </c>
      <c r="I2847">
        <v>17.989999999999998</v>
      </c>
      <c r="J2847">
        <v>2</v>
      </c>
      <c r="K2847">
        <v>2.37</v>
      </c>
      <c r="L2847">
        <v>0</v>
      </c>
      <c r="M2847" t="s">
        <v>4809</v>
      </c>
      <c r="N2847" t="s">
        <v>4900</v>
      </c>
      <c r="O2847" t="s">
        <v>4912</v>
      </c>
    </row>
    <row r="2848" spans="1:15" x14ac:dyDescent="0.35">
      <c r="A2848" t="s">
        <v>2807</v>
      </c>
      <c r="B2848">
        <v>52</v>
      </c>
      <c r="C2848" t="s">
        <v>4802</v>
      </c>
      <c r="D2848" t="s">
        <v>13</v>
      </c>
      <c r="E2848">
        <v>68</v>
      </c>
      <c r="F2848">
        <v>34</v>
      </c>
      <c r="G2848" t="s">
        <v>4798</v>
      </c>
      <c r="H2848" t="s">
        <v>4804</v>
      </c>
      <c r="I2848">
        <v>13.99</v>
      </c>
      <c r="J2848">
        <v>3</v>
      </c>
      <c r="K2848">
        <v>2.27</v>
      </c>
      <c r="L2848">
        <v>0</v>
      </c>
      <c r="M2848" t="s">
        <v>4811</v>
      </c>
      <c r="N2848" t="s">
        <v>4900</v>
      </c>
      <c r="O2848" t="s">
        <v>4910</v>
      </c>
    </row>
    <row r="2849" spans="1:15" x14ac:dyDescent="0.35">
      <c r="A2849" t="s">
        <v>2808</v>
      </c>
      <c r="B2849">
        <v>26</v>
      </c>
      <c r="C2849" t="s">
        <v>4802</v>
      </c>
      <c r="D2849" t="s">
        <v>13</v>
      </c>
      <c r="E2849">
        <v>68</v>
      </c>
      <c r="F2849">
        <v>5</v>
      </c>
      <c r="G2849" t="s">
        <v>4799</v>
      </c>
      <c r="H2849" t="s">
        <v>4804</v>
      </c>
      <c r="I2849">
        <v>13.99</v>
      </c>
      <c r="J2849">
        <v>1</v>
      </c>
      <c r="K2849">
        <v>2.27</v>
      </c>
      <c r="L2849">
        <v>0</v>
      </c>
      <c r="M2849" t="s">
        <v>4810</v>
      </c>
      <c r="N2849" t="s">
        <v>4900</v>
      </c>
      <c r="O2849" t="s">
        <v>4912</v>
      </c>
    </row>
    <row r="2850" spans="1:15" x14ac:dyDescent="0.35">
      <c r="A2850" t="s">
        <v>2809</v>
      </c>
      <c r="B2850">
        <v>18</v>
      </c>
      <c r="C2850" t="s">
        <v>4803</v>
      </c>
      <c r="D2850" t="s">
        <v>13</v>
      </c>
      <c r="E2850">
        <v>67</v>
      </c>
      <c r="F2850">
        <v>59</v>
      </c>
      <c r="G2850" t="s">
        <v>4799</v>
      </c>
      <c r="H2850" t="s">
        <v>4805</v>
      </c>
      <c r="I2850">
        <v>13.99</v>
      </c>
      <c r="J2850">
        <v>2</v>
      </c>
      <c r="K2850">
        <v>2.23</v>
      </c>
      <c r="L2850">
        <v>0</v>
      </c>
      <c r="M2850" t="s">
        <v>4809</v>
      </c>
      <c r="N2850" t="s">
        <v>4900</v>
      </c>
      <c r="O2850" t="s">
        <v>4912</v>
      </c>
    </row>
    <row r="2851" spans="1:15" x14ac:dyDescent="0.35">
      <c r="A2851" t="s">
        <v>2810</v>
      </c>
      <c r="B2851">
        <v>44</v>
      </c>
      <c r="C2851" t="s">
        <v>4803</v>
      </c>
      <c r="D2851" t="s">
        <v>13</v>
      </c>
      <c r="E2851">
        <v>35</v>
      </c>
      <c r="F2851">
        <v>58</v>
      </c>
      <c r="G2851" t="s">
        <v>4798</v>
      </c>
      <c r="H2851" t="s">
        <v>4804</v>
      </c>
      <c r="I2851">
        <v>13.99</v>
      </c>
      <c r="J2851">
        <v>1</v>
      </c>
      <c r="K2851">
        <v>1.17</v>
      </c>
      <c r="L2851">
        <v>0</v>
      </c>
      <c r="M2851" t="s">
        <v>4812</v>
      </c>
      <c r="N2851" t="s">
        <v>4900</v>
      </c>
      <c r="O2851" t="s">
        <v>4910</v>
      </c>
    </row>
    <row r="2852" spans="1:15" x14ac:dyDescent="0.35">
      <c r="A2852" t="s">
        <v>2811</v>
      </c>
      <c r="B2852">
        <v>29</v>
      </c>
      <c r="C2852" t="s">
        <v>4802</v>
      </c>
      <c r="D2852" t="s">
        <v>13</v>
      </c>
      <c r="E2852">
        <v>61</v>
      </c>
      <c r="F2852">
        <v>21</v>
      </c>
      <c r="G2852" t="s">
        <v>4798</v>
      </c>
      <c r="H2852" t="s">
        <v>4805</v>
      </c>
      <c r="I2852">
        <v>13.99</v>
      </c>
      <c r="J2852">
        <v>3</v>
      </c>
      <c r="K2852">
        <v>2.0299999999999998</v>
      </c>
      <c r="L2852">
        <v>0</v>
      </c>
      <c r="M2852" t="s">
        <v>4812</v>
      </c>
      <c r="N2852" t="s">
        <v>4900</v>
      </c>
      <c r="O2852" t="s">
        <v>4912</v>
      </c>
    </row>
    <row r="2853" spans="1:15" x14ac:dyDescent="0.35">
      <c r="A2853" t="s">
        <v>2812</v>
      </c>
      <c r="B2853">
        <v>44</v>
      </c>
      <c r="C2853" t="s">
        <v>4803</v>
      </c>
      <c r="D2853" t="s">
        <v>13</v>
      </c>
      <c r="E2853">
        <v>64</v>
      </c>
      <c r="F2853">
        <v>28</v>
      </c>
      <c r="G2853" t="s">
        <v>4798</v>
      </c>
      <c r="H2853" t="s">
        <v>4804</v>
      </c>
      <c r="I2853">
        <v>13.99</v>
      </c>
      <c r="J2853">
        <v>2</v>
      </c>
      <c r="K2853">
        <v>2.13</v>
      </c>
      <c r="L2853">
        <v>0</v>
      </c>
      <c r="M2853" t="s">
        <v>4810</v>
      </c>
      <c r="N2853" t="s">
        <v>4900</v>
      </c>
      <c r="O2853" t="s">
        <v>4910</v>
      </c>
    </row>
    <row r="2854" spans="1:15" x14ac:dyDescent="0.35">
      <c r="A2854" t="s">
        <v>2813</v>
      </c>
      <c r="B2854">
        <v>48</v>
      </c>
      <c r="C2854" t="s">
        <v>4803</v>
      </c>
      <c r="D2854" t="s">
        <v>13</v>
      </c>
      <c r="E2854">
        <v>49</v>
      </c>
      <c r="F2854">
        <v>19</v>
      </c>
      <c r="G2854" t="s">
        <v>4798</v>
      </c>
      <c r="H2854" t="s">
        <v>4804</v>
      </c>
      <c r="I2854">
        <v>13.99</v>
      </c>
      <c r="J2854">
        <v>2</v>
      </c>
      <c r="K2854">
        <v>1.63</v>
      </c>
      <c r="L2854">
        <v>0</v>
      </c>
      <c r="M2854" t="s">
        <v>4810</v>
      </c>
      <c r="N2854" t="s">
        <v>4900</v>
      </c>
      <c r="O2854" t="s">
        <v>4910</v>
      </c>
    </row>
    <row r="2855" spans="1:15" x14ac:dyDescent="0.35">
      <c r="A2855" t="s">
        <v>2814</v>
      </c>
      <c r="B2855">
        <v>20</v>
      </c>
      <c r="C2855" t="s">
        <v>4803</v>
      </c>
      <c r="D2855" t="s">
        <v>15</v>
      </c>
      <c r="E2855">
        <v>58</v>
      </c>
      <c r="F2855">
        <v>7</v>
      </c>
      <c r="G2855" t="s">
        <v>4797</v>
      </c>
      <c r="H2855" t="s">
        <v>4806</v>
      </c>
      <c r="I2855">
        <v>17.989999999999998</v>
      </c>
      <c r="J2855">
        <v>2</v>
      </c>
      <c r="K2855">
        <v>1.93</v>
      </c>
      <c r="L2855">
        <v>1</v>
      </c>
      <c r="M2855" t="s">
        <v>4812</v>
      </c>
      <c r="N2855" t="s">
        <v>4899</v>
      </c>
      <c r="O2855" t="s">
        <v>4912</v>
      </c>
    </row>
    <row r="2856" spans="1:15" x14ac:dyDescent="0.35">
      <c r="A2856" t="s">
        <v>2815</v>
      </c>
      <c r="B2856">
        <v>50</v>
      </c>
      <c r="C2856" t="s">
        <v>4803</v>
      </c>
      <c r="D2856" t="s">
        <v>15</v>
      </c>
      <c r="E2856">
        <v>111</v>
      </c>
      <c r="F2856">
        <v>57</v>
      </c>
      <c r="G2856" t="s">
        <v>4799</v>
      </c>
      <c r="H2856" t="s">
        <v>4804</v>
      </c>
      <c r="I2856">
        <v>17.989999999999998</v>
      </c>
      <c r="J2856">
        <v>2</v>
      </c>
      <c r="K2856">
        <v>3.7</v>
      </c>
      <c r="L2856">
        <v>0</v>
      </c>
      <c r="M2856" t="s">
        <v>4810</v>
      </c>
      <c r="N2856" t="s">
        <v>4900</v>
      </c>
      <c r="O2856" t="s">
        <v>4910</v>
      </c>
    </row>
    <row r="2857" spans="1:15" x14ac:dyDescent="0.35">
      <c r="A2857" t="s">
        <v>2816</v>
      </c>
      <c r="B2857">
        <v>56</v>
      </c>
      <c r="C2857" t="s">
        <v>4802</v>
      </c>
      <c r="D2857" t="s">
        <v>13</v>
      </c>
      <c r="E2857">
        <v>38</v>
      </c>
      <c r="F2857">
        <v>33</v>
      </c>
      <c r="G2857" t="s">
        <v>4799</v>
      </c>
      <c r="H2857" t="s">
        <v>4805</v>
      </c>
      <c r="I2857">
        <v>13.99</v>
      </c>
      <c r="J2857">
        <v>1</v>
      </c>
      <c r="K2857">
        <v>1.27</v>
      </c>
      <c r="L2857">
        <v>0</v>
      </c>
      <c r="M2857" t="s">
        <v>4809</v>
      </c>
      <c r="N2857" t="s">
        <v>4900</v>
      </c>
      <c r="O2857" t="s">
        <v>4911</v>
      </c>
    </row>
    <row r="2858" spans="1:15" x14ac:dyDescent="0.35">
      <c r="A2858" t="s">
        <v>2817</v>
      </c>
      <c r="B2858">
        <v>43</v>
      </c>
      <c r="C2858" t="s">
        <v>4803</v>
      </c>
      <c r="D2858" t="s">
        <v>15</v>
      </c>
      <c r="E2858">
        <v>91</v>
      </c>
      <c r="F2858">
        <v>46</v>
      </c>
      <c r="G2858" t="s">
        <v>4799</v>
      </c>
      <c r="H2858" t="s">
        <v>4804</v>
      </c>
      <c r="I2858">
        <v>17.989999999999998</v>
      </c>
      <c r="J2858">
        <v>3</v>
      </c>
      <c r="K2858">
        <v>3.03</v>
      </c>
      <c r="L2858">
        <v>0</v>
      </c>
      <c r="M2858" t="s">
        <v>4810</v>
      </c>
      <c r="N2858" t="s">
        <v>4900</v>
      </c>
      <c r="O2858" t="s">
        <v>4910</v>
      </c>
    </row>
    <row r="2859" spans="1:15" x14ac:dyDescent="0.35">
      <c r="A2859" t="s">
        <v>2818</v>
      </c>
      <c r="B2859">
        <v>60</v>
      </c>
      <c r="C2859" t="s">
        <v>4802</v>
      </c>
      <c r="D2859" t="s">
        <v>13</v>
      </c>
      <c r="E2859">
        <v>43</v>
      </c>
      <c r="F2859">
        <v>52</v>
      </c>
      <c r="G2859" t="s">
        <v>4798</v>
      </c>
      <c r="H2859" t="s">
        <v>4804</v>
      </c>
      <c r="I2859">
        <v>13.99</v>
      </c>
      <c r="J2859">
        <v>1</v>
      </c>
      <c r="K2859">
        <v>1.43</v>
      </c>
      <c r="L2859">
        <v>0</v>
      </c>
      <c r="M2859" t="s">
        <v>4809</v>
      </c>
      <c r="N2859" t="s">
        <v>4900</v>
      </c>
      <c r="O2859" t="s">
        <v>4911</v>
      </c>
    </row>
    <row r="2860" spans="1:15" x14ac:dyDescent="0.35">
      <c r="A2860" t="s">
        <v>2819</v>
      </c>
      <c r="B2860">
        <v>32</v>
      </c>
      <c r="C2860" t="s">
        <v>4803</v>
      </c>
      <c r="D2860" t="s">
        <v>15</v>
      </c>
      <c r="E2860">
        <v>80</v>
      </c>
      <c r="F2860">
        <v>45</v>
      </c>
      <c r="G2860" t="s">
        <v>4799</v>
      </c>
      <c r="H2860" t="s">
        <v>4806</v>
      </c>
      <c r="I2860">
        <v>17.989999999999998</v>
      </c>
      <c r="J2860">
        <v>3</v>
      </c>
      <c r="K2860">
        <v>2.67</v>
      </c>
      <c r="L2860">
        <v>1</v>
      </c>
      <c r="M2860" t="s">
        <v>4810</v>
      </c>
      <c r="N2860" t="s">
        <v>4899</v>
      </c>
      <c r="O2860" t="s">
        <v>4912</v>
      </c>
    </row>
    <row r="2861" spans="1:15" x14ac:dyDescent="0.35">
      <c r="A2861" t="s">
        <v>2820</v>
      </c>
      <c r="B2861">
        <v>36</v>
      </c>
      <c r="C2861" t="s">
        <v>4802</v>
      </c>
      <c r="D2861" t="s">
        <v>13</v>
      </c>
      <c r="E2861">
        <v>38</v>
      </c>
      <c r="F2861">
        <v>58</v>
      </c>
      <c r="G2861" t="s">
        <v>4797</v>
      </c>
      <c r="H2861" t="s">
        <v>4804</v>
      </c>
      <c r="I2861">
        <v>13.99</v>
      </c>
      <c r="J2861">
        <v>1</v>
      </c>
      <c r="K2861">
        <v>1.27</v>
      </c>
      <c r="L2861">
        <v>0</v>
      </c>
      <c r="M2861" t="s">
        <v>4809</v>
      </c>
      <c r="N2861" t="s">
        <v>4900</v>
      </c>
      <c r="O2861" t="s">
        <v>4910</v>
      </c>
    </row>
    <row r="2862" spans="1:15" x14ac:dyDescent="0.35">
      <c r="A2862" t="s">
        <v>2821</v>
      </c>
      <c r="B2862">
        <v>28</v>
      </c>
      <c r="C2862" t="s">
        <v>4802</v>
      </c>
      <c r="D2862" t="s">
        <v>13</v>
      </c>
      <c r="E2862">
        <v>49</v>
      </c>
      <c r="F2862">
        <v>12</v>
      </c>
      <c r="G2862" t="s">
        <v>4798</v>
      </c>
      <c r="H2862" t="s">
        <v>4806</v>
      </c>
      <c r="I2862">
        <v>13.99</v>
      </c>
      <c r="J2862">
        <v>1</v>
      </c>
      <c r="K2862">
        <v>2.0299999999999998</v>
      </c>
      <c r="L2862">
        <v>1</v>
      </c>
      <c r="M2862" t="s">
        <v>4810</v>
      </c>
      <c r="N2862" t="s">
        <v>4899</v>
      </c>
      <c r="O2862" t="s">
        <v>4912</v>
      </c>
    </row>
    <row r="2863" spans="1:15" x14ac:dyDescent="0.35">
      <c r="A2863" t="s">
        <v>2822</v>
      </c>
      <c r="B2863">
        <v>63</v>
      </c>
      <c r="C2863" t="s">
        <v>4803</v>
      </c>
      <c r="D2863" t="s">
        <v>13</v>
      </c>
      <c r="E2863">
        <v>33</v>
      </c>
      <c r="F2863">
        <v>999</v>
      </c>
      <c r="G2863" t="s">
        <v>4799</v>
      </c>
      <c r="H2863" t="s">
        <v>4805</v>
      </c>
      <c r="I2863">
        <v>13.99</v>
      </c>
      <c r="J2863">
        <v>1</v>
      </c>
      <c r="K2863">
        <v>1.1000000000000001</v>
      </c>
      <c r="L2863">
        <v>0</v>
      </c>
      <c r="M2863" t="s">
        <v>4810</v>
      </c>
      <c r="N2863" t="s">
        <v>4900</v>
      </c>
      <c r="O2863" t="s">
        <v>4911</v>
      </c>
    </row>
    <row r="2864" spans="1:15" x14ac:dyDescent="0.35">
      <c r="A2864" t="s">
        <v>2823</v>
      </c>
      <c r="B2864">
        <v>43</v>
      </c>
      <c r="C2864" t="s">
        <v>4803</v>
      </c>
      <c r="D2864" t="s">
        <v>15</v>
      </c>
      <c r="E2864">
        <v>111</v>
      </c>
      <c r="F2864">
        <v>30</v>
      </c>
      <c r="G2864" t="s">
        <v>4797</v>
      </c>
      <c r="H2864" t="s">
        <v>4804</v>
      </c>
      <c r="I2864">
        <v>17.989999999999998</v>
      </c>
      <c r="J2864">
        <v>3</v>
      </c>
      <c r="K2864">
        <v>3.7</v>
      </c>
      <c r="L2864">
        <v>0</v>
      </c>
      <c r="M2864" t="s">
        <v>4810</v>
      </c>
      <c r="N2864" t="s">
        <v>4900</v>
      </c>
      <c r="O2864" t="s">
        <v>4910</v>
      </c>
    </row>
    <row r="2865" spans="1:15" x14ac:dyDescent="0.35">
      <c r="A2865" t="s">
        <v>2824</v>
      </c>
      <c r="B2865">
        <v>39</v>
      </c>
      <c r="C2865" t="s">
        <v>4803</v>
      </c>
      <c r="D2865" t="s">
        <v>13</v>
      </c>
      <c r="E2865">
        <v>67</v>
      </c>
      <c r="F2865">
        <v>3</v>
      </c>
      <c r="G2865" t="s">
        <v>4797</v>
      </c>
      <c r="H2865" t="s">
        <v>4804</v>
      </c>
      <c r="I2865">
        <v>13.99</v>
      </c>
      <c r="J2865">
        <v>3</v>
      </c>
      <c r="K2865">
        <v>2.23</v>
      </c>
      <c r="L2865">
        <v>0</v>
      </c>
      <c r="M2865" t="s">
        <v>4810</v>
      </c>
      <c r="N2865" t="s">
        <v>4900</v>
      </c>
      <c r="O2865" t="s">
        <v>4910</v>
      </c>
    </row>
    <row r="2866" spans="1:15" x14ac:dyDescent="0.35">
      <c r="A2866" t="s">
        <v>2825</v>
      </c>
      <c r="B2866">
        <v>27</v>
      </c>
      <c r="C2866" t="s">
        <v>4803</v>
      </c>
      <c r="D2866" t="s">
        <v>15</v>
      </c>
      <c r="E2866">
        <v>99</v>
      </c>
      <c r="F2866">
        <v>38</v>
      </c>
      <c r="G2866" t="s">
        <v>4799</v>
      </c>
      <c r="H2866" t="s">
        <v>4805</v>
      </c>
      <c r="I2866">
        <v>17.989999999999998</v>
      </c>
      <c r="J2866">
        <v>4</v>
      </c>
      <c r="K2866">
        <v>3.3</v>
      </c>
      <c r="L2866">
        <v>0</v>
      </c>
      <c r="M2866" t="s">
        <v>4808</v>
      </c>
      <c r="N2866" t="s">
        <v>4900</v>
      </c>
      <c r="O2866" t="s">
        <v>4912</v>
      </c>
    </row>
    <row r="2867" spans="1:15" x14ac:dyDescent="0.35">
      <c r="A2867" t="s">
        <v>2826</v>
      </c>
      <c r="B2867">
        <v>28</v>
      </c>
      <c r="C2867" t="s">
        <v>4802</v>
      </c>
      <c r="D2867" t="s">
        <v>13</v>
      </c>
      <c r="E2867">
        <v>75</v>
      </c>
      <c r="F2867">
        <v>17</v>
      </c>
      <c r="G2867" t="s">
        <v>4799</v>
      </c>
      <c r="H2867" t="s">
        <v>4805</v>
      </c>
      <c r="I2867">
        <v>13.99</v>
      </c>
      <c r="J2867">
        <v>4</v>
      </c>
      <c r="K2867">
        <v>2.5</v>
      </c>
      <c r="L2867">
        <v>0</v>
      </c>
      <c r="M2867" t="s">
        <v>4810</v>
      </c>
      <c r="N2867" t="s">
        <v>4900</v>
      </c>
      <c r="O2867" t="s">
        <v>4912</v>
      </c>
    </row>
    <row r="2868" spans="1:15" x14ac:dyDescent="0.35">
      <c r="A2868" t="s">
        <v>2827</v>
      </c>
      <c r="B2868">
        <v>35</v>
      </c>
      <c r="C2868" t="s">
        <v>4802</v>
      </c>
      <c r="D2868" t="s">
        <v>13</v>
      </c>
      <c r="E2868">
        <v>36</v>
      </c>
      <c r="F2868">
        <v>48</v>
      </c>
      <c r="G2868" t="s">
        <v>4797</v>
      </c>
      <c r="H2868" t="s">
        <v>4805</v>
      </c>
      <c r="I2868">
        <v>13.99</v>
      </c>
      <c r="J2868">
        <v>3</v>
      </c>
      <c r="K2868">
        <v>1.2</v>
      </c>
      <c r="L2868">
        <v>1</v>
      </c>
      <c r="M2868" t="s">
        <v>4811</v>
      </c>
      <c r="N2868" t="s">
        <v>4899</v>
      </c>
      <c r="O2868" t="s">
        <v>4910</v>
      </c>
    </row>
    <row r="2869" spans="1:15" x14ac:dyDescent="0.35">
      <c r="A2869" t="s">
        <v>2828</v>
      </c>
      <c r="B2869">
        <v>30</v>
      </c>
      <c r="C2869" t="s">
        <v>4802</v>
      </c>
      <c r="D2869" t="s">
        <v>13</v>
      </c>
      <c r="E2869">
        <v>50</v>
      </c>
      <c r="F2869">
        <v>7</v>
      </c>
      <c r="G2869" t="s">
        <v>4799</v>
      </c>
      <c r="H2869" t="s">
        <v>4805</v>
      </c>
      <c r="I2869">
        <v>13.99</v>
      </c>
      <c r="J2869">
        <v>2</v>
      </c>
      <c r="K2869">
        <v>1.67</v>
      </c>
      <c r="L2869">
        <v>0</v>
      </c>
      <c r="M2869" t="s">
        <v>4809</v>
      </c>
      <c r="N2869" t="s">
        <v>4900</v>
      </c>
      <c r="O2869" t="s">
        <v>4912</v>
      </c>
    </row>
    <row r="2870" spans="1:15" x14ac:dyDescent="0.35">
      <c r="A2870" t="s">
        <v>2829</v>
      </c>
      <c r="B2870">
        <v>43</v>
      </c>
      <c r="C2870" t="s">
        <v>4802</v>
      </c>
      <c r="D2870" t="s">
        <v>13</v>
      </c>
      <c r="E2870">
        <v>75</v>
      </c>
      <c r="F2870">
        <v>17</v>
      </c>
      <c r="G2870" t="s">
        <v>4798</v>
      </c>
      <c r="H2870" t="s">
        <v>4805</v>
      </c>
      <c r="I2870">
        <v>13.99</v>
      </c>
      <c r="J2870">
        <v>2</v>
      </c>
      <c r="K2870">
        <v>2.5</v>
      </c>
      <c r="L2870">
        <v>0</v>
      </c>
      <c r="M2870" t="s">
        <v>4811</v>
      </c>
      <c r="N2870" t="s">
        <v>4900</v>
      </c>
      <c r="O2870" t="s">
        <v>4910</v>
      </c>
    </row>
    <row r="2871" spans="1:15" x14ac:dyDescent="0.35">
      <c r="A2871" t="s">
        <v>2830</v>
      </c>
      <c r="B2871">
        <v>27</v>
      </c>
      <c r="C2871" t="s">
        <v>4803</v>
      </c>
      <c r="D2871" t="s">
        <v>15</v>
      </c>
      <c r="E2871">
        <v>89</v>
      </c>
      <c r="F2871">
        <v>10</v>
      </c>
      <c r="G2871" t="s">
        <v>4799</v>
      </c>
      <c r="H2871" t="s">
        <v>4804</v>
      </c>
      <c r="I2871">
        <v>17.989999999999998</v>
      </c>
      <c r="J2871">
        <v>2</v>
      </c>
      <c r="K2871">
        <v>2.97</v>
      </c>
      <c r="L2871">
        <v>0</v>
      </c>
      <c r="M2871" t="s">
        <v>4808</v>
      </c>
      <c r="N2871" t="s">
        <v>4900</v>
      </c>
      <c r="O2871" t="s">
        <v>4912</v>
      </c>
    </row>
    <row r="2872" spans="1:15" x14ac:dyDescent="0.35">
      <c r="A2872" t="s">
        <v>2831</v>
      </c>
      <c r="B2872">
        <v>48</v>
      </c>
      <c r="C2872" t="s">
        <v>4803</v>
      </c>
      <c r="D2872" t="s">
        <v>13</v>
      </c>
      <c r="E2872">
        <v>45</v>
      </c>
      <c r="F2872">
        <v>22</v>
      </c>
      <c r="G2872" t="s">
        <v>4798</v>
      </c>
      <c r="H2872" t="s">
        <v>4805</v>
      </c>
      <c r="I2872">
        <v>13.99</v>
      </c>
      <c r="J2872">
        <v>1</v>
      </c>
      <c r="K2872">
        <v>2.0299999999999998</v>
      </c>
      <c r="L2872">
        <v>0</v>
      </c>
      <c r="M2872" t="s">
        <v>4812</v>
      </c>
      <c r="N2872" t="s">
        <v>4900</v>
      </c>
      <c r="O2872" t="s">
        <v>4910</v>
      </c>
    </row>
    <row r="2873" spans="1:15" x14ac:dyDescent="0.35">
      <c r="A2873" t="s">
        <v>2832</v>
      </c>
      <c r="B2873">
        <v>52</v>
      </c>
      <c r="C2873" t="s">
        <v>4803</v>
      </c>
      <c r="D2873" t="s">
        <v>15</v>
      </c>
      <c r="E2873">
        <v>75</v>
      </c>
      <c r="F2873">
        <v>31</v>
      </c>
      <c r="G2873" t="s">
        <v>4799</v>
      </c>
      <c r="H2873" t="s">
        <v>4804</v>
      </c>
      <c r="I2873">
        <v>17.989999999999998</v>
      </c>
      <c r="J2873">
        <v>4</v>
      </c>
      <c r="K2873">
        <v>2.5</v>
      </c>
      <c r="L2873">
        <v>0</v>
      </c>
      <c r="M2873" t="s">
        <v>4812</v>
      </c>
      <c r="N2873" t="s">
        <v>4900</v>
      </c>
      <c r="O2873" t="s">
        <v>4910</v>
      </c>
    </row>
    <row r="2874" spans="1:15" x14ac:dyDescent="0.35">
      <c r="A2874" t="s">
        <v>2833</v>
      </c>
      <c r="B2874">
        <v>35</v>
      </c>
      <c r="C2874" t="s">
        <v>4803</v>
      </c>
      <c r="D2874" t="s">
        <v>15</v>
      </c>
      <c r="E2874">
        <v>70</v>
      </c>
      <c r="F2874">
        <v>2</v>
      </c>
      <c r="G2874" t="s">
        <v>4798</v>
      </c>
      <c r="H2874" t="s">
        <v>4806</v>
      </c>
      <c r="I2874">
        <v>17.989999999999998</v>
      </c>
      <c r="J2874">
        <v>4</v>
      </c>
      <c r="K2874">
        <v>2.33</v>
      </c>
      <c r="L2874">
        <v>0</v>
      </c>
      <c r="M2874" t="s">
        <v>4809</v>
      </c>
      <c r="N2874" t="s">
        <v>4900</v>
      </c>
      <c r="O2874" t="s">
        <v>4910</v>
      </c>
    </row>
    <row r="2875" spans="1:15" x14ac:dyDescent="0.35">
      <c r="A2875" t="s">
        <v>2834</v>
      </c>
      <c r="B2875">
        <v>57</v>
      </c>
      <c r="C2875" t="s">
        <v>4802</v>
      </c>
      <c r="D2875" t="s">
        <v>13</v>
      </c>
      <c r="E2875">
        <v>69</v>
      </c>
      <c r="F2875">
        <v>999</v>
      </c>
      <c r="G2875" t="s">
        <v>4799</v>
      </c>
      <c r="H2875" t="s">
        <v>4805</v>
      </c>
      <c r="I2875">
        <v>13.99</v>
      </c>
      <c r="J2875">
        <v>3</v>
      </c>
      <c r="K2875">
        <v>2.2999999999999998</v>
      </c>
      <c r="L2875">
        <v>0</v>
      </c>
      <c r="M2875" t="s">
        <v>4812</v>
      </c>
      <c r="N2875" t="s">
        <v>4900</v>
      </c>
      <c r="O2875" t="s">
        <v>4911</v>
      </c>
    </row>
    <row r="2876" spans="1:15" x14ac:dyDescent="0.35">
      <c r="A2876" t="s">
        <v>2835</v>
      </c>
      <c r="B2876">
        <v>30</v>
      </c>
      <c r="C2876" t="s">
        <v>4803</v>
      </c>
      <c r="D2876" t="s">
        <v>13</v>
      </c>
      <c r="E2876">
        <v>68</v>
      </c>
      <c r="F2876">
        <v>19</v>
      </c>
      <c r="G2876" t="s">
        <v>4797</v>
      </c>
      <c r="H2876" t="s">
        <v>4805</v>
      </c>
      <c r="I2876">
        <v>13.99</v>
      </c>
      <c r="J2876">
        <v>3</v>
      </c>
      <c r="K2876">
        <v>2.27</v>
      </c>
      <c r="L2876">
        <v>0</v>
      </c>
      <c r="M2876" t="s">
        <v>4812</v>
      </c>
      <c r="N2876" t="s">
        <v>4900</v>
      </c>
      <c r="O2876" t="s">
        <v>4912</v>
      </c>
    </row>
    <row r="2877" spans="1:15" x14ac:dyDescent="0.35">
      <c r="A2877" t="s">
        <v>2836</v>
      </c>
      <c r="B2877">
        <v>64</v>
      </c>
      <c r="C2877" t="s">
        <v>4803</v>
      </c>
      <c r="D2877" t="s">
        <v>13</v>
      </c>
      <c r="E2877">
        <v>42</v>
      </c>
      <c r="F2877">
        <v>20</v>
      </c>
      <c r="G2877" t="s">
        <v>4797</v>
      </c>
      <c r="H2877" t="s">
        <v>4804</v>
      </c>
      <c r="I2877">
        <v>13.99</v>
      </c>
      <c r="J2877">
        <v>4</v>
      </c>
      <c r="K2877">
        <v>1.4</v>
      </c>
      <c r="L2877">
        <v>1</v>
      </c>
      <c r="M2877" t="s">
        <v>4812</v>
      </c>
      <c r="N2877" t="s">
        <v>4899</v>
      </c>
      <c r="O2877" t="s">
        <v>4911</v>
      </c>
    </row>
    <row r="2878" spans="1:15" x14ac:dyDescent="0.35">
      <c r="A2878" t="s">
        <v>2837</v>
      </c>
      <c r="B2878">
        <v>64</v>
      </c>
      <c r="C2878" t="s">
        <v>4803</v>
      </c>
      <c r="D2878" t="s">
        <v>13</v>
      </c>
      <c r="E2878">
        <v>73</v>
      </c>
      <c r="F2878">
        <v>58</v>
      </c>
      <c r="G2878" t="s">
        <v>4798</v>
      </c>
      <c r="H2878" t="s">
        <v>4806</v>
      </c>
      <c r="I2878">
        <v>13.99</v>
      </c>
      <c r="J2878">
        <v>4</v>
      </c>
      <c r="K2878">
        <v>2.4300000000000002</v>
      </c>
      <c r="L2878">
        <v>0</v>
      </c>
      <c r="M2878" t="s">
        <v>4808</v>
      </c>
      <c r="N2878" t="s">
        <v>4900</v>
      </c>
      <c r="O2878" t="s">
        <v>4911</v>
      </c>
    </row>
    <row r="2879" spans="1:15" x14ac:dyDescent="0.35">
      <c r="A2879" t="s">
        <v>2838</v>
      </c>
      <c r="B2879">
        <v>35</v>
      </c>
      <c r="C2879" t="s">
        <v>4802</v>
      </c>
      <c r="D2879" t="s">
        <v>15</v>
      </c>
      <c r="E2879">
        <v>84</v>
      </c>
      <c r="F2879">
        <v>58</v>
      </c>
      <c r="G2879" t="s">
        <v>4798</v>
      </c>
      <c r="H2879" t="s">
        <v>4804</v>
      </c>
      <c r="I2879">
        <v>17.989999999999998</v>
      </c>
      <c r="J2879">
        <v>4</v>
      </c>
      <c r="K2879">
        <v>2.8</v>
      </c>
      <c r="L2879">
        <v>0</v>
      </c>
      <c r="M2879" t="s">
        <v>4809</v>
      </c>
      <c r="N2879" t="s">
        <v>4900</v>
      </c>
      <c r="O2879" t="s">
        <v>4910</v>
      </c>
    </row>
    <row r="2880" spans="1:15" x14ac:dyDescent="0.35">
      <c r="A2880" t="s">
        <v>2839</v>
      </c>
      <c r="B2880">
        <v>36</v>
      </c>
      <c r="C2880" t="s">
        <v>4803</v>
      </c>
      <c r="D2880" t="s">
        <v>15</v>
      </c>
      <c r="E2880">
        <v>103</v>
      </c>
      <c r="F2880">
        <v>60</v>
      </c>
      <c r="G2880" t="s">
        <v>4797</v>
      </c>
      <c r="H2880" t="s">
        <v>4804</v>
      </c>
      <c r="I2880">
        <v>17.989999999999998</v>
      </c>
      <c r="J2880">
        <v>2</v>
      </c>
      <c r="K2880">
        <v>3.43</v>
      </c>
      <c r="L2880">
        <v>1</v>
      </c>
      <c r="M2880" t="s">
        <v>4811</v>
      </c>
      <c r="N2880" t="s">
        <v>4899</v>
      </c>
      <c r="O2880" t="s">
        <v>4910</v>
      </c>
    </row>
    <row r="2881" spans="1:15" x14ac:dyDescent="0.35">
      <c r="A2881" t="s">
        <v>2840</v>
      </c>
      <c r="B2881">
        <v>51</v>
      </c>
      <c r="C2881" t="s">
        <v>4803</v>
      </c>
      <c r="D2881" t="s">
        <v>13</v>
      </c>
      <c r="E2881">
        <v>43</v>
      </c>
      <c r="F2881">
        <v>16</v>
      </c>
      <c r="G2881" t="s">
        <v>4797</v>
      </c>
      <c r="H2881" t="s">
        <v>4805</v>
      </c>
      <c r="I2881">
        <v>13.99</v>
      </c>
      <c r="J2881">
        <v>4</v>
      </c>
      <c r="K2881">
        <v>1.43</v>
      </c>
      <c r="L2881">
        <v>0</v>
      </c>
      <c r="M2881" t="s">
        <v>4808</v>
      </c>
      <c r="N2881" t="s">
        <v>4900</v>
      </c>
      <c r="O2881" t="s">
        <v>4910</v>
      </c>
    </row>
    <row r="2882" spans="1:15" x14ac:dyDescent="0.35">
      <c r="A2882" t="s">
        <v>2841</v>
      </c>
      <c r="B2882">
        <v>60</v>
      </c>
      <c r="C2882" t="s">
        <v>4803</v>
      </c>
      <c r="D2882" t="s">
        <v>14</v>
      </c>
      <c r="E2882">
        <v>78</v>
      </c>
      <c r="F2882">
        <v>8</v>
      </c>
      <c r="G2882" t="s">
        <v>4797</v>
      </c>
      <c r="H2882" t="s">
        <v>4807</v>
      </c>
      <c r="I2882">
        <v>8.99</v>
      </c>
      <c r="J2882">
        <v>4</v>
      </c>
      <c r="K2882">
        <v>2.6</v>
      </c>
      <c r="L2882">
        <v>0</v>
      </c>
      <c r="M2882" t="s">
        <v>4812</v>
      </c>
      <c r="N2882" t="s">
        <v>4900</v>
      </c>
      <c r="O2882" t="s">
        <v>4911</v>
      </c>
    </row>
    <row r="2883" spans="1:15" x14ac:dyDescent="0.35">
      <c r="A2883" t="s">
        <v>2842</v>
      </c>
      <c r="B2883">
        <v>33</v>
      </c>
      <c r="C2883" t="s">
        <v>4802</v>
      </c>
      <c r="D2883" t="s">
        <v>13</v>
      </c>
      <c r="E2883">
        <v>69</v>
      </c>
      <c r="F2883">
        <v>6</v>
      </c>
      <c r="G2883" t="s">
        <v>4800</v>
      </c>
      <c r="H2883" t="s">
        <v>4804</v>
      </c>
      <c r="I2883">
        <v>13.99</v>
      </c>
      <c r="J2883">
        <v>4</v>
      </c>
      <c r="K2883">
        <v>2.2999999999999998</v>
      </c>
      <c r="L2883">
        <v>0</v>
      </c>
      <c r="M2883" t="s">
        <v>4810</v>
      </c>
      <c r="N2883" t="s">
        <v>4900</v>
      </c>
      <c r="O2883" t="s">
        <v>4912</v>
      </c>
    </row>
    <row r="2884" spans="1:15" x14ac:dyDescent="0.35">
      <c r="A2884" t="s">
        <v>2843</v>
      </c>
      <c r="B2884">
        <v>49</v>
      </c>
      <c r="C2884" t="s">
        <v>4803</v>
      </c>
      <c r="D2884" t="s">
        <v>13</v>
      </c>
      <c r="E2884">
        <v>44</v>
      </c>
      <c r="F2884">
        <v>29</v>
      </c>
      <c r="G2884" t="s">
        <v>4799</v>
      </c>
      <c r="H2884" t="s">
        <v>4807</v>
      </c>
      <c r="I2884">
        <v>13.99</v>
      </c>
      <c r="J2884">
        <v>2</v>
      </c>
      <c r="K2884">
        <v>1.47</v>
      </c>
      <c r="L2884">
        <v>0</v>
      </c>
      <c r="M2884" t="s">
        <v>4812</v>
      </c>
      <c r="N2884" t="s">
        <v>4900</v>
      </c>
      <c r="O2884" t="s">
        <v>4910</v>
      </c>
    </row>
    <row r="2885" spans="1:15" x14ac:dyDescent="0.35">
      <c r="A2885" t="s">
        <v>2844</v>
      </c>
      <c r="B2885">
        <v>47</v>
      </c>
      <c r="C2885" t="s">
        <v>4803</v>
      </c>
      <c r="D2885" t="s">
        <v>13</v>
      </c>
      <c r="E2885">
        <v>44</v>
      </c>
      <c r="F2885">
        <v>40</v>
      </c>
      <c r="G2885" t="s">
        <v>4799</v>
      </c>
      <c r="H2885" t="s">
        <v>4805</v>
      </c>
      <c r="I2885">
        <v>13.99</v>
      </c>
      <c r="J2885">
        <v>4</v>
      </c>
      <c r="K2885">
        <v>1.47</v>
      </c>
      <c r="L2885">
        <v>1</v>
      </c>
      <c r="M2885" t="s">
        <v>4809</v>
      </c>
      <c r="N2885" t="s">
        <v>4899</v>
      </c>
      <c r="O2885" t="s">
        <v>4910</v>
      </c>
    </row>
    <row r="2886" spans="1:15" x14ac:dyDescent="0.35">
      <c r="A2886" t="s">
        <v>2845</v>
      </c>
      <c r="B2886">
        <v>35</v>
      </c>
      <c r="C2886" t="s">
        <v>4802</v>
      </c>
      <c r="D2886" t="s">
        <v>13</v>
      </c>
      <c r="E2886">
        <v>43</v>
      </c>
      <c r="F2886">
        <v>26</v>
      </c>
      <c r="G2886" t="s">
        <v>4798</v>
      </c>
      <c r="H2886" t="s">
        <v>4804</v>
      </c>
      <c r="I2886">
        <v>13.99</v>
      </c>
      <c r="J2886">
        <v>3</v>
      </c>
      <c r="K2886">
        <v>1.43</v>
      </c>
      <c r="L2886">
        <v>0</v>
      </c>
      <c r="M2886" t="s">
        <v>4811</v>
      </c>
      <c r="N2886" t="s">
        <v>4900</v>
      </c>
      <c r="O2886" t="s">
        <v>4910</v>
      </c>
    </row>
    <row r="2887" spans="1:15" x14ac:dyDescent="0.35">
      <c r="A2887" t="s">
        <v>2846</v>
      </c>
      <c r="B2887">
        <v>25</v>
      </c>
      <c r="C2887" t="s">
        <v>4802</v>
      </c>
      <c r="D2887" t="s">
        <v>13</v>
      </c>
      <c r="E2887">
        <v>35</v>
      </c>
      <c r="F2887">
        <v>13</v>
      </c>
      <c r="G2887" t="s">
        <v>4799</v>
      </c>
      <c r="H2887" t="s">
        <v>4807</v>
      </c>
      <c r="I2887">
        <v>13.99</v>
      </c>
      <c r="J2887">
        <v>1</v>
      </c>
      <c r="K2887">
        <v>1.17</v>
      </c>
      <c r="L2887">
        <v>0</v>
      </c>
      <c r="M2887" t="s">
        <v>4809</v>
      </c>
      <c r="N2887" t="s">
        <v>4900</v>
      </c>
      <c r="O2887" t="s">
        <v>4912</v>
      </c>
    </row>
    <row r="2888" spans="1:15" x14ac:dyDescent="0.35">
      <c r="A2888" t="s">
        <v>2847</v>
      </c>
      <c r="B2888">
        <v>64</v>
      </c>
      <c r="C2888" t="s">
        <v>4803</v>
      </c>
      <c r="D2888" t="s">
        <v>13</v>
      </c>
      <c r="E2888">
        <v>77</v>
      </c>
      <c r="F2888">
        <v>45</v>
      </c>
      <c r="G2888" t="s">
        <v>4799</v>
      </c>
      <c r="H2888" t="s">
        <v>4804</v>
      </c>
      <c r="I2888">
        <v>13.99</v>
      </c>
      <c r="J2888">
        <v>3</v>
      </c>
      <c r="K2888">
        <v>2.57</v>
      </c>
      <c r="L2888">
        <v>0</v>
      </c>
      <c r="M2888" t="s">
        <v>4811</v>
      </c>
      <c r="N2888" t="s">
        <v>4900</v>
      </c>
      <c r="O2888" t="s">
        <v>4911</v>
      </c>
    </row>
    <row r="2889" spans="1:15" x14ac:dyDescent="0.35">
      <c r="A2889" t="s">
        <v>2848</v>
      </c>
      <c r="B2889">
        <v>55</v>
      </c>
      <c r="C2889" t="s">
        <v>4803</v>
      </c>
      <c r="D2889" t="s">
        <v>15</v>
      </c>
      <c r="E2889">
        <v>79</v>
      </c>
      <c r="F2889">
        <v>49</v>
      </c>
      <c r="G2889" t="s">
        <v>4799</v>
      </c>
      <c r="H2889" t="s">
        <v>4806</v>
      </c>
      <c r="I2889">
        <v>17.989999999999998</v>
      </c>
      <c r="J2889">
        <v>4</v>
      </c>
      <c r="K2889">
        <v>2.63</v>
      </c>
      <c r="L2889">
        <v>0</v>
      </c>
      <c r="M2889" t="s">
        <v>4812</v>
      </c>
      <c r="N2889" t="s">
        <v>4900</v>
      </c>
      <c r="O2889" t="s">
        <v>4911</v>
      </c>
    </row>
    <row r="2890" spans="1:15" x14ac:dyDescent="0.35">
      <c r="A2890" t="s">
        <v>2849</v>
      </c>
      <c r="B2890">
        <v>23</v>
      </c>
      <c r="C2890" t="s">
        <v>4803</v>
      </c>
      <c r="D2890" t="s">
        <v>13</v>
      </c>
      <c r="E2890">
        <v>63</v>
      </c>
      <c r="F2890">
        <v>999</v>
      </c>
      <c r="G2890" t="s">
        <v>4798</v>
      </c>
      <c r="H2890" t="s">
        <v>4804</v>
      </c>
      <c r="I2890">
        <v>13.99</v>
      </c>
      <c r="J2890">
        <v>1</v>
      </c>
      <c r="K2890">
        <v>5</v>
      </c>
      <c r="L2890">
        <v>0</v>
      </c>
      <c r="M2890" t="s">
        <v>4812</v>
      </c>
      <c r="N2890" t="s">
        <v>4900</v>
      </c>
      <c r="O2890" t="s">
        <v>4912</v>
      </c>
    </row>
    <row r="2891" spans="1:15" x14ac:dyDescent="0.35">
      <c r="A2891" t="s">
        <v>2850</v>
      </c>
      <c r="B2891">
        <v>42</v>
      </c>
      <c r="C2891" t="s">
        <v>4803</v>
      </c>
      <c r="D2891" t="s">
        <v>15</v>
      </c>
      <c r="E2891">
        <v>60</v>
      </c>
      <c r="F2891">
        <v>10</v>
      </c>
      <c r="G2891" t="s">
        <v>4798</v>
      </c>
      <c r="H2891" t="s">
        <v>4804</v>
      </c>
      <c r="I2891">
        <v>17.989999999999998</v>
      </c>
      <c r="J2891">
        <v>2</v>
      </c>
      <c r="K2891">
        <v>2</v>
      </c>
      <c r="L2891">
        <v>0</v>
      </c>
      <c r="M2891" t="s">
        <v>4808</v>
      </c>
      <c r="N2891" t="s">
        <v>4900</v>
      </c>
      <c r="O2891" t="s">
        <v>4910</v>
      </c>
    </row>
    <row r="2892" spans="1:15" x14ac:dyDescent="0.35">
      <c r="A2892" t="s">
        <v>2851</v>
      </c>
      <c r="B2892">
        <v>64</v>
      </c>
      <c r="C2892" t="s">
        <v>4802</v>
      </c>
      <c r="D2892" t="s">
        <v>13</v>
      </c>
      <c r="E2892">
        <v>47</v>
      </c>
      <c r="F2892">
        <v>24</v>
      </c>
      <c r="G2892" t="s">
        <v>4797</v>
      </c>
      <c r="H2892" t="s">
        <v>4806</v>
      </c>
      <c r="I2892">
        <v>13.99</v>
      </c>
      <c r="J2892">
        <v>3</v>
      </c>
      <c r="K2892">
        <v>1.57</v>
      </c>
      <c r="L2892">
        <v>0</v>
      </c>
      <c r="M2892" t="s">
        <v>4812</v>
      </c>
      <c r="N2892" t="s">
        <v>4900</v>
      </c>
      <c r="O2892" t="s">
        <v>4911</v>
      </c>
    </row>
    <row r="2893" spans="1:15" x14ac:dyDescent="0.35">
      <c r="A2893" t="s">
        <v>2852</v>
      </c>
      <c r="B2893">
        <v>19</v>
      </c>
      <c r="C2893" t="s">
        <v>4802</v>
      </c>
      <c r="D2893" t="s">
        <v>13</v>
      </c>
      <c r="E2893">
        <v>56</v>
      </c>
      <c r="F2893">
        <v>5</v>
      </c>
      <c r="G2893" t="s">
        <v>4799</v>
      </c>
      <c r="H2893" t="s">
        <v>4804</v>
      </c>
      <c r="I2893">
        <v>13.99</v>
      </c>
      <c r="J2893">
        <v>3</v>
      </c>
      <c r="K2893">
        <v>1.87</v>
      </c>
      <c r="L2893">
        <v>0</v>
      </c>
      <c r="M2893" t="s">
        <v>4812</v>
      </c>
      <c r="N2893" t="s">
        <v>4900</v>
      </c>
      <c r="O2893" t="s">
        <v>4912</v>
      </c>
    </row>
    <row r="2894" spans="1:15" x14ac:dyDescent="0.35">
      <c r="A2894" t="s">
        <v>2853</v>
      </c>
      <c r="B2894">
        <v>37</v>
      </c>
      <c r="C2894" t="s">
        <v>4802</v>
      </c>
      <c r="D2894" t="s">
        <v>14</v>
      </c>
      <c r="E2894">
        <v>35</v>
      </c>
      <c r="F2894">
        <v>25</v>
      </c>
      <c r="G2894" t="s">
        <v>4797</v>
      </c>
      <c r="H2894" t="s">
        <v>4805</v>
      </c>
      <c r="I2894">
        <v>8.99</v>
      </c>
      <c r="J2894">
        <v>1</v>
      </c>
      <c r="K2894">
        <v>1.17</v>
      </c>
      <c r="L2894">
        <v>0</v>
      </c>
      <c r="M2894" t="s">
        <v>4808</v>
      </c>
      <c r="N2894" t="s">
        <v>4900</v>
      </c>
      <c r="O2894" t="s">
        <v>4910</v>
      </c>
    </row>
    <row r="2895" spans="1:15" x14ac:dyDescent="0.35">
      <c r="A2895" t="s">
        <v>2854</v>
      </c>
      <c r="B2895">
        <v>59</v>
      </c>
      <c r="C2895" t="s">
        <v>4803</v>
      </c>
      <c r="D2895" t="s">
        <v>14</v>
      </c>
      <c r="E2895">
        <v>38</v>
      </c>
      <c r="F2895">
        <v>14</v>
      </c>
      <c r="G2895" t="s">
        <v>4799</v>
      </c>
      <c r="H2895" t="s">
        <v>4805</v>
      </c>
      <c r="I2895">
        <v>8.99</v>
      </c>
      <c r="J2895">
        <v>2</v>
      </c>
      <c r="K2895">
        <v>5</v>
      </c>
      <c r="L2895">
        <v>0</v>
      </c>
      <c r="M2895" t="s">
        <v>4808</v>
      </c>
      <c r="N2895" t="s">
        <v>4900</v>
      </c>
      <c r="O2895" t="s">
        <v>4911</v>
      </c>
    </row>
    <row r="2896" spans="1:15" x14ac:dyDescent="0.35">
      <c r="A2896" t="s">
        <v>2855</v>
      </c>
      <c r="B2896">
        <v>42</v>
      </c>
      <c r="C2896" t="s">
        <v>4803</v>
      </c>
      <c r="D2896" t="s">
        <v>13</v>
      </c>
      <c r="E2896">
        <v>63</v>
      </c>
      <c r="F2896">
        <v>37</v>
      </c>
      <c r="G2896" t="s">
        <v>4799</v>
      </c>
      <c r="H2896" t="s">
        <v>4804</v>
      </c>
      <c r="I2896">
        <v>13.99</v>
      </c>
      <c r="J2896">
        <v>1</v>
      </c>
      <c r="K2896">
        <v>2.1</v>
      </c>
      <c r="L2896">
        <v>0</v>
      </c>
      <c r="M2896" t="s">
        <v>4808</v>
      </c>
      <c r="N2896" t="s">
        <v>4900</v>
      </c>
      <c r="O2896" t="s">
        <v>4910</v>
      </c>
    </row>
    <row r="2897" spans="1:15" x14ac:dyDescent="0.35">
      <c r="A2897" t="s">
        <v>2856</v>
      </c>
      <c r="B2897">
        <v>30</v>
      </c>
      <c r="C2897" t="s">
        <v>4803</v>
      </c>
      <c r="D2897" t="s">
        <v>13</v>
      </c>
      <c r="E2897">
        <v>63</v>
      </c>
      <c r="F2897">
        <v>23</v>
      </c>
      <c r="G2897" t="s">
        <v>4799</v>
      </c>
      <c r="H2897" t="s">
        <v>4804</v>
      </c>
      <c r="I2897">
        <v>13.99</v>
      </c>
      <c r="J2897">
        <v>3</v>
      </c>
      <c r="K2897">
        <v>2.1</v>
      </c>
      <c r="L2897">
        <v>0</v>
      </c>
      <c r="M2897" t="s">
        <v>4811</v>
      </c>
      <c r="N2897" t="s">
        <v>4900</v>
      </c>
      <c r="O2897" t="s">
        <v>4912</v>
      </c>
    </row>
    <row r="2898" spans="1:15" x14ac:dyDescent="0.35">
      <c r="A2898" t="s">
        <v>2857</v>
      </c>
      <c r="B2898">
        <v>22</v>
      </c>
      <c r="C2898" t="s">
        <v>4803</v>
      </c>
      <c r="D2898" t="s">
        <v>13</v>
      </c>
      <c r="E2898">
        <v>35</v>
      </c>
      <c r="F2898">
        <v>49</v>
      </c>
      <c r="G2898" t="s">
        <v>4798</v>
      </c>
      <c r="H2898" t="s">
        <v>4806</v>
      </c>
      <c r="I2898">
        <v>13.99</v>
      </c>
      <c r="J2898">
        <v>1</v>
      </c>
      <c r="K2898">
        <v>1.17</v>
      </c>
      <c r="L2898">
        <v>1</v>
      </c>
      <c r="M2898" t="s">
        <v>4812</v>
      </c>
      <c r="N2898" t="s">
        <v>4899</v>
      </c>
      <c r="O2898" t="s">
        <v>4912</v>
      </c>
    </row>
    <row r="2899" spans="1:15" x14ac:dyDescent="0.35">
      <c r="A2899" t="s">
        <v>2858</v>
      </c>
      <c r="B2899">
        <v>24</v>
      </c>
      <c r="C2899" t="s">
        <v>4802</v>
      </c>
      <c r="D2899" t="s">
        <v>14</v>
      </c>
      <c r="E2899">
        <v>31</v>
      </c>
      <c r="F2899">
        <v>42</v>
      </c>
      <c r="G2899" t="s">
        <v>4798</v>
      </c>
      <c r="H2899" t="s">
        <v>4806</v>
      </c>
      <c r="I2899">
        <v>8.99</v>
      </c>
      <c r="J2899">
        <v>1</v>
      </c>
      <c r="K2899">
        <v>1.03</v>
      </c>
      <c r="L2899">
        <v>1</v>
      </c>
      <c r="M2899" t="s">
        <v>4809</v>
      </c>
      <c r="N2899" t="s">
        <v>4899</v>
      </c>
      <c r="O2899" t="s">
        <v>4912</v>
      </c>
    </row>
    <row r="2900" spans="1:15" x14ac:dyDescent="0.35">
      <c r="A2900" t="s">
        <v>2859</v>
      </c>
      <c r="B2900">
        <v>22</v>
      </c>
      <c r="C2900" t="s">
        <v>4803</v>
      </c>
      <c r="D2900" t="s">
        <v>13</v>
      </c>
      <c r="E2900">
        <v>39</v>
      </c>
      <c r="F2900">
        <v>42</v>
      </c>
      <c r="G2900" t="s">
        <v>4797</v>
      </c>
      <c r="H2900" t="s">
        <v>4804</v>
      </c>
      <c r="I2900">
        <v>13.99</v>
      </c>
      <c r="J2900">
        <v>1</v>
      </c>
      <c r="K2900">
        <v>1.3</v>
      </c>
      <c r="L2900">
        <v>0</v>
      </c>
      <c r="M2900" t="s">
        <v>4810</v>
      </c>
      <c r="N2900" t="s">
        <v>4900</v>
      </c>
      <c r="O2900" t="s">
        <v>4912</v>
      </c>
    </row>
    <row r="2901" spans="1:15" x14ac:dyDescent="0.35">
      <c r="A2901" t="s">
        <v>2860</v>
      </c>
      <c r="B2901">
        <v>47</v>
      </c>
      <c r="C2901" t="s">
        <v>4803</v>
      </c>
      <c r="D2901" t="s">
        <v>15</v>
      </c>
      <c r="E2901">
        <v>66</v>
      </c>
      <c r="F2901">
        <v>54</v>
      </c>
      <c r="G2901" t="s">
        <v>4799</v>
      </c>
      <c r="H2901" t="s">
        <v>4804</v>
      </c>
      <c r="I2901">
        <v>17.989999999999998</v>
      </c>
      <c r="J2901">
        <v>2</v>
      </c>
      <c r="K2901">
        <v>2.2000000000000002</v>
      </c>
      <c r="L2901">
        <v>1</v>
      </c>
      <c r="M2901" t="s">
        <v>4809</v>
      </c>
      <c r="N2901" t="s">
        <v>4899</v>
      </c>
      <c r="O2901" t="s">
        <v>4910</v>
      </c>
    </row>
    <row r="2902" spans="1:15" x14ac:dyDescent="0.35">
      <c r="A2902" t="s">
        <v>2861</v>
      </c>
      <c r="B2902">
        <v>54</v>
      </c>
      <c r="C2902" t="s">
        <v>4802</v>
      </c>
      <c r="D2902" t="s">
        <v>13</v>
      </c>
      <c r="E2902">
        <v>59</v>
      </c>
      <c r="F2902">
        <v>59</v>
      </c>
      <c r="G2902" t="s">
        <v>4798</v>
      </c>
      <c r="H2902" t="s">
        <v>4806</v>
      </c>
      <c r="I2902">
        <v>13.99</v>
      </c>
      <c r="J2902">
        <v>1</v>
      </c>
      <c r="K2902">
        <v>1.97</v>
      </c>
      <c r="L2902">
        <v>0</v>
      </c>
      <c r="M2902" t="s">
        <v>4808</v>
      </c>
      <c r="N2902" t="s">
        <v>4900</v>
      </c>
      <c r="O2902" t="s">
        <v>4910</v>
      </c>
    </row>
    <row r="2903" spans="1:15" x14ac:dyDescent="0.35">
      <c r="A2903" t="s">
        <v>2862</v>
      </c>
      <c r="B2903">
        <v>31</v>
      </c>
      <c r="C2903" t="s">
        <v>4802</v>
      </c>
      <c r="D2903" t="s">
        <v>13</v>
      </c>
      <c r="E2903">
        <v>47</v>
      </c>
      <c r="F2903">
        <v>29</v>
      </c>
      <c r="G2903" t="s">
        <v>4798</v>
      </c>
      <c r="H2903" t="s">
        <v>4805</v>
      </c>
      <c r="I2903">
        <v>13.99</v>
      </c>
      <c r="J2903">
        <v>1</v>
      </c>
      <c r="K2903">
        <v>1.57</v>
      </c>
      <c r="L2903">
        <v>0</v>
      </c>
      <c r="M2903" t="s">
        <v>4809</v>
      </c>
      <c r="N2903" t="s">
        <v>4900</v>
      </c>
      <c r="O2903" t="s">
        <v>4912</v>
      </c>
    </row>
    <row r="2904" spans="1:15" x14ac:dyDescent="0.35">
      <c r="A2904" t="s">
        <v>2863</v>
      </c>
      <c r="B2904">
        <v>63</v>
      </c>
      <c r="C2904" t="s">
        <v>4803</v>
      </c>
      <c r="D2904" t="s">
        <v>13</v>
      </c>
      <c r="E2904">
        <v>58</v>
      </c>
      <c r="F2904">
        <v>45</v>
      </c>
      <c r="G2904" t="s">
        <v>4800</v>
      </c>
      <c r="H2904" t="s">
        <v>4805</v>
      </c>
      <c r="I2904">
        <v>13.99</v>
      </c>
      <c r="J2904">
        <v>4</v>
      </c>
      <c r="K2904">
        <v>1.93</v>
      </c>
      <c r="L2904">
        <v>0</v>
      </c>
      <c r="M2904" t="s">
        <v>4811</v>
      </c>
      <c r="N2904" t="s">
        <v>4900</v>
      </c>
      <c r="O2904" t="s">
        <v>4911</v>
      </c>
    </row>
    <row r="2905" spans="1:15" x14ac:dyDescent="0.35">
      <c r="A2905" t="s">
        <v>2864</v>
      </c>
      <c r="B2905">
        <v>24</v>
      </c>
      <c r="C2905" t="s">
        <v>4803</v>
      </c>
      <c r="D2905" t="s">
        <v>13</v>
      </c>
      <c r="E2905">
        <v>65</v>
      </c>
      <c r="F2905">
        <v>29</v>
      </c>
      <c r="G2905" t="s">
        <v>4798</v>
      </c>
      <c r="H2905" t="s">
        <v>4805</v>
      </c>
      <c r="I2905">
        <v>13.99</v>
      </c>
      <c r="J2905">
        <v>2</v>
      </c>
      <c r="K2905">
        <v>2.17</v>
      </c>
      <c r="L2905">
        <v>0</v>
      </c>
      <c r="M2905" t="s">
        <v>4810</v>
      </c>
      <c r="N2905" t="s">
        <v>4900</v>
      </c>
      <c r="O2905" t="s">
        <v>4912</v>
      </c>
    </row>
    <row r="2906" spans="1:15" x14ac:dyDescent="0.35">
      <c r="A2906" t="s">
        <v>2865</v>
      </c>
      <c r="B2906">
        <v>33</v>
      </c>
      <c r="C2906" t="s">
        <v>4802</v>
      </c>
      <c r="D2906" t="s">
        <v>13</v>
      </c>
      <c r="E2906">
        <v>61</v>
      </c>
      <c r="F2906">
        <v>52</v>
      </c>
      <c r="G2906" t="s">
        <v>4798</v>
      </c>
      <c r="H2906" t="s">
        <v>4805</v>
      </c>
      <c r="I2906">
        <v>13.99</v>
      </c>
      <c r="J2906">
        <v>3</v>
      </c>
      <c r="K2906">
        <v>2.0299999999999998</v>
      </c>
      <c r="L2906">
        <v>0</v>
      </c>
      <c r="M2906" t="s">
        <v>4809</v>
      </c>
      <c r="N2906" t="s">
        <v>4900</v>
      </c>
      <c r="O2906" t="s">
        <v>4912</v>
      </c>
    </row>
    <row r="2907" spans="1:15" x14ac:dyDescent="0.35">
      <c r="A2907" t="s">
        <v>2866</v>
      </c>
      <c r="B2907">
        <v>31</v>
      </c>
      <c r="C2907" t="s">
        <v>4803</v>
      </c>
      <c r="D2907" t="s">
        <v>13</v>
      </c>
      <c r="E2907">
        <v>63</v>
      </c>
      <c r="F2907">
        <v>50</v>
      </c>
      <c r="G2907" t="s">
        <v>4798</v>
      </c>
      <c r="H2907" t="s">
        <v>4806</v>
      </c>
      <c r="I2907">
        <v>13.99</v>
      </c>
      <c r="J2907">
        <v>3</v>
      </c>
      <c r="K2907">
        <v>2.0299999999999998</v>
      </c>
      <c r="L2907">
        <v>0</v>
      </c>
      <c r="M2907" t="s">
        <v>4809</v>
      </c>
      <c r="N2907" t="s">
        <v>4900</v>
      </c>
      <c r="O2907" t="s">
        <v>4912</v>
      </c>
    </row>
    <row r="2908" spans="1:15" x14ac:dyDescent="0.35">
      <c r="A2908" t="s">
        <v>2867</v>
      </c>
      <c r="B2908">
        <v>56</v>
      </c>
      <c r="C2908" t="s">
        <v>4803</v>
      </c>
      <c r="D2908" t="s">
        <v>13</v>
      </c>
      <c r="E2908">
        <v>32</v>
      </c>
      <c r="F2908">
        <v>36</v>
      </c>
      <c r="G2908" t="s">
        <v>4798</v>
      </c>
      <c r="H2908" t="s">
        <v>4806</v>
      </c>
      <c r="I2908">
        <v>13.99</v>
      </c>
      <c r="J2908">
        <v>3</v>
      </c>
      <c r="K2908">
        <v>1.07</v>
      </c>
      <c r="L2908">
        <v>0</v>
      </c>
      <c r="M2908" t="s">
        <v>4810</v>
      </c>
      <c r="N2908" t="s">
        <v>4900</v>
      </c>
      <c r="O2908" t="s">
        <v>4911</v>
      </c>
    </row>
    <row r="2909" spans="1:15" x14ac:dyDescent="0.35">
      <c r="A2909" t="s">
        <v>2868</v>
      </c>
      <c r="B2909">
        <v>55</v>
      </c>
      <c r="C2909" t="s">
        <v>4802</v>
      </c>
      <c r="D2909" t="s">
        <v>13</v>
      </c>
      <c r="E2909">
        <v>55</v>
      </c>
      <c r="F2909">
        <v>42</v>
      </c>
      <c r="G2909" t="s">
        <v>4800</v>
      </c>
      <c r="H2909" t="s">
        <v>4805</v>
      </c>
      <c r="I2909">
        <v>13.99</v>
      </c>
      <c r="J2909">
        <v>1</v>
      </c>
      <c r="K2909">
        <v>1.83</v>
      </c>
      <c r="L2909">
        <v>1</v>
      </c>
      <c r="M2909" t="s">
        <v>4810</v>
      </c>
      <c r="N2909" t="s">
        <v>4899</v>
      </c>
      <c r="O2909" t="s">
        <v>4911</v>
      </c>
    </row>
    <row r="2910" spans="1:15" x14ac:dyDescent="0.35">
      <c r="A2910" t="s">
        <v>2869</v>
      </c>
      <c r="B2910">
        <v>57</v>
      </c>
      <c r="C2910" t="s">
        <v>4802</v>
      </c>
      <c r="D2910" t="s">
        <v>13</v>
      </c>
      <c r="E2910">
        <v>48</v>
      </c>
      <c r="F2910">
        <v>59</v>
      </c>
      <c r="G2910" t="s">
        <v>4797</v>
      </c>
      <c r="H2910" t="s">
        <v>4805</v>
      </c>
      <c r="I2910">
        <v>13.99</v>
      </c>
      <c r="J2910">
        <v>3</v>
      </c>
      <c r="K2910">
        <v>1.6</v>
      </c>
      <c r="L2910">
        <v>0</v>
      </c>
      <c r="M2910" t="s">
        <v>4809</v>
      </c>
      <c r="N2910" t="s">
        <v>4900</v>
      </c>
      <c r="O2910" t="s">
        <v>4911</v>
      </c>
    </row>
    <row r="2911" spans="1:15" x14ac:dyDescent="0.35">
      <c r="A2911" t="s">
        <v>2870</v>
      </c>
      <c r="B2911">
        <v>37</v>
      </c>
      <c r="C2911" t="s">
        <v>4802</v>
      </c>
      <c r="D2911" t="s">
        <v>15</v>
      </c>
      <c r="E2911">
        <v>86</v>
      </c>
      <c r="F2911">
        <v>37</v>
      </c>
      <c r="G2911" t="s">
        <v>4798</v>
      </c>
      <c r="H2911" t="s">
        <v>4806</v>
      </c>
      <c r="I2911">
        <v>17.989999999999998</v>
      </c>
      <c r="J2911">
        <v>5</v>
      </c>
      <c r="K2911">
        <v>2.87</v>
      </c>
      <c r="L2911">
        <v>0</v>
      </c>
      <c r="M2911" t="s">
        <v>4811</v>
      </c>
      <c r="N2911" t="s">
        <v>4900</v>
      </c>
      <c r="O2911" t="s">
        <v>4910</v>
      </c>
    </row>
    <row r="2912" spans="1:15" x14ac:dyDescent="0.35">
      <c r="A2912" t="s">
        <v>2871</v>
      </c>
      <c r="B2912">
        <v>33</v>
      </c>
      <c r="C2912" t="s">
        <v>4803</v>
      </c>
      <c r="D2912" t="s">
        <v>13</v>
      </c>
      <c r="E2912">
        <v>75</v>
      </c>
      <c r="F2912">
        <v>45</v>
      </c>
      <c r="G2912" t="s">
        <v>4800</v>
      </c>
      <c r="H2912" t="s">
        <v>4805</v>
      </c>
      <c r="I2912">
        <v>13.99</v>
      </c>
      <c r="J2912">
        <v>1</v>
      </c>
      <c r="K2912">
        <v>2.5</v>
      </c>
      <c r="L2912">
        <v>0</v>
      </c>
      <c r="M2912" t="s">
        <v>4812</v>
      </c>
      <c r="N2912" t="s">
        <v>4900</v>
      </c>
      <c r="O2912" t="s">
        <v>4912</v>
      </c>
    </row>
    <row r="2913" spans="1:15" x14ac:dyDescent="0.35">
      <c r="A2913" t="s">
        <v>2872</v>
      </c>
      <c r="B2913">
        <v>46</v>
      </c>
      <c r="C2913" t="s">
        <v>4802</v>
      </c>
      <c r="D2913" t="s">
        <v>13</v>
      </c>
      <c r="E2913">
        <v>34</v>
      </c>
      <c r="F2913" t="s">
        <v>4814</v>
      </c>
      <c r="G2913" t="s">
        <v>4797</v>
      </c>
      <c r="H2913" t="s">
        <v>4804</v>
      </c>
      <c r="I2913">
        <v>13.99</v>
      </c>
      <c r="J2913">
        <v>1</v>
      </c>
      <c r="K2913">
        <v>1.1299999999999999</v>
      </c>
      <c r="L2913">
        <v>0</v>
      </c>
      <c r="M2913" t="s">
        <v>4809</v>
      </c>
      <c r="N2913" t="s">
        <v>4900</v>
      </c>
      <c r="O2913" t="s">
        <v>4910</v>
      </c>
    </row>
    <row r="2914" spans="1:15" x14ac:dyDescent="0.35">
      <c r="A2914" t="s">
        <v>2873</v>
      </c>
      <c r="B2914">
        <v>28</v>
      </c>
      <c r="C2914" t="s">
        <v>4802</v>
      </c>
      <c r="D2914" t="s">
        <v>13</v>
      </c>
      <c r="E2914">
        <v>62</v>
      </c>
      <c r="F2914">
        <v>20</v>
      </c>
      <c r="G2914" t="s">
        <v>4799</v>
      </c>
      <c r="H2914" t="s">
        <v>4805</v>
      </c>
      <c r="I2914">
        <v>13.99</v>
      </c>
      <c r="J2914">
        <v>4</v>
      </c>
      <c r="K2914">
        <v>2.0699999999999998</v>
      </c>
      <c r="L2914">
        <v>0</v>
      </c>
      <c r="M2914" t="s">
        <v>4810</v>
      </c>
      <c r="N2914" t="s">
        <v>4900</v>
      </c>
      <c r="O2914" t="s">
        <v>4912</v>
      </c>
    </row>
    <row r="2915" spans="1:15" x14ac:dyDescent="0.35">
      <c r="A2915" t="s">
        <v>2874</v>
      </c>
      <c r="B2915">
        <v>38</v>
      </c>
      <c r="C2915" t="s">
        <v>4803</v>
      </c>
      <c r="D2915" t="s">
        <v>13</v>
      </c>
      <c r="E2915">
        <v>53</v>
      </c>
      <c r="F2915">
        <v>48</v>
      </c>
      <c r="G2915" t="s">
        <v>4797</v>
      </c>
      <c r="H2915" t="s">
        <v>4805</v>
      </c>
      <c r="I2915">
        <v>13.99</v>
      </c>
      <c r="J2915">
        <v>2</v>
      </c>
      <c r="K2915">
        <v>1.77</v>
      </c>
      <c r="L2915">
        <v>0</v>
      </c>
      <c r="M2915" t="s">
        <v>4810</v>
      </c>
      <c r="N2915" t="s">
        <v>4900</v>
      </c>
      <c r="O2915" t="s">
        <v>4910</v>
      </c>
    </row>
    <row r="2916" spans="1:15" x14ac:dyDescent="0.35">
      <c r="A2916" t="s">
        <v>2875</v>
      </c>
      <c r="B2916">
        <v>60</v>
      </c>
      <c r="C2916" t="s">
        <v>4802</v>
      </c>
      <c r="D2916" t="s">
        <v>14</v>
      </c>
      <c r="E2916">
        <v>45</v>
      </c>
      <c r="F2916">
        <v>20</v>
      </c>
      <c r="G2916" t="s">
        <v>4799</v>
      </c>
      <c r="H2916" t="s">
        <v>4806</v>
      </c>
      <c r="I2916">
        <v>8.99</v>
      </c>
      <c r="J2916">
        <v>1</v>
      </c>
      <c r="K2916">
        <v>1.5</v>
      </c>
      <c r="L2916">
        <v>0</v>
      </c>
      <c r="M2916" t="s">
        <v>4808</v>
      </c>
      <c r="N2916" t="s">
        <v>4900</v>
      </c>
      <c r="O2916" t="s">
        <v>4911</v>
      </c>
    </row>
    <row r="2917" spans="1:15" x14ac:dyDescent="0.35">
      <c r="A2917" t="s">
        <v>2876</v>
      </c>
      <c r="B2917">
        <v>60</v>
      </c>
      <c r="C2917" t="s">
        <v>4803</v>
      </c>
      <c r="D2917" t="s">
        <v>13</v>
      </c>
      <c r="E2917">
        <v>37</v>
      </c>
      <c r="F2917">
        <v>40</v>
      </c>
      <c r="G2917" t="s">
        <v>4800</v>
      </c>
      <c r="H2917" t="s">
        <v>4805</v>
      </c>
      <c r="I2917">
        <v>13.99</v>
      </c>
      <c r="J2917">
        <v>3</v>
      </c>
      <c r="K2917">
        <v>1.23</v>
      </c>
      <c r="L2917">
        <v>0</v>
      </c>
      <c r="M2917" t="s">
        <v>4810</v>
      </c>
      <c r="N2917" t="s">
        <v>4900</v>
      </c>
      <c r="O2917" t="s">
        <v>4911</v>
      </c>
    </row>
    <row r="2918" spans="1:15" x14ac:dyDescent="0.35">
      <c r="A2918" t="s">
        <v>2877</v>
      </c>
      <c r="B2918">
        <v>61</v>
      </c>
      <c r="C2918" t="s">
        <v>4803</v>
      </c>
      <c r="D2918" t="s">
        <v>13</v>
      </c>
      <c r="E2918">
        <v>51</v>
      </c>
      <c r="F2918">
        <v>15</v>
      </c>
      <c r="G2918" t="s">
        <v>4799</v>
      </c>
      <c r="H2918" t="s">
        <v>4805</v>
      </c>
      <c r="I2918">
        <v>13.99</v>
      </c>
      <c r="J2918">
        <v>3</v>
      </c>
      <c r="K2918">
        <v>2.0299999999999998</v>
      </c>
      <c r="L2918">
        <v>0</v>
      </c>
      <c r="M2918" t="s">
        <v>4811</v>
      </c>
      <c r="N2918" t="s">
        <v>4900</v>
      </c>
      <c r="O2918" t="s">
        <v>4911</v>
      </c>
    </row>
    <row r="2919" spans="1:15" x14ac:dyDescent="0.35">
      <c r="A2919" t="s">
        <v>2878</v>
      </c>
      <c r="B2919">
        <v>63</v>
      </c>
      <c r="C2919" t="s">
        <v>4803</v>
      </c>
      <c r="D2919" t="s">
        <v>13</v>
      </c>
      <c r="E2919">
        <v>53</v>
      </c>
      <c r="F2919">
        <v>43</v>
      </c>
      <c r="G2919" t="s">
        <v>4800</v>
      </c>
      <c r="H2919" t="s">
        <v>4805</v>
      </c>
      <c r="I2919">
        <v>13.99</v>
      </c>
      <c r="J2919">
        <v>1</v>
      </c>
      <c r="K2919">
        <v>1.77</v>
      </c>
      <c r="L2919">
        <v>0</v>
      </c>
      <c r="M2919" t="s">
        <v>4809</v>
      </c>
      <c r="N2919" t="s">
        <v>4900</v>
      </c>
      <c r="O2919" t="s">
        <v>4911</v>
      </c>
    </row>
    <row r="2920" spans="1:15" x14ac:dyDescent="0.35">
      <c r="A2920" t="s">
        <v>2879</v>
      </c>
      <c r="B2920">
        <v>40</v>
      </c>
      <c r="C2920" t="s">
        <v>4802</v>
      </c>
      <c r="D2920" t="s">
        <v>15</v>
      </c>
      <c r="E2920">
        <v>118</v>
      </c>
      <c r="F2920">
        <v>3</v>
      </c>
      <c r="G2920" t="s">
        <v>4799</v>
      </c>
      <c r="H2920" t="s">
        <v>4805</v>
      </c>
      <c r="I2920">
        <v>17.989999999999998</v>
      </c>
      <c r="J2920">
        <v>5</v>
      </c>
      <c r="K2920">
        <v>3.93</v>
      </c>
      <c r="L2920">
        <v>0</v>
      </c>
      <c r="M2920" t="s">
        <v>4812</v>
      </c>
      <c r="N2920" t="s">
        <v>4900</v>
      </c>
      <c r="O2920" t="s">
        <v>4910</v>
      </c>
    </row>
    <row r="2921" spans="1:15" x14ac:dyDescent="0.35">
      <c r="A2921" t="s">
        <v>2880</v>
      </c>
      <c r="B2921">
        <v>39</v>
      </c>
      <c r="C2921" t="s">
        <v>4803</v>
      </c>
      <c r="D2921" t="s">
        <v>13</v>
      </c>
      <c r="E2921">
        <v>31</v>
      </c>
      <c r="F2921">
        <v>38</v>
      </c>
      <c r="G2921" t="s">
        <v>4799</v>
      </c>
      <c r="H2921" t="s">
        <v>4804</v>
      </c>
      <c r="I2921">
        <v>13.99</v>
      </c>
      <c r="J2921">
        <v>1</v>
      </c>
      <c r="K2921">
        <v>1.03</v>
      </c>
      <c r="L2921">
        <v>0</v>
      </c>
      <c r="M2921" t="s">
        <v>4810</v>
      </c>
      <c r="N2921" t="s">
        <v>4900</v>
      </c>
      <c r="O2921" t="s">
        <v>4910</v>
      </c>
    </row>
    <row r="2922" spans="1:15" x14ac:dyDescent="0.35">
      <c r="A2922" t="s">
        <v>2881</v>
      </c>
      <c r="B2922">
        <v>34</v>
      </c>
      <c r="C2922" t="s">
        <v>4802</v>
      </c>
      <c r="D2922" t="s">
        <v>14</v>
      </c>
      <c r="E2922">
        <v>34</v>
      </c>
      <c r="F2922">
        <v>22</v>
      </c>
      <c r="G2922" t="s">
        <v>4799</v>
      </c>
      <c r="H2922" t="s">
        <v>4805</v>
      </c>
      <c r="I2922">
        <v>8.99</v>
      </c>
      <c r="J2922">
        <v>1</v>
      </c>
      <c r="K2922">
        <v>1.1299999999999999</v>
      </c>
      <c r="L2922">
        <v>1</v>
      </c>
      <c r="M2922" t="s">
        <v>4808</v>
      </c>
      <c r="N2922" t="s">
        <v>4899</v>
      </c>
      <c r="O2922" t="s">
        <v>4912</v>
      </c>
    </row>
    <row r="2923" spans="1:15" x14ac:dyDescent="0.35">
      <c r="A2923" t="s">
        <v>2882</v>
      </c>
      <c r="B2923">
        <v>20</v>
      </c>
      <c r="C2923" t="s">
        <v>4802</v>
      </c>
      <c r="D2923" t="s">
        <v>15</v>
      </c>
      <c r="E2923">
        <v>102</v>
      </c>
      <c r="F2923">
        <v>44</v>
      </c>
      <c r="G2923" t="s">
        <v>4797</v>
      </c>
      <c r="H2923" t="s">
        <v>4804</v>
      </c>
      <c r="I2923">
        <v>17.989999999999998</v>
      </c>
      <c r="J2923">
        <v>4</v>
      </c>
      <c r="K2923">
        <v>3.4</v>
      </c>
      <c r="L2923">
        <v>0</v>
      </c>
      <c r="M2923" t="s">
        <v>4808</v>
      </c>
      <c r="N2923" t="s">
        <v>4900</v>
      </c>
      <c r="O2923" t="s">
        <v>4912</v>
      </c>
    </row>
    <row r="2924" spans="1:15" x14ac:dyDescent="0.35">
      <c r="A2924" t="s">
        <v>2883</v>
      </c>
      <c r="B2924">
        <v>18</v>
      </c>
      <c r="C2924" t="s">
        <v>4803</v>
      </c>
      <c r="D2924" t="s">
        <v>13</v>
      </c>
      <c r="E2924">
        <v>48</v>
      </c>
      <c r="F2924">
        <v>6</v>
      </c>
      <c r="G2924" t="s">
        <v>4797</v>
      </c>
      <c r="H2924" t="s">
        <v>4804</v>
      </c>
      <c r="I2924">
        <v>13.99</v>
      </c>
      <c r="J2924">
        <v>1</v>
      </c>
      <c r="K2924">
        <v>1.6</v>
      </c>
      <c r="L2924">
        <v>0</v>
      </c>
      <c r="M2924" t="s">
        <v>4809</v>
      </c>
      <c r="N2924" t="s">
        <v>4900</v>
      </c>
      <c r="O2924" t="s">
        <v>4912</v>
      </c>
    </row>
    <row r="2925" spans="1:15" x14ac:dyDescent="0.35">
      <c r="A2925" t="s">
        <v>2884</v>
      </c>
      <c r="B2925">
        <v>58</v>
      </c>
      <c r="C2925" t="s">
        <v>4802</v>
      </c>
      <c r="D2925" t="s">
        <v>13</v>
      </c>
      <c r="E2925">
        <v>56</v>
      </c>
      <c r="F2925">
        <v>25</v>
      </c>
      <c r="G2925" t="s">
        <v>4798</v>
      </c>
      <c r="H2925" t="s">
        <v>4804</v>
      </c>
      <c r="I2925">
        <v>13.99</v>
      </c>
      <c r="J2925">
        <v>1</v>
      </c>
      <c r="K2925">
        <v>1.87</v>
      </c>
      <c r="L2925">
        <v>0</v>
      </c>
      <c r="M2925" t="s">
        <v>4810</v>
      </c>
      <c r="N2925" t="s">
        <v>4900</v>
      </c>
      <c r="O2925" t="s">
        <v>4911</v>
      </c>
    </row>
    <row r="2926" spans="1:15" x14ac:dyDescent="0.35">
      <c r="A2926" t="s">
        <v>2885</v>
      </c>
      <c r="B2926">
        <v>52</v>
      </c>
      <c r="C2926" t="s">
        <v>4803</v>
      </c>
      <c r="D2926" t="s">
        <v>13</v>
      </c>
      <c r="E2926">
        <v>53</v>
      </c>
      <c r="F2926">
        <v>51</v>
      </c>
      <c r="G2926" t="s">
        <v>4798</v>
      </c>
      <c r="H2926" t="s">
        <v>4804</v>
      </c>
      <c r="I2926">
        <v>13.99</v>
      </c>
      <c r="J2926">
        <v>1</v>
      </c>
      <c r="K2926">
        <v>2.0299999999999998</v>
      </c>
      <c r="L2926">
        <v>1</v>
      </c>
      <c r="M2926" t="s">
        <v>4808</v>
      </c>
      <c r="N2926" t="s">
        <v>4899</v>
      </c>
      <c r="O2926" t="s">
        <v>4910</v>
      </c>
    </row>
    <row r="2927" spans="1:15" x14ac:dyDescent="0.35">
      <c r="A2927" t="s">
        <v>2886</v>
      </c>
      <c r="B2927">
        <v>52</v>
      </c>
      <c r="C2927" t="s">
        <v>4802</v>
      </c>
      <c r="D2927" t="s">
        <v>13</v>
      </c>
      <c r="E2927">
        <v>31</v>
      </c>
      <c r="F2927">
        <v>3</v>
      </c>
      <c r="G2927" t="s">
        <v>4799</v>
      </c>
      <c r="H2927" t="s">
        <v>4806</v>
      </c>
      <c r="I2927">
        <v>13.99</v>
      </c>
      <c r="J2927">
        <v>2</v>
      </c>
      <c r="K2927">
        <v>1.03</v>
      </c>
      <c r="L2927">
        <v>0</v>
      </c>
      <c r="M2927" t="s">
        <v>4812</v>
      </c>
      <c r="N2927" t="s">
        <v>4900</v>
      </c>
      <c r="O2927" t="s">
        <v>4910</v>
      </c>
    </row>
    <row r="2928" spans="1:15" x14ac:dyDescent="0.35">
      <c r="A2928" t="s">
        <v>2887</v>
      </c>
      <c r="B2928">
        <v>27</v>
      </c>
      <c r="C2928" t="s">
        <v>4803</v>
      </c>
      <c r="D2928" t="s">
        <v>15</v>
      </c>
      <c r="E2928">
        <v>57</v>
      </c>
      <c r="F2928">
        <v>52</v>
      </c>
      <c r="G2928" t="s">
        <v>4798</v>
      </c>
      <c r="H2928" t="s">
        <v>4805</v>
      </c>
      <c r="I2928">
        <v>17.989999999999998</v>
      </c>
      <c r="J2928">
        <v>3</v>
      </c>
      <c r="K2928">
        <v>1.9</v>
      </c>
      <c r="L2928">
        <v>1</v>
      </c>
      <c r="M2928" t="s">
        <v>4808</v>
      </c>
      <c r="N2928" t="s">
        <v>4899</v>
      </c>
      <c r="O2928" t="s">
        <v>4912</v>
      </c>
    </row>
    <row r="2929" spans="1:15" x14ac:dyDescent="0.35">
      <c r="A2929" t="s">
        <v>2888</v>
      </c>
      <c r="B2929">
        <v>18</v>
      </c>
      <c r="C2929" t="s">
        <v>4802</v>
      </c>
      <c r="D2929" t="s">
        <v>13</v>
      </c>
      <c r="E2929">
        <v>46</v>
      </c>
      <c r="F2929">
        <v>25</v>
      </c>
      <c r="G2929" t="s">
        <v>4798</v>
      </c>
      <c r="H2929" t="s">
        <v>4804</v>
      </c>
      <c r="I2929">
        <v>13.99</v>
      </c>
      <c r="J2929">
        <v>2</v>
      </c>
      <c r="K2929">
        <v>1.53</v>
      </c>
      <c r="L2929">
        <v>1</v>
      </c>
      <c r="M2929" t="s">
        <v>4811</v>
      </c>
      <c r="N2929" t="s">
        <v>4899</v>
      </c>
      <c r="O2929" t="s">
        <v>4912</v>
      </c>
    </row>
    <row r="2930" spans="1:15" x14ac:dyDescent="0.35">
      <c r="A2930" t="s">
        <v>2889</v>
      </c>
      <c r="B2930">
        <v>31</v>
      </c>
      <c r="C2930" t="s">
        <v>4803</v>
      </c>
      <c r="D2930" t="s">
        <v>13</v>
      </c>
      <c r="E2930">
        <v>31</v>
      </c>
      <c r="F2930">
        <v>17</v>
      </c>
      <c r="G2930" t="s">
        <v>4797</v>
      </c>
      <c r="H2930" t="s">
        <v>4805</v>
      </c>
      <c r="I2930">
        <v>13.99</v>
      </c>
      <c r="J2930">
        <v>4</v>
      </c>
      <c r="K2930">
        <v>1.03</v>
      </c>
      <c r="L2930">
        <v>0</v>
      </c>
      <c r="M2930" t="s">
        <v>4809</v>
      </c>
      <c r="N2930" t="s">
        <v>4900</v>
      </c>
      <c r="O2930" t="s">
        <v>4912</v>
      </c>
    </row>
    <row r="2931" spans="1:15" x14ac:dyDescent="0.35">
      <c r="A2931" t="s">
        <v>2890</v>
      </c>
      <c r="B2931">
        <v>65</v>
      </c>
      <c r="C2931" t="s">
        <v>4803</v>
      </c>
      <c r="D2931" t="s">
        <v>14</v>
      </c>
      <c r="E2931">
        <v>29</v>
      </c>
      <c r="F2931">
        <v>7</v>
      </c>
      <c r="G2931" t="s">
        <v>4799</v>
      </c>
      <c r="H2931" t="s">
        <v>4804</v>
      </c>
      <c r="I2931">
        <v>8.99</v>
      </c>
      <c r="J2931">
        <v>1</v>
      </c>
      <c r="K2931">
        <v>2.0299999999999998</v>
      </c>
      <c r="L2931">
        <v>1</v>
      </c>
      <c r="M2931" t="s">
        <v>4811</v>
      </c>
      <c r="N2931" t="s">
        <v>4899</v>
      </c>
      <c r="O2931" t="s">
        <v>4911</v>
      </c>
    </row>
    <row r="2932" spans="1:15" x14ac:dyDescent="0.35">
      <c r="A2932" t="s">
        <v>2891</v>
      </c>
      <c r="B2932">
        <v>62</v>
      </c>
      <c r="C2932" t="s">
        <v>4803</v>
      </c>
      <c r="D2932" t="s">
        <v>15</v>
      </c>
      <c r="E2932">
        <v>109</v>
      </c>
      <c r="F2932">
        <v>21</v>
      </c>
      <c r="G2932" t="s">
        <v>4798</v>
      </c>
      <c r="H2932" t="s">
        <v>4806</v>
      </c>
      <c r="I2932">
        <v>17.989999999999998</v>
      </c>
      <c r="J2932">
        <v>2</v>
      </c>
      <c r="K2932">
        <v>3.63</v>
      </c>
      <c r="L2932">
        <v>0</v>
      </c>
      <c r="M2932" t="s">
        <v>4808</v>
      </c>
      <c r="N2932" t="s">
        <v>4900</v>
      </c>
      <c r="O2932" t="s">
        <v>4911</v>
      </c>
    </row>
    <row r="2933" spans="1:15" x14ac:dyDescent="0.35">
      <c r="A2933" t="s">
        <v>2892</v>
      </c>
      <c r="B2933">
        <v>31</v>
      </c>
      <c r="C2933" t="s">
        <v>4803</v>
      </c>
      <c r="D2933" t="s">
        <v>15</v>
      </c>
      <c r="E2933">
        <v>37</v>
      </c>
      <c r="F2933">
        <v>30</v>
      </c>
      <c r="G2933" t="s">
        <v>4798</v>
      </c>
      <c r="H2933" t="s">
        <v>4804</v>
      </c>
      <c r="I2933">
        <v>17.989999999999998</v>
      </c>
      <c r="J2933">
        <v>4</v>
      </c>
      <c r="K2933">
        <v>1.23</v>
      </c>
      <c r="L2933">
        <v>0</v>
      </c>
      <c r="M2933" t="s">
        <v>4808</v>
      </c>
      <c r="N2933" t="s">
        <v>4900</v>
      </c>
      <c r="O2933" t="s">
        <v>4912</v>
      </c>
    </row>
    <row r="2934" spans="1:15" x14ac:dyDescent="0.35">
      <c r="A2934" t="s">
        <v>2893</v>
      </c>
      <c r="B2934">
        <v>60</v>
      </c>
      <c r="C2934" t="s">
        <v>4803</v>
      </c>
      <c r="D2934" t="s">
        <v>13</v>
      </c>
      <c r="E2934">
        <v>71</v>
      </c>
      <c r="F2934">
        <v>39</v>
      </c>
      <c r="G2934" t="s">
        <v>4798</v>
      </c>
      <c r="H2934" t="s">
        <v>4804</v>
      </c>
      <c r="I2934">
        <v>13.99</v>
      </c>
      <c r="J2934">
        <v>3</v>
      </c>
      <c r="K2934">
        <v>2.37</v>
      </c>
      <c r="L2934">
        <v>0</v>
      </c>
      <c r="M2934" t="s">
        <v>4808</v>
      </c>
      <c r="N2934" t="s">
        <v>4900</v>
      </c>
      <c r="O2934" t="s">
        <v>4911</v>
      </c>
    </row>
    <row r="2935" spans="1:15" x14ac:dyDescent="0.35">
      <c r="A2935" t="s">
        <v>2894</v>
      </c>
      <c r="B2935">
        <v>52</v>
      </c>
      <c r="C2935" t="s">
        <v>4803</v>
      </c>
      <c r="D2935" t="s">
        <v>13</v>
      </c>
      <c r="E2935">
        <v>63</v>
      </c>
      <c r="F2935">
        <v>1</v>
      </c>
      <c r="G2935" t="s">
        <v>4798</v>
      </c>
      <c r="H2935" t="s">
        <v>4805</v>
      </c>
      <c r="I2935">
        <v>13.99</v>
      </c>
      <c r="J2935">
        <v>4</v>
      </c>
      <c r="K2935">
        <v>2.1</v>
      </c>
      <c r="L2935">
        <v>1</v>
      </c>
      <c r="M2935" t="s">
        <v>4810</v>
      </c>
      <c r="N2935" t="s">
        <v>4899</v>
      </c>
      <c r="O2935" t="s">
        <v>4910</v>
      </c>
    </row>
    <row r="2936" spans="1:15" x14ac:dyDescent="0.35">
      <c r="A2936" t="s">
        <v>2895</v>
      </c>
      <c r="B2936">
        <v>35</v>
      </c>
      <c r="C2936" t="s">
        <v>4802</v>
      </c>
      <c r="D2936" t="s">
        <v>14</v>
      </c>
      <c r="E2936">
        <v>15</v>
      </c>
      <c r="F2936">
        <v>999</v>
      </c>
      <c r="G2936" t="s">
        <v>4798</v>
      </c>
      <c r="H2936" t="s">
        <v>4805</v>
      </c>
      <c r="I2936">
        <v>8.99</v>
      </c>
      <c r="J2936">
        <v>1</v>
      </c>
      <c r="K2936">
        <v>0.5</v>
      </c>
      <c r="L2936">
        <v>1</v>
      </c>
      <c r="M2936" t="s">
        <v>4809</v>
      </c>
      <c r="N2936" t="s">
        <v>4899</v>
      </c>
      <c r="O2936" t="s">
        <v>4910</v>
      </c>
    </row>
    <row r="2937" spans="1:15" x14ac:dyDescent="0.35">
      <c r="A2937" t="s">
        <v>2896</v>
      </c>
      <c r="B2937">
        <v>36</v>
      </c>
      <c r="C2937" t="s">
        <v>4802</v>
      </c>
      <c r="D2937" t="s">
        <v>13</v>
      </c>
      <c r="E2937">
        <v>78</v>
      </c>
      <c r="F2937">
        <v>10</v>
      </c>
      <c r="G2937" t="s">
        <v>4798</v>
      </c>
      <c r="H2937" t="s">
        <v>4806</v>
      </c>
      <c r="I2937">
        <v>13.99</v>
      </c>
      <c r="J2937">
        <v>2</v>
      </c>
      <c r="K2937">
        <v>2.6</v>
      </c>
      <c r="L2937">
        <v>1</v>
      </c>
      <c r="M2937" t="s">
        <v>4810</v>
      </c>
      <c r="N2937" t="s">
        <v>4899</v>
      </c>
      <c r="O2937" t="s">
        <v>4910</v>
      </c>
    </row>
    <row r="2938" spans="1:15" x14ac:dyDescent="0.35">
      <c r="A2938" t="s">
        <v>2897</v>
      </c>
      <c r="B2938">
        <v>45</v>
      </c>
      <c r="C2938" t="s">
        <v>4803</v>
      </c>
      <c r="D2938" t="s">
        <v>13</v>
      </c>
      <c r="E2938">
        <v>73</v>
      </c>
      <c r="F2938">
        <v>24</v>
      </c>
      <c r="G2938" t="s">
        <v>4799</v>
      </c>
      <c r="H2938" t="s">
        <v>4807</v>
      </c>
      <c r="I2938">
        <v>13.99</v>
      </c>
      <c r="J2938">
        <v>4</v>
      </c>
      <c r="K2938">
        <v>2.0299999999999998</v>
      </c>
      <c r="L2938">
        <v>0</v>
      </c>
      <c r="M2938" t="s">
        <v>4808</v>
      </c>
      <c r="N2938" t="s">
        <v>4900</v>
      </c>
      <c r="O2938" t="s">
        <v>4910</v>
      </c>
    </row>
    <row r="2939" spans="1:15" x14ac:dyDescent="0.35">
      <c r="A2939" t="s">
        <v>2898</v>
      </c>
      <c r="B2939">
        <v>46</v>
      </c>
      <c r="C2939" t="s">
        <v>4803</v>
      </c>
      <c r="D2939" t="s">
        <v>15</v>
      </c>
      <c r="E2939">
        <v>67</v>
      </c>
      <c r="F2939">
        <v>29</v>
      </c>
      <c r="G2939" t="s">
        <v>4799</v>
      </c>
      <c r="H2939" t="s">
        <v>4805</v>
      </c>
      <c r="I2939">
        <v>17.989999999999998</v>
      </c>
      <c r="J2939">
        <v>4</v>
      </c>
      <c r="K2939">
        <v>2.23</v>
      </c>
      <c r="L2939">
        <v>0</v>
      </c>
      <c r="M2939" t="s">
        <v>4811</v>
      </c>
      <c r="N2939" t="s">
        <v>4900</v>
      </c>
      <c r="O2939" t="s">
        <v>4910</v>
      </c>
    </row>
    <row r="2940" spans="1:15" x14ac:dyDescent="0.35">
      <c r="A2940" t="s">
        <v>2899</v>
      </c>
      <c r="B2940">
        <v>22</v>
      </c>
      <c r="C2940" t="s">
        <v>4803</v>
      </c>
      <c r="D2940" t="s">
        <v>13</v>
      </c>
      <c r="E2940">
        <v>56</v>
      </c>
      <c r="F2940">
        <v>42</v>
      </c>
      <c r="G2940" t="s">
        <v>4797</v>
      </c>
      <c r="H2940" t="s">
        <v>4805</v>
      </c>
      <c r="I2940">
        <v>13.99</v>
      </c>
      <c r="J2940">
        <v>1</v>
      </c>
      <c r="K2940">
        <v>1.87</v>
      </c>
      <c r="L2940">
        <v>0</v>
      </c>
      <c r="M2940" t="s">
        <v>4808</v>
      </c>
      <c r="N2940" t="s">
        <v>4900</v>
      </c>
      <c r="O2940" t="s">
        <v>4912</v>
      </c>
    </row>
    <row r="2941" spans="1:15" x14ac:dyDescent="0.35">
      <c r="A2941" t="s">
        <v>2900</v>
      </c>
      <c r="B2941">
        <v>50</v>
      </c>
      <c r="C2941" t="s">
        <v>4803</v>
      </c>
      <c r="D2941" t="s">
        <v>13</v>
      </c>
      <c r="E2941">
        <v>48</v>
      </c>
      <c r="F2941">
        <v>21</v>
      </c>
      <c r="G2941" t="s">
        <v>4799</v>
      </c>
      <c r="H2941" t="s">
        <v>4805</v>
      </c>
      <c r="I2941">
        <v>13.99</v>
      </c>
      <c r="J2941">
        <v>1</v>
      </c>
      <c r="K2941">
        <v>1.6</v>
      </c>
      <c r="L2941">
        <v>0</v>
      </c>
      <c r="M2941" t="s">
        <v>4811</v>
      </c>
      <c r="N2941" t="s">
        <v>4900</v>
      </c>
      <c r="O2941" t="s">
        <v>4910</v>
      </c>
    </row>
    <row r="2942" spans="1:15" x14ac:dyDescent="0.35">
      <c r="A2942" t="s">
        <v>2901</v>
      </c>
      <c r="B2942">
        <v>41</v>
      </c>
      <c r="C2942" t="s">
        <v>4803</v>
      </c>
      <c r="D2942" t="s">
        <v>14</v>
      </c>
      <c r="E2942">
        <v>64</v>
      </c>
      <c r="F2942">
        <v>50</v>
      </c>
      <c r="G2942" t="s">
        <v>4798</v>
      </c>
      <c r="H2942" t="s">
        <v>4805</v>
      </c>
      <c r="I2942">
        <v>8.99</v>
      </c>
      <c r="J2942">
        <v>1</v>
      </c>
      <c r="K2942">
        <v>2.13</v>
      </c>
      <c r="L2942">
        <v>0</v>
      </c>
      <c r="M2942" t="s">
        <v>4808</v>
      </c>
      <c r="N2942" t="s">
        <v>4900</v>
      </c>
      <c r="O2942" t="s">
        <v>4910</v>
      </c>
    </row>
    <row r="2943" spans="1:15" x14ac:dyDescent="0.35">
      <c r="A2943" t="s">
        <v>2902</v>
      </c>
      <c r="B2943">
        <v>41</v>
      </c>
      <c r="C2943" t="s">
        <v>4802</v>
      </c>
      <c r="D2943" t="s">
        <v>13</v>
      </c>
      <c r="E2943">
        <v>47</v>
      </c>
      <c r="F2943">
        <v>44</v>
      </c>
      <c r="G2943" t="s">
        <v>4798</v>
      </c>
      <c r="H2943" t="s">
        <v>4806</v>
      </c>
      <c r="I2943">
        <v>13.99</v>
      </c>
      <c r="J2943">
        <v>1</v>
      </c>
      <c r="K2943">
        <v>1.57</v>
      </c>
      <c r="L2943">
        <v>0</v>
      </c>
      <c r="M2943" t="s">
        <v>4811</v>
      </c>
      <c r="N2943" t="s">
        <v>4900</v>
      </c>
      <c r="O2943" t="s">
        <v>4910</v>
      </c>
    </row>
    <row r="2944" spans="1:15" x14ac:dyDescent="0.35">
      <c r="A2944" t="s">
        <v>2903</v>
      </c>
      <c r="B2944">
        <v>27</v>
      </c>
      <c r="C2944" t="s">
        <v>4803</v>
      </c>
      <c r="D2944" t="s">
        <v>13</v>
      </c>
      <c r="E2944">
        <v>41</v>
      </c>
      <c r="F2944">
        <v>1</v>
      </c>
      <c r="G2944" t="s">
        <v>4799</v>
      </c>
      <c r="H2944" t="s">
        <v>4805</v>
      </c>
      <c r="I2944">
        <v>13.99</v>
      </c>
      <c r="J2944">
        <v>1</v>
      </c>
      <c r="K2944">
        <v>1.37</v>
      </c>
      <c r="L2944">
        <v>0</v>
      </c>
      <c r="M2944" t="s">
        <v>4809</v>
      </c>
      <c r="N2944" t="s">
        <v>4900</v>
      </c>
      <c r="O2944" t="s">
        <v>4912</v>
      </c>
    </row>
    <row r="2945" spans="1:15" x14ac:dyDescent="0.35">
      <c r="A2945" t="s">
        <v>2904</v>
      </c>
      <c r="B2945">
        <v>61</v>
      </c>
      <c r="C2945" t="s">
        <v>4802</v>
      </c>
      <c r="D2945" t="s">
        <v>15</v>
      </c>
      <c r="E2945">
        <v>88</v>
      </c>
      <c r="F2945">
        <v>2</v>
      </c>
      <c r="G2945" t="s">
        <v>4797</v>
      </c>
      <c r="H2945" t="s">
        <v>4804</v>
      </c>
      <c r="I2945">
        <v>17.989999999999998</v>
      </c>
      <c r="J2945">
        <v>4</v>
      </c>
      <c r="K2945">
        <v>2.93</v>
      </c>
      <c r="L2945">
        <v>0</v>
      </c>
      <c r="M2945" t="s">
        <v>4810</v>
      </c>
      <c r="N2945" t="s">
        <v>4900</v>
      </c>
      <c r="O2945" t="s">
        <v>4911</v>
      </c>
    </row>
    <row r="2946" spans="1:15" x14ac:dyDescent="0.35">
      <c r="A2946" t="s">
        <v>2905</v>
      </c>
      <c r="B2946">
        <v>24</v>
      </c>
      <c r="C2946" t="s">
        <v>4803</v>
      </c>
      <c r="D2946" t="s">
        <v>14</v>
      </c>
      <c r="E2946">
        <v>35</v>
      </c>
      <c r="F2946">
        <v>57</v>
      </c>
      <c r="G2946" t="s">
        <v>4799</v>
      </c>
      <c r="H2946" t="s">
        <v>4805</v>
      </c>
      <c r="I2946">
        <v>8.99</v>
      </c>
      <c r="J2946">
        <v>1</v>
      </c>
      <c r="K2946">
        <v>1.17</v>
      </c>
      <c r="L2946">
        <v>1</v>
      </c>
      <c r="M2946" t="s">
        <v>4812</v>
      </c>
      <c r="N2946" t="s">
        <v>4899</v>
      </c>
      <c r="O2946" t="s">
        <v>4912</v>
      </c>
    </row>
    <row r="2947" spans="1:15" x14ac:dyDescent="0.35">
      <c r="A2947" t="s">
        <v>2906</v>
      </c>
      <c r="B2947">
        <v>58</v>
      </c>
      <c r="C2947" t="s">
        <v>4803</v>
      </c>
      <c r="D2947" t="s">
        <v>15</v>
      </c>
      <c r="E2947">
        <v>97</v>
      </c>
      <c r="F2947">
        <v>3</v>
      </c>
      <c r="G2947" t="s">
        <v>4799</v>
      </c>
      <c r="H2947" t="s">
        <v>4805</v>
      </c>
      <c r="I2947">
        <v>17.989999999999998</v>
      </c>
      <c r="J2947">
        <v>3</v>
      </c>
      <c r="K2947">
        <v>3.23</v>
      </c>
      <c r="L2947">
        <v>0</v>
      </c>
      <c r="M2947" t="s">
        <v>4811</v>
      </c>
      <c r="N2947" t="s">
        <v>4900</v>
      </c>
      <c r="O2947" t="s">
        <v>4911</v>
      </c>
    </row>
    <row r="2948" spans="1:15" x14ac:dyDescent="0.35">
      <c r="A2948" t="s">
        <v>2907</v>
      </c>
      <c r="B2948">
        <v>52</v>
      </c>
      <c r="C2948" t="s">
        <v>4803</v>
      </c>
      <c r="D2948" t="s">
        <v>13</v>
      </c>
      <c r="E2948">
        <v>57</v>
      </c>
      <c r="F2948">
        <v>12</v>
      </c>
      <c r="G2948" t="s">
        <v>4797</v>
      </c>
      <c r="H2948" t="s">
        <v>4805</v>
      </c>
      <c r="I2948">
        <v>13.99</v>
      </c>
      <c r="J2948">
        <v>1</v>
      </c>
      <c r="K2948">
        <v>1.9</v>
      </c>
      <c r="L2948">
        <v>0</v>
      </c>
      <c r="M2948" t="s">
        <v>4809</v>
      </c>
      <c r="N2948" t="s">
        <v>4900</v>
      </c>
      <c r="O2948" t="s">
        <v>4910</v>
      </c>
    </row>
    <row r="2949" spans="1:15" x14ac:dyDescent="0.35">
      <c r="A2949" t="s">
        <v>2908</v>
      </c>
      <c r="B2949">
        <v>62</v>
      </c>
      <c r="C2949" t="s">
        <v>4802</v>
      </c>
      <c r="D2949" t="s">
        <v>13</v>
      </c>
      <c r="E2949">
        <v>54</v>
      </c>
      <c r="F2949">
        <v>28</v>
      </c>
      <c r="G2949" t="s">
        <v>4800</v>
      </c>
      <c r="H2949" t="s">
        <v>4805</v>
      </c>
      <c r="I2949">
        <v>13.99</v>
      </c>
      <c r="J2949">
        <v>4</v>
      </c>
      <c r="K2949">
        <v>1.8</v>
      </c>
      <c r="L2949">
        <v>0</v>
      </c>
      <c r="M2949" t="s">
        <v>4809</v>
      </c>
      <c r="N2949" t="s">
        <v>4900</v>
      </c>
      <c r="O2949" t="s">
        <v>4911</v>
      </c>
    </row>
    <row r="2950" spans="1:15" x14ac:dyDescent="0.35">
      <c r="A2950" t="s">
        <v>2909</v>
      </c>
      <c r="B2950">
        <v>56</v>
      </c>
      <c r="C2950" t="s">
        <v>4803</v>
      </c>
      <c r="D2950" t="s">
        <v>13</v>
      </c>
      <c r="E2950">
        <v>35</v>
      </c>
      <c r="F2950">
        <v>30</v>
      </c>
      <c r="G2950" t="s">
        <v>4799</v>
      </c>
      <c r="H2950" t="s">
        <v>4805</v>
      </c>
      <c r="I2950">
        <v>13.99</v>
      </c>
      <c r="J2950">
        <v>4</v>
      </c>
      <c r="K2950">
        <v>1.17</v>
      </c>
      <c r="L2950">
        <v>0</v>
      </c>
      <c r="M2950" t="s">
        <v>4811</v>
      </c>
      <c r="N2950" t="s">
        <v>4900</v>
      </c>
      <c r="O2950" t="s">
        <v>4911</v>
      </c>
    </row>
    <row r="2951" spans="1:15" x14ac:dyDescent="0.35">
      <c r="A2951" t="s">
        <v>2910</v>
      </c>
      <c r="B2951">
        <v>49</v>
      </c>
      <c r="C2951" t="s">
        <v>4803</v>
      </c>
      <c r="D2951" t="s">
        <v>15</v>
      </c>
      <c r="E2951">
        <v>52</v>
      </c>
      <c r="F2951">
        <v>28</v>
      </c>
      <c r="G2951" t="s">
        <v>4799</v>
      </c>
      <c r="H2951" t="s">
        <v>4805</v>
      </c>
      <c r="I2951">
        <v>17.989999999999998</v>
      </c>
      <c r="J2951">
        <v>3</v>
      </c>
      <c r="K2951">
        <v>1.73</v>
      </c>
      <c r="L2951">
        <v>0</v>
      </c>
      <c r="M2951" t="s">
        <v>4810</v>
      </c>
      <c r="N2951" t="s">
        <v>4900</v>
      </c>
      <c r="O2951" t="s">
        <v>4910</v>
      </c>
    </row>
    <row r="2952" spans="1:15" x14ac:dyDescent="0.35">
      <c r="A2952" t="s">
        <v>2911</v>
      </c>
      <c r="B2952">
        <v>38</v>
      </c>
      <c r="C2952" t="s">
        <v>4802</v>
      </c>
      <c r="D2952" t="s">
        <v>13</v>
      </c>
      <c r="E2952">
        <v>31</v>
      </c>
      <c r="F2952">
        <v>4</v>
      </c>
      <c r="G2952" t="s">
        <v>4797</v>
      </c>
      <c r="H2952" t="s">
        <v>4804</v>
      </c>
      <c r="I2952">
        <v>13.99</v>
      </c>
      <c r="J2952">
        <v>3</v>
      </c>
      <c r="K2952">
        <v>1.03</v>
      </c>
      <c r="L2952">
        <v>0</v>
      </c>
      <c r="M2952" t="s">
        <v>4809</v>
      </c>
      <c r="N2952" t="s">
        <v>4900</v>
      </c>
      <c r="O2952" t="s">
        <v>4910</v>
      </c>
    </row>
    <row r="2953" spans="1:15" x14ac:dyDescent="0.35">
      <c r="A2953" t="s">
        <v>2912</v>
      </c>
      <c r="B2953">
        <v>29</v>
      </c>
      <c r="C2953" t="s">
        <v>4802</v>
      </c>
      <c r="D2953" t="s">
        <v>13</v>
      </c>
      <c r="E2953">
        <v>44</v>
      </c>
      <c r="F2953">
        <v>52</v>
      </c>
      <c r="G2953" t="s">
        <v>4798</v>
      </c>
      <c r="H2953" t="s">
        <v>4806</v>
      </c>
      <c r="I2953">
        <v>13.99</v>
      </c>
      <c r="J2953">
        <v>4</v>
      </c>
      <c r="K2953">
        <v>1.47</v>
      </c>
      <c r="L2953">
        <v>0</v>
      </c>
      <c r="M2953" t="s">
        <v>4812</v>
      </c>
      <c r="N2953" t="s">
        <v>4900</v>
      </c>
      <c r="O2953" t="s">
        <v>4912</v>
      </c>
    </row>
    <row r="2954" spans="1:15" x14ac:dyDescent="0.35">
      <c r="A2954" t="s">
        <v>2913</v>
      </c>
      <c r="B2954">
        <v>62</v>
      </c>
      <c r="C2954" t="s">
        <v>4802</v>
      </c>
      <c r="D2954" t="s">
        <v>13</v>
      </c>
      <c r="E2954">
        <v>44</v>
      </c>
      <c r="F2954">
        <v>15</v>
      </c>
      <c r="G2954" t="s">
        <v>4800</v>
      </c>
      <c r="H2954" t="s">
        <v>4805</v>
      </c>
      <c r="I2954">
        <v>13.99</v>
      </c>
      <c r="J2954">
        <v>3</v>
      </c>
      <c r="K2954">
        <v>1.47</v>
      </c>
      <c r="L2954">
        <v>0</v>
      </c>
      <c r="M2954" t="s">
        <v>4808</v>
      </c>
      <c r="N2954" t="s">
        <v>4900</v>
      </c>
      <c r="O2954" t="s">
        <v>4911</v>
      </c>
    </row>
    <row r="2955" spans="1:15" x14ac:dyDescent="0.35">
      <c r="A2955" t="s">
        <v>2914</v>
      </c>
      <c r="B2955">
        <v>55</v>
      </c>
      <c r="C2955" t="s">
        <v>4803</v>
      </c>
      <c r="D2955" t="s">
        <v>13</v>
      </c>
      <c r="E2955">
        <v>78</v>
      </c>
      <c r="F2955">
        <v>55</v>
      </c>
      <c r="G2955" t="s">
        <v>4798</v>
      </c>
      <c r="H2955" t="s">
        <v>4805</v>
      </c>
      <c r="I2955">
        <v>13.99</v>
      </c>
      <c r="J2955">
        <v>4</v>
      </c>
      <c r="K2955">
        <v>2.6</v>
      </c>
      <c r="L2955">
        <v>0</v>
      </c>
      <c r="M2955" t="s">
        <v>4810</v>
      </c>
      <c r="N2955" t="s">
        <v>4900</v>
      </c>
      <c r="O2955" t="s">
        <v>4911</v>
      </c>
    </row>
    <row r="2956" spans="1:15" x14ac:dyDescent="0.35">
      <c r="A2956" t="s">
        <v>2915</v>
      </c>
      <c r="B2956">
        <v>65</v>
      </c>
      <c r="C2956" t="s">
        <v>4802</v>
      </c>
      <c r="D2956" t="s">
        <v>13</v>
      </c>
      <c r="E2956">
        <v>35</v>
      </c>
      <c r="F2956">
        <v>50</v>
      </c>
      <c r="G2956" t="s">
        <v>4797</v>
      </c>
      <c r="H2956" t="s">
        <v>4806</v>
      </c>
      <c r="I2956">
        <v>13.99</v>
      </c>
      <c r="J2956">
        <v>2</v>
      </c>
      <c r="K2956">
        <v>1.17</v>
      </c>
      <c r="L2956">
        <v>1</v>
      </c>
      <c r="M2956" t="s">
        <v>4810</v>
      </c>
      <c r="N2956" t="s">
        <v>4899</v>
      </c>
      <c r="O2956" t="s">
        <v>4911</v>
      </c>
    </row>
    <row r="2957" spans="1:15" x14ac:dyDescent="0.35">
      <c r="A2957" t="s">
        <v>2916</v>
      </c>
      <c r="B2957">
        <v>19</v>
      </c>
      <c r="C2957" t="s">
        <v>4802</v>
      </c>
      <c r="D2957" t="s">
        <v>15</v>
      </c>
      <c r="E2957">
        <v>90</v>
      </c>
      <c r="F2957">
        <v>53</v>
      </c>
      <c r="G2957" t="s">
        <v>4799</v>
      </c>
      <c r="H2957" t="s">
        <v>4805</v>
      </c>
      <c r="I2957">
        <v>17.989999999999998</v>
      </c>
      <c r="J2957">
        <v>5</v>
      </c>
      <c r="K2957">
        <v>3</v>
      </c>
      <c r="L2957">
        <v>0</v>
      </c>
      <c r="M2957" t="s">
        <v>4812</v>
      </c>
      <c r="N2957" t="s">
        <v>4900</v>
      </c>
      <c r="O2957" t="s">
        <v>4912</v>
      </c>
    </row>
    <row r="2958" spans="1:15" x14ac:dyDescent="0.35">
      <c r="A2958" t="s">
        <v>2917</v>
      </c>
      <c r="B2958">
        <v>41</v>
      </c>
      <c r="C2958" t="s">
        <v>4803</v>
      </c>
      <c r="D2958" t="s">
        <v>13</v>
      </c>
      <c r="E2958">
        <v>72</v>
      </c>
      <c r="F2958">
        <v>49</v>
      </c>
      <c r="G2958" t="s">
        <v>4798</v>
      </c>
      <c r="H2958" t="s">
        <v>4805</v>
      </c>
      <c r="I2958">
        <v>13.99</v>
      </c>
      <c r="J2958">
        <v>2</v>
      </c>
      <c r="K2958">
        <v>2.4</v>
      </c>
      <c r="L2958">
        <v>0</v>
      </c>
      <c r="M2958" t="s">
        <v>4812</v>
      </c>
      <c r="N2958" t="s">
        <v>4900</v>
      </c>
      <c r="O2958" t="s">
        <v>4910</v>
      </c>
    </row>
    <row r="2959" spans="1:15" x14ac:dyDescent="0.35">
      <c r="A2959" t="s">
        <v>2918</v>
      </c>
      <c r="B2959">
        <v>45</v>
      </c>
      <c r="C2959" t="s">
        <v>4803</v>
      </c>
      <c r="D2959" t="s">
        <v>13</v>
      </c>
      <c r="E2959">
        <v>56</v>
      </c>
      <c r="F2959">
        <v>15</v>
      </c>
      <c r="G2959" t="s">
        <v>4799</v>
      </c>
      <c r="H2959" t="s">
        <v>4804</v>
      </c>
      <c r="I2959">
        <v>13.99</v>
      </c>
      <c r="J2959">
        <v>2</v>
      </c>
      <c r="K2959">
        <v>2.0299999999999998</v>
      </c>
      <c r="L2959">
        <v>0</v>
      </c>
      <c r="M2959" t="s">
        <v>4811</v>
      </c>
      <c r="N2959" t="s">
        <v>4900</v>
      </c>
      <c r="O2959" t="s">
        <v>4910</v>
      </c>
    </row>
    <row r="2960" spans="1:15" x14ac:dyDescent="0.35">
      <c r="A2960" t="s">
        <v>2919</v>
      </c>
      <c r="B2960">
        <v>27</v>
      </c>
      <c r="C2960" t="s">
        <v>4802</v>
      </c>
      <c r="D2960" t="s">
        <v>13</v>
      </c>
      <c r="E2960">
        <v>32</v>
      </c>
      <c r="F2960">
        <v>0</v>
      </c>
      <c r="G2960" t="s">
        <v>4799</v>
      </c>
      <c r="H2960" t="s">
        <v>4804</v>
      </c>
      <c r="I2960">
        <v>13.99</v>
      </c>
      <c r="J2960">
        <v>4</v>
      </c>
      <c r="K2960">
        <v>1.07</v>
      </c>
      <c r="L2960">
        <v>0</v>
      </c>
      <c r="M2960" t="s">
        <v>4808</v>
      </c>
      <c r="N2960" t="s">
        <v>4900</v>
      </c>
      <c r="O2960" t="s">
        <v>4912</v>
      </c>
    </row>
    <row r="2961" spans="1:15" x14ac:dyDescent="0.35">
      <c r="A2961" t="s">
        <v>2920</v>
      </c>
      <c r="B2961">
        <v>65</v>
      </c>
      <c r="C2961" t="s">
        <v>4803</v>
      </c>
      <c r="D2961" t="s">
        <v>13</v>
      </c>
      <c r="E2961">
        <v>61</v>
      </c>
      <c r="F2961">
        <v>44</v>
      </c>
      <c r="G2961" t="s">
        <v>4798</v>
      </c>
      <c r="H2961" t="s">
        <v>4807</v>
      </c>
      <c r="I2961">
        <v>13.99</v>
      </c>
      <c r="J2961">
        <v>2</v>
      </c>
      <c r="K2961">
        <v>2.0299999999999998</v>
      </c>
      <c r="L2961">
        <v>0</v>
      </c>
      <c r="M2961" t="s">
        <v>4811</v>
      </c>
      <c r="N2961" t="s">
        <v>4900</v>
      </c>
      <c r="O2961" t="s">
        <v>4911</v>
      </c>
    </row>
    <row r="2962" spans="1:15" x14ac:dyDescent="0.35">
      <c r="A2962" t="s">
        <v>2921</v>
      </c>
      <c r="B2962">
        <v>45</v>
      </c>
      <c r="C2962" t="s">
        <v>4803</v>
      </c>
      <c r="D2962" t="s">
        <v>13</v>
      </c>
      <c r="E2962">
        <v>49</v>
      </c>
      <c r="F2962">
        <v>52</v>
      </c>
      <c r="G2962" t="s">
        <v>4798</v>
      </c>
      <c r="H2962" t="s">
        <v>4805</v>
      </c>
      <c r="I2962">
        <v>13.99</v>
      </c>
      <c r="J2962">
        <v>2</v>
      </c>
      <c r="K2962">
        <v>1.63</v>
      </c>
      <c r="L2962">
        <v>1</v>
      </c>
      <c r="M2962" t="s">
        <v>4808</v>
      </c>
      <c r="N2962" t="s">
        <v>4899</v>
      </c>
      <c r="O2962" t="s">
        <v>4910</v>
      </c>
    </row>
    <row r="2963" spans="1:15" x14ac:dyDescent="0.35">
      <c r="A2963" t="s">
        <v>2922</v>
      </c>
      <c r="B2963">
        <v>22</v>
      </c>
      <c r="C2963" t="s">
        <v>4803</v>
      </c>
      <c r="D2963" t="s">
        <v>13</v>
      </c>
      <c r="E2963">
        <v>38</v>
      </c>
      <c r="F2963">
        <v>45</v>
      </c>
      <c r="G2963" t="s">
        <v>4798</v>
      </c>
      <c r="H2963" t="s">
        <v>4806</v>
      </c>
      <c r="I2963">
        <v>13.99</v>
      </c>
      <c r="J2963">
        <v>2</v>
      </c>
      <c r="K2963">
        <v>1.27</v>
      </c>
      <c r="L2963">
        <v>0</v>
      </c>
      <c r="M2963" t="s">
        <v>4809</v>
      </c>
      <c r="N2963" t="s">
        <v>4900</v>
      </c>
      <c r="O2963" t="s">
        <v>4912</v>
      </c>
    </row>
    <row r="2964" spans="1:15" x14ac:dyDescent="0.35">
      <c r="A2964" t="s">
        <v>2923</v>
      </c>
      <c r="B2964">
        <v>52</v>
      </c>
      <c r="C2964" t="s">
        <v>4803</v>
      </c>
      <c r="D2964" t="s">
        <v>13</v>
      </c>
      <c r="E2964">
        <v>76</v>
      </c>
      <c r="F2964">
        <v>19</v>
      </c>
      <c r="G2964" t="s">
        <v>4799</v>
      </c>
      <c r="H2964" t="s">
        <v>4804</v>
      </c>
      <c r="I2964">
        <v>13.99</v>
      </c>
      <c r="J2964">
        <v>1</v>
      </c>
      <c r="K2964">
        <v>5</v>
      </c>
      <c r="L2964">
        <v>0</v>
      </c>
      <c r="M2964" t="s">
        <v>4809</v>
      </c>
      <c r="N2964" t="s">
        <v>4900</v>
      </c>
      <c r="O2964" t="s">
        <v>4910</v>
      </c>
    </row>
    <row r="2965" spans="1:15" x14ac:dyDescent="0.35">
      <c r="A2965" t="s">
        <v>2924</v>
      </c>
      <c r="B2965">
        <v>39</v>
      </c>
      <c r="C2965" t="s">
        <v>4803</v>
      </c>
      <c r="D2965" t="s">
        <v>13</v>
      </c>
      <c r="E2965">
        <v>57</v>
      </c>
      <c r="F2965">
        <v>16</v>
      </c>
      <c r="G2965" t="s">
        <v>4798</v>
      </c>
      <c r="H2965" t="s">
        <v>4804</v>
      </c>
      <c r="I2965">
        <v>13.99</v>
      </c>
      <c r="J2965">
        <v>3</v>
      </c>
      <c r="K2965">
        <v>1.9</v>
      </c>
      <c r="L2965">
        <v>0</v>
      </c>
      <c r="M2965" t="s">
        <v>4811</v>
      </c>
      <c r="N2965" t="s">
        <v>4900</v>
      </c>
      <c r="O2965" t="s">
        <v>4910</v>
      </c>
    </row>
    <row r="2966" spans="1:15" x14ac:dyDescent="0.35">
      <c r="A2966" t="s">
        <v>2925</v>
      </c>
      <c r="B2966">
        <v>34</v>
      </c>
      <c r="C2966" t="s">
        <v>4802</v>
      </c>
      <c r="D2966" t="s">
        <v>13</v>
      </c>
      <c r="E2966">
        <v>47</v>
      </c>
      <c r="F2966">
        <v>58</v>
      </c>
      <c r="G2966" t="s">
        <v>4798</v>
      </c>
      <c r="H2966" t="s">
        <v>4805</v>
      </c>
      <c r="I2966">
        <v>13.99</v>
      </c>
      <c r="J2966">
        <v>3</v>
      </c>
      <c r="K2966">
        <v>1.57</v>
      </c>
      <c r="L2966">
        <v>1</v>
      </c>
      <c r="M2966" t="s">
        <v>4810</v>
      </c>
      <c r="N2966" t="s">
        <v>4899</v>
      </c>
      <c r="O2966" t="s">
        <v>4912</v>
      </c>
    </row>
    <row r="2967" spans="1:15" x14ac:dyDescent="0.35">
      <c r="A2967" t="s">
        <v>2926</v>
      </c>
      <c r="B2967">
        <v>65</v>
      </c>
      <c r="C2967" t="s">
        <v>4802</v>
      </c>
      <c r="D2967" t="s">
        <v>13</v>
      </c>
      <c r="E2967">
        <v>70</v>
      </c>
      <c r="F2967">
        <v>55</v>
      </c>
      <c r="G2967" t="s">
        <v>4798</v>
      </c>
      <c r="H2967" t="s">
        <v>4804</v>
      </c>
      <c r="I2967">
        <v>13.99</v>
      </c>
      <c r="J2967">
        <v>2</v>
      </c>
      <c r="K2967">
        <v>2.33</v>
      </c>
      <c r="L2967">
        <v>0</v>
      </c>
      <c r="M2967" t="s">
        <v>4810</v>
      </c>
      <c r="N2967" t="s">
        <v>4900</v>
      </c>
      <c r="O2967" t="s">
        <v>4911</v>
      </c>
    </row>
    <row r="2968" spans="1:15" x14ac:dyDescent="0.35">
      <c r="A2968" t="s">
        <v>2927</v>
      </c>
      <c r="B2968">
        <v>39</v>
      </c>
      <c r="C2968" t="s">
        <v>4802</v>
      </c>
      <c r="D2968" t="s">
        <v>13</v>
      </c>
      <c r="E2968">
        <v>67</v>
      </c>
      <c r="F2968">
        <v>26</v>
      </c>
      <c r="G2968" t="s">
        <v>4798</v>
      </c>
      <c r="H2968" t="s">
        <v>4806</v>
      </c>
      <c r="I2968">
        <v>13.99</v>
      </c>
      <c r="J2968">
        <v>1</v>
      </c>
      <c r="K2968">
        <v>2.23</v>
      </c>
      <c r="L2968">
        <v>1</v>
      </c>
      <c r="M2968" t="s">
        <v>4808</v>
      </c>
      <c r="N2968" t="s">
        <v>4899</v>
      </c>
      <c r="O2968" t="s">
        <v>4910</v>
      </c>
    </row>
    <row r="2969" spans="1:15" x14ac:dyDescent="0.35">
      <c r="A2969" t="s">
        <v>2928</v>
      </c>
      <c r="B2969">
        <v>35</v>
      </c>
      <c r="C2969" t="s">
        <v>4802</v>
      </c>
      <c r="D2969" t="s">
        <v>13</v>
      </c>
      <c r="E2969">
        <v>33</v>
      </c>
      <c r="F2969">
        <v>42</v>
      </c>
      <c r="G2969" t="s">
        <v>4799</v>
      </c>
      <c r="H2969" t="s">
        <v>4806</v>
      </c>
      <c r="I2969">
        <v>13.99</v>
      </c>
      <c r="J2969">
        <v>2</v>
      </c>
      <c r="K2969">
        <v>1.1000000000000001</v>
      </c>
      <c r="L2969">
        <v>0</v>
      </c>
      <c r="M2969" t="s">
        <v>4812</v>
      </c>
      <c r="N2969" t="s">
        <v>4900</v>
      </c>
      <c r="O2969" t="s">
        <v>4910</v>
      </c>
    </row>
    <row r="2970" spans="1:15" x14ac:dyDescent="0.35">
      <c r="A2970" t="s">
        <v>2929</v>
      </c>
      <c r="B2970">
        <v>31</v>
      </c>
      <c r="C2970" t="s">
        <v>4802</v>
      </c>
      <c r="D2970" t="s">
        <v>13</v>
      </c>
      <c r="E2970">
        <v>35</v>
      </c>
      <c r="F2970">
        <v>46</v>
      </c>
      <c r="G2970" t="s">
        <v>4799</v>
      </c>
      <c r="H2970" t="s">
        <v>4805</v>
      </c>
      <c r="I2970">
        <v>13.99</v>
      </c>
      <c r="J2970">
        <v>2</v>
      </c>
      <c r="K2970">
        <v>1.17</v>
      </c>
      <c r="L2970">
        <v>0</v>
      </c>
      <c r="M2970" t="s">
        <v>4811</v>
      </c>
      <c r="N2970" t="s">
        <v>4900</v>
      </c>
      <c r="O2970" t="s">
        <v>4912</v>
      </c>
    </row>
    <row r="2971" spans="1:15" x14ac:dyDescent="0.35">
      <c r="A2971" t="s">
        <v>2930</v>
      </c>
      <c r="B2971">
        <v>44</v>
      </c>
      <c r="C2971" t="s">
        <v>4802</v>
      </c>
      <c r="D2971" t="s">
        <v>13</v>
      </c>
      <c r="E2971">
        <v>34</v>
      </c>
      <c r="F2971">
        <v>50</v>
      </c>
      <c r="G2971" t="s">
        <v>4797</v>
      </c>
      <c r="H2971" t="s">
        <v>4805</v>
      </c>
      <c r="I2971">
        <v>13.99</v>
      </c>
      <c r="J2971">
        <v>3</v>
      </c>
      <c r="K2971">
        <v>1.1299999999999999</v>
      </c>
      <c r="L2971">
        <v>1</v>
      </c>
      <c r="M2971" t="s">
        <v>4812</v>
      </c>
      <c r="N2971" t="s">
        <v>4899</v>
      </c>
      <c r="O2971" t="s">
        <v>4910</v>
      </c>
    </row>
    <row r="2972" spans="1:15" x14ac:dyDescent="0.35">
      <c r="A2972" t="s">
        <v>2931</v>
      </c>
      <c r="B2972">
        <v>47</v>
      </c>
      <c r="C2972" t="s">
        <v>4803</v>
      </c>
      <c r="D2972" t="s">
        <v>13</v>
      </c>
      <c r="E2972">
        <v>39</v>
      </c>
      <c r="F2972">
        <v>17</v>
      </c>
      <c r="G2972" t="s">
        <v>4798</v>
      </c>
      <c r="H2972" t="s">
        <v>4804</v>
      </c>
      <c r="I2972">
        <v>13.99</v>
      </c>
      <c r="J2972">
        <v>2</v>
      </c>
      <c r="K2972">
        <v>1.3</v>
      </c>
      <c r="L2972">
        <v>0</v>
      </c>
      <c r="M2972" t="s">
        <v>4811</v>
      </c>
      <c r="N2972" t="s">
        <v>4900</v>
      </c>
      <c r="O2972" t="s">
        <v>4910</v>
      </c>
    </row>
    <row r="2973" spans="1:15" x14ac:dyDescent="0.35">
      <c r="A2973" t="s">
        <v>2932</v>
      </c>
      <c r="B2973">
        <v>48</v>
      </c>
      <c r="C2973" t="s">
        <v>4802</v>
      </c>
      <c r="D2973" t="s">
        <v>13</v>
      </c>
      <c r="E2973">
        <v>55</v>
      </c>
      <c r="F2973">
        <v>24</v>
      </c>
      <c r="G2973" t="s">
        <v>4798</v>
      </c>
      <c r="H2973" t="s">
        <v>4805</v>
      </c>
      <c r="I2973">
        <v>13.99</v>
      </c>
      <c r="J2973">
        <v>1</v>
      </c>
      <c r="K2973">
        <v>1.83</v>
      </c>
      <c r="L2973">
        <v>0</v>
      </c>
      <c r="M2973" t="s">
        <v>4809</v>
      </c>
      <c r="N2973" t="s">
        <v>4900</v>
      </c>
      <c r="O2973" t="s">
        <v>4910</v>
      </c>
    </row>
    <row r="2974" spans="1:15" x14ac:dyDescent="0.35">
      <c r="A2974" t="s">
        <v>2933</v>
      </c>
      <c r="B2974">
        <v>19</v>
      </c>
      <c r="C2974" t="s">
        <v>4803</v>
      </c>
      <c r="D2974" t="s">
        <v>13</v>
      </c>
      <c r="E2974">
        <v>42</v>
      </c>
      <c r="F2974">
        <v>37</v>
      </c>
      <c r="G2974" t="s">
        <v>4798</v>
      </c>
      <c r="H2974" t="s">
        <v>4805</v>
      </c>
      <c r="I2974">
        <v>13.99</v>
      </c>
      <c r="J2974">
        <v>1</v>
      </c>
      <c r="K2974">
        <v>1.4</v>
      </c>
      <c r="L2974">
        <v>0</v>
      </c>
      <c r="M2974" t="s">
        <v>4809</v>
      </c>
      <c r="N2974" t="s">
        <v>4900</v>
      </c>
      <c r="O2974" t="s">
        <v>4912</v>
      </c>
    </row>
    <row r="2975" spans="1:15" x14ac:dyDescent="0.35">
      <c r="A2975" t="s">
        <v>2934</v>
      </c>
      <c r="B2975">
        <v>58</v>
      </c>
      <c r="C2975" t="s">
        <v>4803</v>
      </c>
      <c r="D2975" t="s">
        <v>15</v>
      </c>
      <c r="E2975">
        <v>51</v>
      </c>
      <c r="F2975">
        <v>12</v>
      </c>
      <c r="G2975" t="s">
        <v>4797</v>
      </c>
      <c r="H2975" t="s">
        <v>4804</v>
      </c>
      <c r="I2975">
        <v>17.989999999999998</v>
      </c>
      <c r="J2975">
        <v>5</v>
      </c>
      <c r="K2975">
        <v>2.0299999999999998</v>
      </c>
      <c r="L2975">
        <v>0</v>
      </c>
      <c r="M2975" t="s">
        <v>4810</v>
      </c>
      <c r="N2975" t="s">
        <v>4900</v>
      </c>
      <c r="O2975" t="s">
        <v>4911</v>
      </c>
    </row>
    <row r="2976" spans="1:15" x14ac:dyDescent="0.35">
      <c r="A2976" t="s">
        <v>2935</v>
      </c>
      <c r="B2976">
        <v>33</v>
      </c>
      <c r="C2976" t="s">
        <v>4802</v>
      </c>
      <c r="D2976" t="s">
        <v>15</v>
      </c>
      <c r="E2976">
        <v>50</v>
      </c>
      <c r="F2976">
        <v>36</v>
      </c>
      <c r="G2976" t="s">
        <v>4798</v>
      </c>
      <c r="H2976" t="s">
        <v>4805</v>
      </c>
      <c r="I2976">
        <v>17.989999999999998</v>
      </c>
      <c r="J2976">
        <v>4</v>
      </c>
      <c r="K2976">
        <v>1.67</v>
      </c>
      <c r="L2976">
        <v>0</v>
      </c>
      <c r="M2976" t="s">
        <v>4810</v>
      </c>
      <c r="N2976" t="s">
        <v>4900</v>
      </c>
      <c r="O2976" t="s">
        <v>4912</v>
      </c>
    </row>
    <row r="2977" spans="1:15" x14ac:dyDescent="0.35">
      <c r="A2977" t="s">
        <v>2936</v>
      </c>
      <c r="B2977">
        <v>23</v>
      </c>
      <c r="C2977" t="s">
        <v>4802</v>
      </c>
      <c r="D2977" t="s">
        <v>15</v>
      </c>
      <c r="E2977">
        <v>103</v>
      </c>
      <c r="F2977">
        <v>59</v>
      </c>
      <c r="G2977" t="s">
        <v>4797</v>
      </c>
      <c r="H2977" t="s">
        <v>4804</v>
      </c>
      <c r="I2977">
        <v>17.989999999999998</v>
      </c>
      <c r="J2977">
        <v>5</v>
      </c>
      <c r="K2977">
        <v>3.43</v>
      </c>
      <c r="L2977">
        <v>1</v>
      </c>
      <c r="M2977" t="s">
        <v>4808</v>
      </c>
      <c r="N2977" t="s">
        <v>4899</v>
      </c>
      <c r="O2977" t="s">
        <v>4912</v>
      </c>
    </row>
    <row r="2978" spans="1:15" x14ac:dyDescent="0.35">
      <c r="A2978" t="s">
        <v>2937</v>
      </c>
      <c r="B2978">
        <v>32</v>
      </c>
      <c r="C2978" t="s">
        <v>4802</v>
      </c>
      <c r="D2978" t="s">
        <v>15</v>
      </c>
      <c r="E2978">
        <v>59</v>
      </c>
      <c r="F2978">
        <v>14</v>
      </c>
      <c r="G2978" t="s">
        <v>4797</v>
      </c>
      <c r="H2978" t="s">
        <v>4804</v>
      </c>
      <c r="I2978">
        <v>17.989999999999998</v>
      </c>
      <c r="J2978">
        <v>5</v>
      </c>
      <c r="K2978">
        <v>1.97</v>
      </c>
      <c r="L2978">
        <v>1</v>
      </c>
      <c r="M2978" t="s">
        <v>4809</v>
      </c>
      <c r="N2978" t="s">
        <v>4899</v>
      </c>
      <c r="O2978" t="s">
        <v>4912</v>
      </c>
    </row>
    <row r="2979" spans="1:15" x14ac:dyDescent="0.35">
      <c r="A2979" t="s">
        <v>2938</v>
      </c>
      <c r="B2979">
        <v>58</v>
      </c>
      <c r="C2979" t="s">
        <v>4803</v>
      </c>
      <c r="D2979" t="s">
        <v>13</v>
      </c>
      <c r="E2979">
        <v>56</v>
      </c>
      <c r="F2979">
        <v>59</v>
      </c>
      <c r="G2979" t="s">
        <v>4797</v>
      </c>
      <c r="H2979" t="s">
        <v>4804</v>
      </c>
      <c r="I2979">
        <v>13.99</v>
      </c>
      <c r="J2979">
        <v>3</v>
      </c>
      <c r="K2979">
        <v>2.0299999999999998</v>
      </c>
      <c r="L2979">
        <v>1</v>
      </c>
      <c r="M2979" t="s">
        <v>4812</v>
      </c>
      <c r="N2979" t="s">
        <v>4899</v>
      </c>
      <c r="O2979" t="s">
        <v>4911</v>
      </c>
    </row>
    <row r="2980" spans="1:15" x14ac:dyDescent="0.35">
      <c r="A2980" t="s">
        <v>2939</v>
      </c>
      <c r="B2980">
        <v>56</v>
      </c>
      <c r="C2980" t="s">
        <v>4803</v>
      </c>
      <c r="D2980" t="s">
        <v>13</v>
      </c>
      <c r="E2980">
        <v>55</v>
      </c>
      <c r="F2980">
        <v>3</v>
      </c>
      <c r="G2980" t="s">
        <v>4798</v>
      </c>
      <c r="H2980" t="s">
        <v>4805</v>
      </c>
      <c r="I2980">
        <v>13.99</v>
      </c>
      <c r="J2980">
        <v>1</v>
      </c>
      <c r="K2980">
        <v>2.0299999999999998</v>
      </c>
      <c r="L2980">
        <v>0</v>
      </c>
      <c r="M2980" t="s">
        <v>4808</v>
      </c>
      <c r="N2980" t="s">
        <v>4900</v>
      </c>
      <c r="O2980" t="s">
        <v>4911</v>
      </c>
    </row>
    <row r="2981" spans="1:15" x14ac:dyDescent="0.35">
      <c r="A2981" t="s">
        <v>2940</v>
      </c>
      <c r="B2981">
        <v>59</v>
      </c>
      <c r="C2981" t="s">
        <v>4803</v>
      </c>
      <c r="D2981" t="s">
        <v>13</v>
      </c>
      <c r="E2981">
        <v>45</v>
      </c>
      <c r="F2981">
        <v>53</v>
      </c>
      <c r="G2981" t="s">
        <v>4797</v>
      </c>
      <c r="H2981" t="s">
        <v>4804</v>
      </c>
      <c r="I2981">
        <v>13.99</v>
      </c>
      <c r="J2981">
        <v>4</v>
      </c>
      <c r="K2981">
        <v>1.5</v>
      </c>
      <c r="L2981">
        <v>1</v>
      </c>
      <c r="M2981" t="s">
        <v>4812</v>
      </c>
      <c r="N2981" t="s">
        <v>4899</v>
      </c>
      <c r="O2981" t="s">
        <v>4911</v>
      </c>
    </row>
    <row r="2982" spans="1:15" x14ac:dyDescent="0.35">
      <c r="A2982" t="s">
        <v>2941</v>
      </c>
      <c r="B2982">
        <v>35</v>
      </c>
      <c r="C2982" t="s">
        <v>4803</v>
      </c>
      <c r="D2982" t="s">
        <v>13</v>
      </c>
      <c r="E2982">
        <v>74</v>
      </c>
      <c r="F2982">
        <v>37</v>
      </c>
      <c r="G2982" t="s">
        <v>4797</v>
      </c>
      <c r="H2982" t="s">
        <v>4806</v>
      </c>
      <c r="I2982">
        <v>13.99</v>
      </c>
      <c r="J2982">
        <v>2</v>
      </c>
      <c r="K2982">
        <v>2.4700000000000002</v>
      </c>
      <c r="L2982">
        <v>0</v>
      </c>
      <c r="M2982" t="s">
        <v>4809</v>
      </c>
      <c r="N2982" t="s">
        <v>4900</v>
      </c>
      <c r="O2982" t="s">
        <v>4910</v>
      </c>
    </row>
    <row r="2983" spans="1:15" x14ac:dyDescent="0.35">
      <c r="A2983" t="s">
        <v>2942</v>
      </c>
      <c r="B2983">
        <v>37</v>
      </c>
      <c r="C2983" t="s">
        <v>4802</v>
      </c>
      <c r="D2983" t="s">
        <v>13</v>
      </c>
      <c r="E2983">
        <v>70</v>
      </c>
      <c r="F2983">
        <v>13</v>
      </c>
      <c r="G2983" t="s">
        <v>4798</v>
      </c>
      <c r="H2983" t="s">
        <v>4805</v>
      </c>
      <c r="I2983">
        <v>13.99</v>
      </c>
      <c r="J2983">
        <v>3</v>
      </c>
      <c r="K2983">
        <v>2.33</v>
      </c>
      <c r="L2983">
        <v>0</v>
      </c>
      <c r="M2983" t="s">
        <v>4809</v>
      </c>
      <c r="N2983" t="s">
        <v>4900</v>
      </c>
      <c r="O2983" t="s">
        <v>4910</v>
      </c>
    </row>
    <row r="2984" spans="1:15" x14ac:dyDescent="0.35">
      <c r="A2984" t="s">
        <v>2943</v>
      </c>
      <c r="B2984">
        <v>47</v>
      </c>
      <c r="C2984" t="s">
        <v>4802</v>
      </c>
      <c r="D2984" t="s">
        <v>13</v>
      </c>
      <c r="E2984">
        <v>67</v>
      </c>
      <c r="F2984">
        <v>43</v>
      </c>
      <c r="G2984" t="s">
        <v>4800</v>
      </c>
      <c r="H2984" t="s">
        <v>4804</v>
      </c>
      <c r="I2984">
        <v>13.99</v>
      </c>
      <c r="J2984">
        <v>2</v>
      </c>
      <c r="K2984">
        <v>2.23</v>
      </c>
      <c r="L2984">
        <v>1</v>
      </c>
      <c r="M2984" t="s">
        <v>4808</v>
      </c>
      <c r="N2984" t="s">
        <v>4899</v>
      </c>
      <c r="O2984" t="s">
        <v>4910</v>
      </c>
    </row>
    <row r="2985" spans="1:15" x14ac:dyDescent="0.35">
      <c r="A2985" t="s">
        <v>2944</v>
      </c>
      <c r="B2985">
        <v>22</v>
      </c>
      <c r="C2985" t="s">
        <v>4803</v>
      </c>
      <c r="D2985" t="s">
        <v>13</v>
      </c>
      <c r="E2985">
        <v>37</v>
      </c>
      <c r="F2985">
        <v>12</v>
      </c>
      <c r="G2985" t="s">
        <v>4798</v>
      </c>
      <c r="H2985" t="s">
        <v>4804</v>
      </c>
      <c r="I2985">
        <v>13.99</v>
      </c>
      <c r="J2985">
        <v>1</v>
      </c>
      <c r="K2985">
        <v>1.23</v>
      </c>
      <c r="L2985">
        <v>0</v>
      </c>
      <c r="M2985" t="s">
        <v>4809</v>
      </c>
      <c r="N2985" t="s">
        <v>4900</v>
      </c>
      <c r="O2985" t="s">
        <v>4912</v>
      </c>
    </row>
    <row r="2986" spans="1:15" x14ac:dyDescent="0.35">
      <c r="A2986" t="s">
        <v>2945</v>
      </c>
      <c r="B2986">
        <v>64</v>
      </c>
      <c r="C2986" t="s">
        <v>4803</v>
      </c>
      <c r="D2986" t="s">
        <v>15</v>
      </c>
      <c r="E2986">
        <v>117</v>
      </c>
      <c r="F2986">
        <v>33</v>
      </c>
      <c r="G2986" t="s">
        <v>4799</v>
      </c>
      <c r="H2986" t="s">
        <v>4804</v>
      </c>
      <c r="I2986">
        <v>17.989999999999998</v>
      </c>
      <c r="J2986">
        <v>2</v>
      </c>
      <c r="K2986">
        <v>3.9</v>
      </c>
      <c r="L2986">
        <v>0</v>
      </c>
      <c r="M2986" t="s">
        <v>4808</v>
      </c>
      <c r="N2986" t="s">
        <v>4900</v>
      </c>
      <c r="O2986" t="s">
        <v>4911</v>
      </c>
    </row>
    <row r="2987" spans="1:15" x14ac:dyDescent="0.35">
      <c r="A2987" t="s">
        <v>2946</v>
      </c>
      <c r="B2987">
        <v>34</v>
      </c>
      <c r="C2987" t="s">
        <v>4803</v>
      </c>
      <c r="D2987" t="s">
        <v>13</v>
      </c>
      <c r="E2987">
        <v>65</v>
      </c>
      <c r="F2987">
        <v>31</v>
      </c>
      <c r="G2987" t="s">
        <v>4799</v>
      </c>
      <c r="H2987" t="s">
        <v>4804</v>
      </c>
      <c r="I2987">
        <v>13.99</v>
      </c>
      <c r="J2987">
        <v>4</v>
      </c>
      <c r="K2987">
        <v>2.0299999999999998</v>
      </c>
      <c r="L2987">
        <v>1</v>
      </c>
      <c r="M2987" t="s">
        <v>4811</v>
      </c>
      <c r="N2987" t="s">
        <v>4899</v>
      </c>
      <c r="O2987" t="s">
        <v>4912</v>
      </c>
    </row>
    <row r="2988" spans="1:15" x14ac:dyDescent="0.35">
      <c r="A2988" t="s">
        <v>2947</v>
      </c>
      <c r="B2988">
        <v>24</v>
      </c>
      <c r="C2988" t="s">
        <v>4802</v>
      </c>
      <c r="D2988" t="s">
        <v>15</v>
      </c>
      <c r="E2988">
        <v>104</v>
      </c>
      <c r="F2988">
        <v>43</v>
      </c>
      <c r="G2988" t="s">
        <v>4799</v>
      </c>
      <c r="H2988" t="s">
        <v>4805</v>
      </c>
      <c r="I2988">
        <v>17.989999999999998</v>
      </c>
      <c r="J2988">
        <v>4</v>
      </c>
      <c r="K2988">
        <v>3.47</v>
      </c>
      <c r="L2988">
        <v>0</v>
      </c>
      <c r="M2988" t="s">
        <v>4808</v>
      </c>
      <c r="N2988" t="s">
        <v>4900</v>
      </c>
      <c r="O2988" t="s">
        <v>4912</v>
      </c>
    </row>
    <row r="2989" spans="1:15" x14ac:dyDescent="0.35">
      <c r="A2989" t="s">
        <v>2948</v>
      </c>
      <c r="B2989">
        <v>27</v>
      </c>
      <c r="C2989" t="s">
        <v>4802</v>
      </c>
      <c r="D2989" t="s">
        <v>15</v>
      </c>
      <c r="E2989">
        <v>104</v>
      </c>
      <c r="F2989">
        <v>32</v>
      </c>
      <c r="G2989" t="s">
        <v>4798</v>
      </c>
      <c r="H2989" t="s">
        <v>4806</v>
      </c>
      <c r="I2989">
        <v>17.989999999999998</v>
      </c>
      <c r="J2989">
        <v>3</v>
      </c>
      <c r="K2989">
        <v>3.47</v>
      </c>
      <c r="L2989">
        <v>0</v>
      </c>
      <c r="M2989" t="s">
        <v>4809</v>
      </c>
      <c r="N2989" t="s">
        <v>4900</v>
      </c>
      <c r="O2989" t="s">
        <v>4912</v>
      </c>
    </row>
    <row r="2990" spans="1:15" x14ac:dyDescent="0.35">
      <c r="A2990" t="s">
        <v>2949</v>
      </c>
      <c r="B2990">
        <v>24</v>
      </c>
      <c r="C2990" t="s">
        <v>4803</v>
      </c>
      <c r="D2990" t="s">
        <v>13</v>
      </c>
      <c r="E2990">
        <v>34</v>
      </c>
      <c r="F2990">
        <v>30</v>
      </c>
      <c r="G2990" t="s">
        <v>4799</v>
      </c>
      <c r="H2990" t="s">
        <v>4805</v>
      </c>
      <c r="I2990">
        <v>13.99</v>
      </c>
      <c r="J2990">
        <v>3</v>
      </c>
      <c r="K2990">
        <v>1.1299999999999999</v>
      </c>
      <c r="L2990">
        <v>0</v>
      </c>
      <c r="M2990" t="s">
        <v>4809</v>
      </c>
      <c r="N2990" t="s">
        <v>4900</v>
      </c>
      <c r="O2990" t="s">
        <v>4912</v>
      </c>
    </row>
    <row r="2991" spans="1:15" x14ac:dyDescent="0.35">
      <c r="A2991" t="s">
        <v>2950</v>
      </c>
      <c r="B2991">
        <v>47</v>
      </c>
      <c r="C2991" t="s">
        <v>4802</v>
      </c>
      <c r="D2991" t="s">
        <v>13</v>
      </c>
      <c r="E2991">
        <v>75</v>
      </c>
      <c r="F2991">
        <v>19</v>
      </c>
      <c r="G2991" t="s">
        <v>4798</v>
      </c>
      <c r="H2991" t="s">
        <v>4805</v>
      </c>
      <c r="I2991">
        <v>13.99</v>
      </c>
      <c r="J2991">
        <v>1</v>
      </c>
      <c r="K2991">
        <v>2.5</v>
      </c>
      <c r="L2991">
        <v>0</v>
      </c>
      <c r="M2991" t="s">
        <v>4809</v>
      </c>
      <c r="N2991" t="s">
        <v>4900</v>
      </c>
      <c r="O2991" t="s">
        <v>4910</v>
      </c>
    </row>
    <row r="2992" spans="1:15" x14ac:dyDescent="0.35">
      <c r="A2992" t="s">
        <v>2951</v>
      </c>
      <c r="B2992">
        <v>23</v>
      </c>
      <c r="C2992" t="s">
        <v>4803</v>
      </c>
      <c r="D2992" t="s">
        <v>13</v>
      </c>
      <c r="E2992">
        <v>42</v>
      </c>
      <c r="F2992">
        <v>13</v>
      </c>
      <c r="G2992" t="s">
        <v>4798</v>
      </c>
      <c r="H2992" t="s">
        <v>4806</v>
      </c>
      <c r="I2992">
        <v>13.99</v>
      </c>
      <c r="J2992">
        <v>4</v>
      </c>
      <c r="K2992">
        <v>1.4</v>
      </c>
      <c r="L2992">
        <v>1</v>
      </c>
      <c r="M2992" t="s">
        <v>4808</v>
      </c>
      <c r="N2992" t="s">
        <v>4899</v>
      </c>
      <c r="O2992" t="s">
        <v>4912</v>
      </c>
    </row>
    <row r="2993" spans="1:15" x14ac:dyDescent="0.35">
      <c r="A2993" t="s">
        <v>2952</v>
      </c>
      <c r="B2993">
        <v>39</v>
      </c>
      <c r="C2993" t="s">
        <v>4803</v>
      </c>
      <c r="D2993" t="s">
        <v>13</v>
      </c>
      <c r="E2993">
        <v>73</v>
      </c>
      <c r="F2993">
        <v>57</v>
      </c>
      <c r="G2993" t="s">
        <v>4798</v>
      </c>
      <c r="H2993" t="s">
        <v>4805</v>
      </c>
      <c r="I2993">
        <v>13.99</v>
      </c>
      <c r="J2993">
        <v>3</v>
      </c>
      <c r="K2993">
        <v>2.4300000000000002</v>
      </c>
      <c r="L2993">
        <v>1</v>
      </c>
      <c r="M2993" t="s">
        <v>4810</v>
      </c>
      <c r="N2993" t="s">
        <v>4899</v>
      </c>
      <c r="O2993" t="s">
        <v>4910</v>
      </c>
    </row>
    <row r="2994" spans="1:15" x14ac:dyDescent="0.35">
      <c r="A2994" t="s">
        <v>2953</v>
      </c>
      <c r="B2994">
        <v>55</v>
      </c>
      <c r="C2994" t="s">
        <v>4802</v>
      </c>
      <c r="D2994" t="s">
        <v>13</v>
      </c>
      <c r="E2994">
        <v>57</v>
      </c>
      <c r="F2994">
        <v>35</v>
      </c>
      <c r="G2994" t="s">
        <v>4799</v>
      </c>
      <c r="H2994" t="s">
        <v>4805</v>
      </c>
      <c r="I2994">
        <v>13.99</v>
      </c>
      <c r="J2994">
        <v>1</v>
      </c>
      <c r="K2994">
        <v>1.9</v>
      </c>
      <c r="L2994">
        <v>0</v>
      </c>
      <c r="M2994" t="s">
        <v>4808</v>
      </c>
      <c r="N2994" t="s">
        <v>4900</v>
      </c>
      <c r="O2994" t="s">
        <v>4911</v>
      </c>
    </row>
    <row r="2995" spans="1:15" x14ac:dyDescent="0.35">
      <c r="A2995" t="s">
        <v>2954</v>
      </c>
      <c r="B2995">
        <v>56</v>
      </c>
      <c r="C2995" t="s">
        <v>4803</v>
      </c>
      <c r="D2995" t="s">
        <v>13</v>
      </c>
      <c r="E2995">
        <v>52</v>
      </c>
      <c r="F2995">
        <v>16</v>
      </c>
      <c r="G2995" t="s">
        <v>4799</v>
      </c>
      <c r="H2995" t="s">
        <v>4805</v>
      </c>
      <c r="I2995">
        <v>13.99</v>
      </c>
      <c r="J2995">
        <v>4</v>
      </c>
      <c r="K2995">
        <v>1.73</v>
      </c>
      <c r="L2995">
        <v>1</v>
      </c>
      <c r="M2995" t="s">
        <v>4810</v>
      </c>
      <c r="N2995" t="s">
        <v>4899</v>
      </c>
      <c r="O2995" t="s">
        <v>4911</v>
      </c>
    </row>
    <row r="2996" spans="1:15" x14ac:dyDescent="0.35">
      <c r="A2996" t="s">
        <v>2955</v>
      </c>
      <c r="B2996">
        <v>29</v>
      </c>
      <c r="C2996" t="s">
        <v>4803</v>
      </c>
      <c r="D2996" t="s">
        <v>13</v>
      </c>
      <c r="E2996">
        <v>39</v>
      </c>
      <c r="F2996">
        <v>28</v>
      </c>
      <c r="G2996" t="s">
        <v>4798</v>
      </c>
      <c r="H2996" t="s">
        <v>4807</v>
      </c>
      <c r="I2996">
        <v>13.99</v>
      </c>
      <c r="J2996">
        <v>1</v>
      </c>
      <c r="K2996">
        <v>1.3</v>
      </c>
      <c r="L2996">
        <v>0</v>
      </c>
      <c r="M2996" t="s">
        <v>4812</v>
      </c>
      <c r="N2996" t="s">
        <v>4900</v>
      </c>
      <c r="O2996" t="s">
        <v>4912</v>
      </c>
    </row>
    <row r="2997" spans="1:15" x14ac:dyDescent="0.35">
      <c r="A2997" t="s">
        <v>2956</v>
      </c>
      <c r="B2997">
        <v>41</v>
      </c>
      <c r="C2997" t="s">
        <v>4802</v>
      </c>
      <c r="D2997" t="s">
        <v>15</v>
      </c>
      <c r="E2997">
        <v>86</v>
      </c>
      <c r="F2997">
        <v>38</v>
      </c>
      <c r="G2997" t="s">
        <v>4797</v>
      </c>
      <c r="H2997" t="s">
        <v>4805</v>
      </c>
      <c r="I2997">
        <v>17.989999999999998</v>
      </c>
      <c r="J2997">
        <v>3</v>
      </c>
      <c r="K2997">
        <v>2.87</v>
      </c>
      <c r="L2997">
        <v>1</v>
      </c>
      <c r="M2997" t="s">
        <v>4808</v>
      </c>
      <c r="N2997" t="s">
        <v>4899</v>
      </c>
      <c r="O2997" t="s">
        <v>4910</v>
      </c>
    </row>
    <row r="2998" spans="1:15" x14ac:dyDescent="0.35">
      <c r="A2998" t="s">
        <v>2957</v>
      </c>
      <c r="B2998">
        <v>18</v>
      </c>
      <c r="C2998" t="s">
        <v>4803</v>
      </c>
      <c r="D2998" t="s">
        <v>13</v>
      </c>
      <c r="E2998">
        <v>50</v>
      </c>
      <c r="F2998">
        <v>25</v>
      </c>
      <c r="G2998" t="s">
        <v>4798</v>
      </c>
      <c r="H2998" t="s">
        <v>4806</v>
      </c>
      <c r="I2998">
        <v>13.99</v>
      </c>
      <c r="J2998">
        <v>3</v>
      </c>
      <c r="K2998">
        <v>1.67</v>
      </c>
      <c r="L2998">
        <v>1</v>
      </c>
      <c r="M2998" t="s">
        <v>4809</v>
      </c>
      <c r="N2998" t="s">
        <v>4899</v>
      </c>
      <c r="O2998" t="s">
        <v>4912</v>
      </c>
    </row>
    <row r="2999" spans="1:15" x14ac:dyDescent="0.35">
      <c r="A2999" t="s">
        <v>4841</v>
      </c>
      <c r="B2999">
        <v>58</v>
      </c>
      <c r="C2999" t="s">
        <v>4802</v>
      </c>
      <c r="D2999" t="s">
        <v>13</v>
      </c>
      <c r="E2999">
        <v>77</v>
      </c>
      <c r="F2999">
        <v>16</v>
      </c>
      <c r="G2999" t="s">
        <v>4800</v>
      </c>
      <c r="H2999" t="s">
        <v>4805</v>
      </c>
      <c r="I2999">
        <v>13.99</v>
      </c>
      <c r="J2999">
        <v>1</v>
      </c>
      <c r="K2999">
        <v>2.57</v>
      </c>
      <c r="L2999">
        <v>0</v>
      </c>
      <c r="M2999" t="s">
        <v>4812</v>
      </c>
      <c r="N2999" t="s">
        <v>4900</v>
      </c>
      <c r="O2999" t="s">
        <v>4911</v>
      </c>
    </row>
    <row r="3000" spans="1:15" x14ac:dyDescent="0.35">
      <c r="A3000" t="s">
        <v>2958</v>
      </c>
      <c r="B3000">
        <v>39</v>
      </c>
      <c r="C3000" t="s">
        <v>4802</v>
      </c>
      <c r="D3000" t="s">
        <v>13</v>
      </c>
      <c r="E3000">
        <v>39</v>
      </c>
      <c r="F3000">
        <v>14</v>
      </c>
      <c r="G3000" t="s">
        <v>4797</v>
      </c>
      <c r="H3000" t="s">
        <v>4806</v>
      </c>
      <c r="I3000">
        <v>13.99</v>
      </c>
      <c r="J3000">
        <v>3</v>
      </c>
      <c r="K3000">
        <v>1.3</v>
      </c>
      <c r="L3000">
        <v>0</v>
      </c>
      <c r="M3000" t="s">
        <v>4809</v>
      </c>
      <c r="N3000" t="s">
        <v>4900</v>
      </c>
      <c r="O3000" t="s">
        <v>4910</v>
      </c>
    </row>
    <row r="3001" spans="1:15" x14ac:dyDescent="0.35">
      <c r="A3001" t="s">
        <v>2959</v>
      </c>
      <c r="B3001">
        <v>40</v>
      </c>
      <c r="C3001" t="s">
        <v>4802</v>
      </c>
      <c r="D3001" t="s">
        <v>13</v>
      </c>
      <c r="E3001">
        <v>60</v>
      </c>
      <c r="F3001">
        <v>33</v>
      </c>
      <c r="G3001" t="s">
        <v>4799</v>
      </c>
      <c r="H3001" t="s">
        <v>4805</v>
      </c>
      <c r="I3001">
        <v>13.99</v>
      </c>
      <c r="J3001">
        <v>3</v>
      </c>
      <c r="K3001">
        <v>2</v>
      </c>
      <c r="L3001">
        <v>0</v>
      </c>
      <c r="M3001" t="s">
        <v>4810</v>
      </c>
      <c r="N3001" t="s">
        <v>4900</v>
      </c>
      <c r="O3001" t="s">
        <v>4910</v>
      </c>
    </row>
    <row r="3002" spans="1:15" x14ac:dyDescent="0.35">
      <c r="A3002" t="s">
        <v>2960</v>
      </c>
      <c r="B3002">
        <v>24</v>
      </c>
      <c r="C3002" t="s">
        <v>4803</v>
      </c>
      <c r="D3002" t="s">
        <v>13</v>
      </c>
      <c r="E3002">
        <v>32</v>
      </c>
      <c r="F3002">
        <v>999</v>
      </c>
      <c r="G3002" t="s">
        <v>4800</v>
      </c>
      <c r="H3002" t="s">
        <v>4805</v>
      </c>
      <c r="I3002">
        <v>13.99</v>
      </c>
      <c r="J3002">
        <v>2</v>
      </c>
      <c r="K3002">
        <v>1.07</v>
      </c>
      <c r="L3002">
        <v>1</v>
      </c>
      <c r="M3002" t="s">
        <v>4812</v>
      </c>
      <c r="N3002" t="s">
        <v>4899</v>
      </c>
      <c r="O3002" t="s">
        <v>4912</v>
      </c>
    </row>
    <row r="3003" spans="1:15" x14ac:dyDescent="0.35">
      <c r="A3003" t="s">
        <v>2961</v>
      </c>
      <c r="B3003">
        <v>50</v>
      </c>
      <c r="C3003" t="s">
        <v>4802</v>
      </c>
      <c r="D3003" t="s">
        <v>13</v>
      </c>
      <c r="E3003">
        <v>75</v>
      </c>
      <c r="F3003">
        <v>40</v>
      </c>
      <c r="G3003" t="s">
        <v>4798</v>
      </c>
      <c r="H3003" t="s">
        <v>4805</v>
      </c>
      <c r="I3003">
        <v>13.99</v>
      </c>
      <c r="J3003">
        <v>2</v>
      </c>
      <c r="K3003">
        <v>2.5</v>
      </c>
      <c r="L3003">
        <v>0</v>
      </c>
      <c r="M3003" t="s">
        <v>4808</v>
      </c>
      <c r="N3003" t="s">
        <v>4900</v>
      </c>
      <c r="O3003" t="s">
        <v>4910</v>
      </c>
    </row>
    <row r="3004" spans="1:15" x14ac:dyDescent="0.35">
      <c r="A3004" t="s">
        <v>2962</v>
      </c>
      <c r="B3004">
        <v>51</v>
      </c>
      <c r="C3004" t="s">
        <v>4803</v>
      </c>
      <c r="D3004" t="s">
        <v>13</v>
      </c>
      <c r="E3004">
        <v>75</v>
      </c>
      <c r="F3004">
        <v>46</v>
      </c>
      <c r="G3004" t="s">
        <v>4800</v>
      </c>
      <c r="H3004" t="s">
        <v>4805</v>
      </c>
      <c r="I3004">
        <v>13.99</v>
      </c>
      <c r="J3004">
        <v>2</v>
      </c>
      <c r="K3004">
        <v>2.5</v>
      </c>
      <c r="L3004">
        <v>0</v>
      </c>
      <c r="M3004" t="s">
        <v>4811</v>
      </c>
      <c r="N3004" t="s">
        <v>4900</v>
      </c>
      <c r="O3004" t="s">
        <v>4910</v>
      </c>
    </row>
    <row r="3005" spans="1:15" x14ac:dyDescent="0.35">
      <c r="A3005" t="s">
        <v>2963</v>
      </c>
      <c r="B3005">
        <v>46</v>
      </c>
      <c r="C3005" t="s">
        <v>4803</v>
      </c>
      <c r="D3005" t="s">
        <v>13</v>
      </c>
      <c r="E3005">
        <v>41</v>
      </c>
      <c r="F3005">
        <v>51</v>
      </c>
      <c r="G3005" t="s">
        <v>4799</v>
      </c>
      <c r="H3005" t="s">
        <v>4806</v>
      </c>
      <c r="I3005">
        <v>13.99</v>
      </c>
      <c r="J3005">
        <v>3</v>
      </c>
      <c r="K3005">
        <v>1.37</v>
      </c>
      <c r="L3005">
        <v>0</v>
      </c>
      <c r="M3005" t="s">
        <v>4809</v>
      </c>
      <c r="N3005" t="s">
        <v>4900</v>
      </c>
      <c r="O3005" t="s">
        <v>4910</v>
      </c>
    </row>
    <row r="3006" spans="1:15" x14ac:dyDescent="0.35">
      <c r="A3006" t="s">
        <v>2964</v>
      </c>
      <c r="B3006">
        <v>39</v>
      </c>
      <c r="C3006" t="s">
        <v>4803</v>
      </c>
      <c r="D3006" t="s">
        <v>13</v>
      </c>
      <c r="E3006">
        <v>36</v>
      </c>
      <c r="F3006">
        <v>33</v>
      </c>
      <c r="G3006" t="s">
        <v>4797</v>
      </c>
      <c r="H3006" t="s">
        <v>4805</v>
      </c>
      <c r="I3006">
        <v>13.99</v>
      </c>
      <c r="J3006">
        <v>2</v>
      </c>
      <c r="K3006">
        <v>1.2</v>
      </c>
      <c r="L3006">
        <v>0</v>
      </c>
      <c r="M3006" t="s">
        <v>4810</v>
      </c>
      <c r="N3006" t="s">
        <v>4900</v>
      </c>
      <c r="O3006" t="s">
        <v>4910</v>
      </c>
    </row>
    <row r="3007" spans="1:15" x14ac:dyDescent="0.35">
      <c r="A3007" t="s">
        <v>2965</v>
      </c>
      <c r="B3007">
        <v>29</v>
      </c>
      <c r="C3007" t="s">
        <v>4803</v>
      </c>
      <c r="D3007" t="s">
        <v>13</v>
      </c>
      <c r="E3007">
        <v>78</v>
      </c>
      <c r="F3007">
        <v>55</v>
      </c>
      <c r="G3007" t="s">
        <v>4798</v>
      </c>
      <c r="H3007" t="s">
        <v>4804</v>
      </c>
      <c r="I3007">
        <v>13.99</v>
      </c>
      <c r="J3007">
        <v>1</v>
      </c>
      <c r="K3007">
        <v>2.6</v>
      </c>
      <c r="L3007">
        <v>0</v>
      </c>
      <c r="M3007" t="s">
        <v>4811</v>
      </c>
      <c r="N3007" t="s">
        <v>4900</v>
      </c>
      <c r="O3007" t="s">
        <v>4912</v>
      </c>
    </row>
    <row r="3008" spans="1:15" x14ac:dyDescent="0.35">
      <c r="A3008" t="s">
        <v>2966</v>
      </c>
      <c r="B3008">
        <v>48</v>
      </c>
      <c r="C3008" t="s">
        <v>4803</v>
      </c>
      <c r="D3008" t="s">
        <v>13</v>
      </c>
      <c r="E3008">
        <v>47</v>
      </c>
      <c r="F3008">
        <v>56</v>
      </c>
      <c r="G3008" t="s">
        <v>4799</v>
      </c>
      <c r="H3008" t="s">
        <v>4806</v>
      </c>
      <c r="I3008">
        <v>13.99</v>
      </c>
      <c r="J3008">
        <v>2</v>
      </c>
      <c r="K3008">
        <v>1.57</v>
      </c>
      <c r="L3008">
        <v>0</v>
      </c>
      <c r="M3008" t="s">
        <v>4809</v>
      </c>
      <c r="N3008" t="s">
        <v>4900</v>
      </c>
      <c r="O3008" t="s">
        <v>4910</v>
      </c>
    </row>
    <row r="3009" spans="1:15" x14ac:dyDescent="0.35">
      <c r="A3009" t="s">
        <v>2967</v>
      </c>
      <c r="B3009">
        <v>28</v>
      </c>
      <c r="C3009" t="s">
        <v>4802</v>
      </c>
      <c r="D3009" t="s">
        <v>13</v>
      </c>
      <c r="E3009">
        <v>69</v>
      </c>
      <c r="F3009">
        <v>23</v>
      </c>
      <c r="G3009" t="s">
        <v>4799</v>
      </c>
      <c r="H3009" t="s">
        <v>4804</v>
      </c>
      <c r="I3009">
        <v>13.99</v>
      </c>
      <c r="J3009">
        <v>3</v>
      </c>
      <c r="K3009">
        <v>2.2999999999999998</v>
      </c>
      <c r="L3009">
        <v>1</v>
      </c>
      <c r="M3009" t="s">
        <v>4808</v>
      </c>
      <c r="N3009" t="s">
        <v>4899</v>
      </c>
      <c r="O3009" t="s">
        <v>4912</v>
      </c>
    </row>
    <row r="3010" spans="1:15" x14ac:dyDescent="0.35">
      <c r="A3010" t="s">
        <v>2968</v>
      </c>
      <c r="B3010">
        <v>65</v>
      </c>
      <c r="C3010" t="s">
        <v>4802</v>
      </c>
      <c r="D3010" t="s">
        <v>13</v>
      </c>
      <c r="E3010">
        <v>39</v>
      </c>
      <c r="F3010">
        <v>49</v>
      </c>
      <c r="G3010" t="s">
        <v>4797</v>
      </c>
      <c r="H3010" t="s">
        <v>4805</v>
      </c>
      <c r="I3010">
        <v>13.99</v>
      </c>
      <c r="J3010">
        <v>1</v>
      </c>
      <c r="K3010">
        <v>1.3</v>
      </c>
      <c r="L3010">
        <v>0</v>
      </c>
      <c r="M3010" t="s">
        <v>4810</v>
      </c>
      <c r="N3010" t="s">
        <v>4900</v>
      </c>
      <c r="O3010" t="s">
        <v>4911</v>
      </c>
    </row>
    <row r="3011" spans="1:15" x14ac:dyDescent="0.35">
      <c r="A3011" t="s">
        <v>2969</v>
      </c>
      <c r="B3011">
        <v>43</v>
      </c>
      <c r="C3011" t="s">
        <v>4803</v>
      </c>
      <c r="D3011" t="s">
        <v>13</v>
      </c>
      <c r="E3011">
        <v>37</v>
      </c>
      <c r="F3011" t="s">
        <v>4814</v>
      </c>
      <c r="G3011" t="s">
        <v>4799</v>
      </c>
      <c r="H3011" t="s">
        <v>4806</v>
      </c>
      <c r="I3011">
        <v>13.99</v>
      </c>
      <c r="J3011">
        <v>3</v>
      </c>
      <c r="K3011">
        <v>1.23</v>
      </c>
      <c r="L3011">
        <v>0</v>
      </c>
      <c r="M3011" t="s">
        <v>4810</v>
      </c>
      <c r="N3011" t="s">
        <v>4900</v>
      </c>
      <c r="O3011" t="s">
        <v>4910</v>
      </c>
    </row>
    <row r="3012" spans="1:15" x14ac:dyDescent="0.35">
      <c r="A3012" t="s">
        <v>2970</v>
      </c>
      <c r="B3012">
        <v>62</v>
      </c>
      <c r="C3012" t="s">
        <v>4802</v>
      </c>
      <c r="D3012" t="s">
        <v>15</v>
      </c>
      <c r="E3012">
        <v>96</v>
      </c>
      <c r="F3012">
        <v>48</v>
      </c>
      <c r="G3012" t="s">
        <v>4798</v>
      </c>
      <c r="H3012" t="s">
        <v>4804</v>
      </c>
      <c r="I3012">
        <v>17.989999999999998</v>
      </c>
      <c r="J3012">
        <v>5</v>
      </c>
      <c r="K3012">
        <v>3.2</v>
      </c>
      <c r="L3012">
        <v>0</v>
      </c>
      <c r="M3012" t="s">
        <v>4810</v>
      </c>
      <c r="N3012" t="s">
        <v>4900</v>
      </c>
      <c r="O3012" t="s">
        <v>4911</v>
      </c>
    </row>
    <row r="3013" spans="1:15" x14ac:dyDescent="0.35">
      <c r="A3013" t="s">
        <v>2971</v>
      </c>
      <c r="B3013">
        <v>62</v>
      </c>
      <c r="C3013" t="s">
        <v>4803</v>
      </c>
      <c r="D3013" t="s">
        <v>13</v>
      </c>
      <c r="E3013">
        <v>54</v>
      </c>
      <c r="F3013">
        <v>44</v>
      </c>
      <c r="G3013" t="s">
        <v>4797</v>
      </c>
      <c r="H3013" t="s">
        <v>4805</v>
      </c>
      <c r="I3013">
        <v>13.99</v>
      </c>
      <c r="J3013">
        <v>3</v>
      </c>
      <c r="K3013">
        <v>1.8</v>
      </c>
      <c r="L3013">
        <v>0</v>
      </c>
      <c r="M3013" t="s">
        <v>4811</v>
      </c>
      <c r="N3013" t="s">
        <v>4900</v>
      </c>
      <c r="O3013" t="s">
        <v>4911</v>
      </c>
    </row>
    <row r="3014" spans="1:15" x14ac:dyDescent="0.35">
      <c r="A3014" t="s">
        <v>2972</v>
      </c>
      <c r="B3014">
        <v>64</v>
      </c>
      <c r="C3014" t="s">
        <v>4803</v>
      </c>
      <c r="D3014" t="s">
        <v>15</v>
      </c>
      <c r="E3014">
        <v>79</v>
      </c>
      <c r="F3014">
        <v>36</v>
      </c>
      <c r="G3014" t="s">
        <v>4798</v>
      </c>
      <c r="H3014" t="s">
        <v>4805</v>
      </c>
      <c r="I3014">
        <v>17.989999999999998</v>
      </c>
      <c r="J3014">
        <v>3</v>
      </c>
      <c r="K3014">
        <v>2.63</v>
      </c>
      <c r="L3014">
        <v>0</v>
      </c>
      <c r="M3014" t="s">
        <v>4808</v>
      </c>
      <c r="N3014" t="s">
        <v>4900</v>
      </c>
      <c r="O3014" t="s">
        <v>4911</v>
      </c>
    </row>
    <row r="3015" spans="1:15" x14ac:dyDescent="0.35">
      <c r="A3015" t="s">
        <v>2973</v>
      </c>
      <c r="B3015">
        <v>65</v>
      </c>
      <c r="C3015" t="s">
        <v>4803</v>
      </c>
      <c r="D3015" t="s">
        <v>13</v>
      </c>
      <c r="E3015">
        <v>60</v>
      </c>
      <c r="F3015">
        <v>58</v>
      </c>
      <c r="G3015" t="s">
        <v>4799</v>
      </c>
      <c r="H3015" t="s">
        <v>4805</v>
      </c>
      <c r="I3015">
        <v>13.99</v>
      </c>
      <c r="J3015">
        <v>1</v>
      </c>
      <c r="K3015">
        <v>2</v>
      </c>
      <c r="L3015">
        <v>0</v>
      </c>
      <c r="M3015" t="s">
        <v>4809</v>
      </c>
      <c r="N3015" t="s">
        <v>4900</v>
      </c>
      <c r="O3015" t="s">
        <v>4911</v>
      </c>
    </row>
    <row r="3016" spans="1:15" x14ac:dyDescent="0.35">
      <c r="A3016" t="s">
        <v>2974</v>
      </c>
      <c r="B3016">
        <v>32</v>
      </c>
      <c r="C3016" t="s">
        <v>4803</v>
      </c>
      <c r="D3016" t="s">
        <v>13</v>
      </c>
      <c r="E3016">
        <v>67</v>
      </c>
      <c r="F3016">
        <v>4</v>
      </c>
      <c r="G3016" t="s">
        <v>4797</v>
      </c>
      <c r="H3016" t="s">
        <v>4805</v>
      </c>
      <c r="I3016">
        <v>13.99</v>
      </c>
      <c r="J3016">
        <v>1</v>
      </c>
      <c r="K3016">
        <v>2.23</v>
      </c>
      <c r="L3016">
        <v>0</v>
      </c>
      <c r="M3016" t="s">
        <v>4808</v>
      </c>
      <c r="N3016" t="s">
        <v>4900</v>
      </c>
      <c r="O3016" t="s">
        <v>4912</v>
      </c>
    </row>
    <row r="3017" spans="1:15" x14ac:dyDescent="0.35">
      <c r="A3017" t="s">
        <v>2975</v>
      </c>
      <c r="B3017">
        <v>46</v>
      </c>
      <c r="C3017" t="s">
        <v>4802</v>
      </c>
      <c r="D3017" t="s">
        <v>13</v>
      </c>
      <c r="E3017">
        <v>73</v>
      </c>
      <c r="F3017">
        <v>9</v>
      </c>
      <c r="G3017" t="s">
        <v>4798</v>
      </c>
      <c r="H3017" t="s">
        <v>4805</v>
      </c>
      <c r="I3017">
        <v>13.99</v>
      </c>
      <c r="J3017">
        <v>1</v>
      </c>
      <c r="K3017">
        <v>2.4300000000000002</v>
      </c>
      <c r="L3017">
        <v>0</v>
      </c>
      <c r="M3017" t="s">
        <v>4809</v>
      </c>
      <c r="N3017" t="s">
        <v>4900</v>
      </c>
      <c r="O3017" t="s">
        <v>4910</v>
      </c>
    </row>
    <row r="3018" spans="1:15" x14ac:dyDescent="0.35">
      <c r="A3018" t="s">
        <v>2976</v>
      </c>
      <c r="B3018">
        <v>48</v>
      </c>
      <c r="C3018" t="s">
        <v>4802</v>
      </c>
      <c r="D3018" t="s">
        <v>13</v>
      </c>
      <c r="E3018">
        <v>46</v>
      </c>
      <c r="F3018">
        <v>24</v>
      </c>
      <c r="G3018" t="s">
        <v>4798</v>
      </c>
      <c r="H3018" t="s">
        <v>4804</v>
      </c>
      <c r="I3018">
        <v>13.99</v>
      </c>
      <c r="J3018">
        <v>2</v>
      </c>
      <c r="K3018">
        <v>1.53</v>
      </c>
      <c r="L3018">
        <v>1</v>
      </c>
      <c r="M3018" t="s">
        <v>4811</v>
      </c>
      <c r="N3018" t="s">
        <v>4899</v>
      </c>
      <c r="O3018" t="s">
        <v>4910</v>
      </c>
    </row>
    <row r="3019" spans="1:15" x14ac:dyDescent="0.35">
      <c r="A3019" t="s">
        <v>2977</v>
      </c>
      <c r="B3019">
        <v>39</v>
      </c>
      <c r="C3019" t="s">
        <v>4802</v>
      </c>
      <c r="D3019" t="s">
        <v>13</v>
      </c>
      <c r="E3019">
        <v>46</v>
      </c>
      <c r="F3019">
        <v>37</v>
      </c>
      <c r="G3019" t="s">
        <v>4797</v>
      </c>
      <c r="H3019" t="s">
        <v>4806</v>
      </c>
      <c r="I3019">
        <v>13.99</v>
      </c>
      <c r="J3019">
        <v>4</v>
      </c>
      <c r="K3019">
        <v>1.53</v>
      </c>
      <c r="L3019">
        <v>0</v>
      </c>
      <c r="M3019" t="s">
        <v>4812</v>
      </c>
      <c r="N3019" t="s">
        <v>4900</v>
      </c>
      <c r="O3019" t="s">
        <v>4910</v>
      </c>
    </row>
    <row r="3020" spans="1:15" x14ac:dyDescent="0.35">
      <c r="A3020" t="s">
        <v>2978</v>
      </c>
      <c r="B3020">
        <v>24</v>
      </c>
      <c r="C3020" t="s">
        <v>4803</v>
      </c>
      <c r="D3020" t="s">
        <v>15</v>
      </c>
      <c r="E3020">
        <v>80</v>
      </c>
      <c r="F3020">
        <v>11</v>
      </c>
      <c r="G3020" t="s">
        <v>4800</v>
      </c>
      <c r="H3020" t="s">
        <v>4805</v>
      </c>
      <c r="I3020">
        <v>17.989999999999998</v>
      </c>
      <c r="J3020">
        <v>5</v>
      </c>
      <c r="K3020">
        <v>2.67</v>
      </c>
      <c r="L3020">
        <v>0</v>
      </c>
      <c r="M3020" t="s">
        <v>4808</v>
      </c>
      <c r="N3020" t="s">
        <v>4900</v>
      </c>
      <c r="O3020" t="s">
        <v>4912</v>
      </c>
    </row>
    <row r="3021" spans="1:15" x14ac:dyDescent="0.35">
      <c r="A3021" t="s">
        <v>2979</v>
      </c>
      <c r="B3021">
        <v>19</v>
      </c>
      <c r="C3021" t="s">
        <v>4803</v>
      </c>
      <c r="D3021" t="s">
        <v>13</v>
      </c>
      <c r="E3021">
        <v>56</v>
      </c>
      <c r="F3021">
        <v>27</v>
      </c>
      <c r="G3021" t="s">
        <v>4798</v>
      </c>
      <c r="H3021" t="s">
        <v>4806</v>
      </c>
      <c r="I3021">
        <v>13.99</v>
      </c>
      <c r="J3021">
        <v>4</v>
      </c>
      <c r="K3021">
        <v>1.87</v>
      </c>
      <c r="L3021">
        <v>1</v>
      </c>
      <c r="M3021" t="s">
        <v>4810</v>
      </c>
      <c r="N3021" t="s">
        <v>4899</v>
      </c>
      <c r="O3021" t="s">
        <v>4912</v>
      </c>
    </row>
    <row r="3022" spans="1:15" x14ac:dyDescent="0.35">
      <c r="A3022" t="s">
        <v>2980</v>
      </c>
      <c r="B3022">
        <v>49</v>
      </c>
      <c r="C3022" t="s">
        <v>4802</v>
      </c>
      <c r="D3022" t="s">
        <v>13</v>
      </c>
      <c r="E3022">
        <v>30</v>
      </c>
      <c r="F3022">
        <v>12</v>
      </c>
      <c r="G3022" t="s">
        <v>4797</v>
      </c>
      <c r="H3022" t="s">
        <v>4806</v>
      </c>
      <c r="I3022">
        <v>13.99</v>
      </c>
      <c r="J3022">
        <v>1</v>
      </c>
      <c r="K3022">
        <v>1</v>
      </c>
      <c r="L3022">
        <v>0</v>
      </c>
      <c r="M3022" t="s">
        <v>4810</v>
      </c>
      <c r="N3022" t="s">
        <v>4900</v>
      </c>
      <c r="O3022" t="s">
        <v>4910</v>
      </c>
    </row>
    <row r="3023" spans="1:15" x14ac:dyDescent="0.35">
      <c r="A3023" t="s">
        <v>2981</v>
      </c>
      <c r="B3023">
        <v>39</v>
      </c>
      <c r="C3023" t="s">
        <v>4802</v>
      </c>
      <c r="D3023" t="s">
        <v>13</v>
      </c>
      <c r="E3023">
        <v>80</v>
      </c>
      <c r="F3023">
        <v>46</v>
      </c>
      <c r="G3023" t="s">
        <v>4798</v>
      </c>
      <c r="H3023" t="s">
        <v>4804</v>
      </c>
      <c r="I3023">
        <v>13.99</v>
      </c>
      <c r="J3023">
        <v>1</v>
      </c>
      <c r="K3023">
        <v>2.67</v>
      </c>
      <c r="L3023">
        <v>0</v>
      </c>
      <c r="M3023" t="s">
        <v>4811</v>
      </c>
      <c r="N3023" t="s">
        <v>4900</v>
      </c>
      <c r="O3023" t="s">
        <v>4910</v>
      </c>
    </row>
    <row r="3024" spans="1:15" x14ac:dyDescent="0.35">
      <c r="A3024" t="s">
        <v>2982</v>
      </c>
      <c r="B3024">
        <v>57</v>
      </c>
      <c r="C3024" t="s">
        <v>4802</v>
      </c>
      <c r="D3024" t="s">
        <v>15</v>
      </c>
      <c r="E3024">
        <v>75</v>
      </c>
      <c r="F3024">
        <v>53</v>
      </c>
      <c r="G3024" t="s">
        <v>4799</v>
      </c>
      <c r="H3024" t="s">
        <v>4806</v>
      </c>
      <c r="I3024">
        <v>17.989999999999998</v>
      </c>
      <c r="J3024">
        <v>2</v>
      </c>
      <c r="K3024">
        <v>2.5</v>
      </c>
      <c r="L3024">
        <v>0</v>
      </c>
      <c r="M3024" t="s">
        <v>4812</v>
      </c>
      <c r="N3024" t="s">
        <v>4900</v>
      </c>
      <c r="O3024" t="s">
        <v>4911</v>
      </c>
    </row>
    <row r="3025" spans="1:15" x14ac:dyDescent="0.35">
      <c r="A3025" t="s">
        <v>2983</v>
      </c>
      <c r="B3025">
        <v>43</v>
      </c>
      <c r="C3025" t="s">
        <v>4803</v>
      </c>
      <c r="D3025" t="s">
        <v>13</v>
      </c>
      <c r="E3025">
        <v>79</v>
      </c>
      <c r="F3025">
        <v>41</v>
      </c>
      <c r="G3025" t="s">
        <v>4798</v>
      </c>
      <c r="H3025" t="s">
        <v>4805</v>
      </c>
      <c r="I3025">
        <v>13.99</v>
      </c>
      <c r="J3025">
        <v>3</v>
      </c>
      <c r="K3025">
        <v>2.63</v>
      </c>
      <c r="L3025">
        <v>1</v>
      </c>
      <c r="M3025" t="s">
        <v>4809</v>
      </c>
      <c r="N3025" t="s">
        <v>4899</v>
      </c>
      <c r="O3025" t="s">
        <v>4910</v>
      </c>
    </row>
    <row r="3026" spans="1:15" x14ac:dyDescent="0.35">
      <c r="A3026" t="s">
        <v>2984</v>
      </c>
      <c r="B3026">
        <v>49</v>
      </c>
      <c r="C3026" t="s">
        <v>4802</v>
      </c>
      <c r="D3026" t="s">
        <v>13</v>
      </c>
      <c r="E3026">
        <v>73</v>
      </c>
      <c r="F3026">
        <v>36</v>
      </c>
      <c r="G3026" t="s">
        <v>4797</v>
      </c>
      <c r="H3026" t="s">
        <v>4806</v>
      </c>
      <c r="I3026">
        <v>13.99</v>
      </c>
      <c r="J3026">
        <v>3</v>
      </c>
      <c r="K3026">
        <v>2.4300000000000002</v>
      </c>
      <c r="L3026">
        <v>1</v>
      </c>
      <c r="M3026" t="s">
        <v>4810</v>
      </c>
      <c r="N3026" t="s">
        <v>4899</v>
      </c>
      <c r="O3026" t="s">
        <v>4910</v>
      </c>
    </row>
    <row r="3027" spans="1:15" x14ac:dyDescent="0.35">
      <c r="A3027" t="s">
        <v>2985</v>
      </c>
      <c r="B3027">
        <v>44</v>
      </c>
      <c r="C3027" t="s">
        <v>4803</v>
      </c>
      <c r="D3027" t="s">
        <v>13</v>
      </c>
      <c r="E3027">
        <v>55</v>
      </c>
      <c r="F3027">
        <v>2</v>
      </c>
      <c r="G3027" t="s">
        <v>4799</v>
      </c>
      <c r="H3027" t="s">
        <v>4804</v>
      </c>
      <c r="I3027">
        <v>13.99</v>
      </c>
      <c r="J3027">
        <v>4</v>
      </c>
      <c r="K3027">
        <v>1.83</v>
      </c>
      <c r="L3027">
        <v>1</v>
      </c>
      <c r="M3027" t="s">
        <v>4808</v>
      </c>
      <c r="N3027" t="s">
        <v>4899</v>
      </c>
      <c r="O3027" t="s">
        <v>4910</v>
      </c>
    </row>
    <row r="3028" spans="1:15" x14ac:dyDescent="0.35">
      <c r="A3028" t="s">
        <v>2986</v>
      </c>
      <c r="B3028">
        <v>28</v>
      </c>
      <c r="C3028" t="s">
        <v>4803</v>
      </c>
      <c r="D3028" t="s">
        <v>13</v>
      </c>
      <c r="E3028">
        <v>51</v>
      </c>
      <c r="F3028">
        <v>46</v>
      </c>
      <c r="G3028" t="s">
        <v>4799</v>
      </c>
      <c r="H3028" t="s">
        <v>4804</v>
      </c>
      <c r="I3028">
        <v>13.99</v>
      </c>
      <c r="J3028">
        <v>1</v>
      </c>
      <c r="K3028">
        <v>1.7</v>
      </c>
      <c r="L3028">
        <v>0</v>
      </c>
      <c r="M3028" t="s">
        <v>4809</v>
      </c>
      <c r="N3028" t="s">
        <v>4900</v>
      </c>
      <c r="O3028" t="s">
        <v>4912</v>
      </c>
    </row>
    <row r="3029" spans="1:15" x14ac:dyDescent="0.35">
      <c r="A3029" t="s">
        <v>2987</v>
      </c>
      <c r="B3029">
        <v>65</v>
      </c>
      <c r="C3029" t="s">
        <v>4802</v>
      </c>
      <c r="D3029" t="s">
        <v>15</v>
      </c>
      <c r="E3029">
        <v>113</v>
      </c>
      <c r="F3029">
        <v>8</v>
      </c>
      <c r="G3029" t="s">
        <v>4798</v>
      </c>
      <c r="H3029" t="s">
        <v>4804</v>
      </c>
      <c r="I3029">
        <v>17.989999999999998</v>
      </c>
      <c r="J3029">
        <v>3</v>
      </c>
      <c r="K3029">
        <v>3.77</v>
      </c>
      <c r="L3029">
        <v>1</v>
      </c>
      <c r="M3029" t="s">
        <v>4811</v>
      </c>
      <c r="N3029" t="s">
        <v>4899</v>
      </c>
      <c r="O3029" t="s">
        <v>4911</v>
      </c>
    </row>
    <row r="3030" spans="1:15" x14ac:dyDescent="0.35">
      <c r="A3030" t="s">
        <v>2988</v>
      </c>
      <c r="B3030">
        <v>55</v>
      </c>
      <c r="C3030" t="s">
        <v>4802</v>
      </c>
      <c r="D3030" t="s">
        <v>13</v>
      </c>
      <c r="E3030">
        <v>69</v>
      </c>
      <c r="F3030">
        <v>37</v>
      </c>
      <c r="G3030" t="s">
        <v>4799</v>
      </c>
      <c r="H3030" t="s">
        <v>4804</v>
      </c>
      <c r="I3030">
        <v>13.99</v>
      </c>
      <c r="J3030">
        <v>4</v>
      </c>
      <c r="K3030">
        <v>2.2999999999999998</v>
      </c>
      <c r="L3030">
        <v>0</v>
      </c>
      <c r="M3030" t="s">
        <v>4808</v>
      </c>
      <c r="N3030" t="s">
        <v>4900</v>
      </c>
      <c r="O3030" t="s">
        <v>4911</v>
      </c>
    </row>
    <row r="3031" spans="1:15" x14ac:dyDescent="0.35">
      <c r="A3031" t="s">
        <v>2989</v>
      </c>
      <c r="B3031">
        <v>65</v>
      </c>
      <c r="C3031" t="s">
        <v>4803</v>
      </c>
      <c r="D3031" t="s">
        <v>13</v>
      </c>
      <c r="E3031">
        <v>74</v>
      </c>
      <c r="F3031">
        <v>3</v>
      </c>
      <c r="G3031" t="s">
        <v>4800</v>
      </c>
      <c r="H3031" t="s">
        <v>4805</v>
      </c>
      <c r="I3031">
        <v>13.99</v>
      </c>
      <c r="J3031">
        <v>3</v>
      </c>
      <c r="K3031">
        <v>2.0299999999999998</v>
      </c>
      <c r="L3031">
        <v>0</v>
      </c>
      <c r="M3031" t="s">
        <v>4812</v>
      </c>
      <c r="N3031" t="s">
        <v>4900</v>
      </c>
      <c r="O3031" t="s">
        <v>4911</v>
      </c>
    </row>
    <row r="3032" spans="1:15" x14ac:dyDescent="0.35">
      <c r="A3032" t="s">
        <v>2990</v>
      </c>
      <c r="B3032">
        <v>48</v>
      </c>
      <c r="C3032" t="s">
        <v>4802</v>
      </c>
      <c r="D3032" t="s">
        <v>15</v>
      </c>
      <c r="E3032">
        <v>101</v>
      </c>
      <c r="F3032">
        <v>38</v>
      </c>
      <c r="G3032" t="s">
        <v>4797</v>
      </c>
      <c r="H3032" t="s">
        <v>4805</v>
      </c>
      <c r="I3032">
        <v>17.989999999999998</v>
      </c>
      <c r="J3032">
        <v>3</v>
      </c>
      <c r="K3032">
        <v>3.37</v>
      </c>
      <c r="L3032">
        <v>0</v>
      </c>
      <c r="M3032" t="s">
        <v>4808</v>
      </c>
      <c r="N3032" t="s">
        <v>4900</v>
      </c>
      <c r="O3032" t="s">
        <v>4910</v>
      </c>
    </row>
    <row r="3033" spans="1:15" x14ac:dyDescent="0.35">
      <c r="A3033" t="s">
        <v>2991</v>
      </c>
      <c r="B3033">
        <v>58</v>
      </c>
      <c r="C3033" t="s">
        <v>4803</v>
      </c>
      <c r="D3033" t="s">
        <v>15</v>
      </c>
      <c r="E3033">
        <v>86</v>
      </c>
      <c r="F3033">
        <v>13</v>
      </c>
      <c r="G3033" t="s">
        <v>4800</v>
      </c>
      <c r="H3033" t="s">
        <v>4804</v>
      </c>
      <c r="I3033">
        <v>17.989999999999998</v>
      </c>
      <c r="J3033">
        <v>2</v>
      </c>
      <c r="K3033">
        <v>2.0299999999999998</v>
      </c>
      <c r="L3033">
        <v>0</v>
      </c>
      <c r="M3033" t="s">
        <v>4811</v>
      </c>
      <c r="N3033" t="s">
        <v>4900</v>
      </c>
      <c r="O3033" t="s">
        <v>4911</v>
      </c>
    </row>
    <row r="3034" spans="1:15" x14ac:dyDescent="0.35">
      <c r="A3034" t="s">
        <v>2992</v>
      </c>
      <c r="B3034">
        <v>57</v>
      </c>
      <c r="C3034" t="s">
        <v>4803</v>
      </c>
      <c r="D3034" t="s">
        <v>13</v>
      </c>
      <c r="E3034">
        <v>70</v>
      </c>
      <c r="F3034">
        <v>31</v>
      </c>
      <c r="G3034" t="s">
        <v>4798</v>
      </c>
      <c r="H3034" t="s">
        <v>4805</v>
      </c>
      <c r="I3034">
        <v>13.99</v>
      </c>
      <c r="J3034">
        <v>3</v>
      </c>
      <c r="K3034">
        <v>2.33</v>
      </c>
      <c r="L3034">
        <v>0</v>
      </c>
      <c r="M3034" t="s">
        <v>4812</v>
      </c>
      <c r="N3034" t="s">
        <v>4900</v>
      </c>
      <c r="O3034" t="s">
        <v>4911</v>
      </c>
    </row>
    <row r="3035" spans="1:15" x14ac:dyDescent="0.35">
      <c r="A3035" t="s">
        <v>2993</v>
      </c>
      <c r="B3035">
        <v>36</v>
      </c>
      <c r="C3035" t="s">
        <v>4802</v>
      </c>
      <c r="D3035" t="s">
        <v>13</v>
      </c>
      <c r="E3035">
        <v>63</v>
      </c>
      <c r="F3035">
        <v>24</v>
      </c>
      <c r="G3035" t="s">
        <v>4798</v>
      </c>
      <c r="H3035" t="s">
        <v>4805</v>
      </c>
      <c r="I3035">
        <v>13.99</v>
      </c>
      <c r="J3035">
        <v>3</v>
      </c>
      <c r="K3035">
        <v>2.1</v>
      </c>
      <c r="L3035">
        <v>0</v>
      </c>
      <c r="M3035" t="s">
        <v>4808</v>
      </c>
      <c r="N3035" t="s">
        <v>4900</v>
      </c>
      <c r="O3035" t="s">
        <v>4910</v>
      </c>
    </row>
    <row r="3036" spans="1:15" x14ac:dyDescent="0.35">
      <c r="A3036" t="s">
        <v>2994</v>
      </c>
      <c r="B3036">
        <v>52</v>
      </c>
      <c r="C3036" t="s">
        <v>4803</v>
      </c>
      <c r="D3036" t="s">
        <v>15</v>
      </c>
      <c r="E3036">
        <v>106</v>
      </c>
      <c r="F3036">
        <v>48</v>
      </c>
      <c r="G3036" t="s">
        <v>4799</v>
      </c>
      <c r="H3036" t="s">
        <v>4805</v>
      </c>
      <c r="I3036">
        <v>17.989999999999998</v>
      </c>
      <c r="J3036">
        <v>2</v>
      </c>
      <c r="K3036">
        <v>2.0299999999999998</v>
      </c>
      <c r="L3036">
        <v>1</v>
      </c>
      <c r="M3036" t="s">
        <v>4811</v>
      </c>
      <c r="N3036" t="s">
        <v>4899</v>
      </c>
      <c r="O3036" t="s">
        <v>4910</v>
      </c>
    </row>
    <row r="3037" spans="1:15" x14ac:dyDescent="0.35">
      <c r="A3037" t="s">
        <v>4842</v>
      </c>
      <c r="B3037">
        <v>38</v>
      </c>
      <c r="C3037" t="s">
        <v>4803</v>
      </c>
      <c r="D3037" t="s">
        <v>15</v>
      </c>
      <c r="E3037">
        <v>70</v>
      </c>
      <c r="F3037">
        <v>53</v>
      </c>
      <c r="G3037" t="s">
        <v>4799</v>
      </c>
      <c r="H3037" t="s">
        <v>4805</v>
      </c>
      <c r="I3037">
        <v>17.989999999999998</v>
      </c>
      <c r="J3037">
        <v>2</v>
      </c>
      <c r="K3037">
        <v>2.33</v>
      </c>
      <c r="L3037">
        <v>0</v>
      </c>
      <c r="M3037" t="s">
        <v>4810</v>
      </c>
      <c r="N3037" t="s">
        <v>4900</v>
      </c>
      <c r="O3037" t="s">
        <v>4910</v>
      </c>
    </row>
    <row r="3038" spans="1:15" x14ac:dyDescent="0.35">
      <c r="A3038" t="s">
        <v>2995</v>
      </c>
      <c r="B3038">
        <v>63</v>
      </c>
      <c r="C3038" t="s">
        <v>4803</v>
      </c>
      <c r="D3038" t="s">
        <v>13</v>
      </c>
      <c r="E3038">
        <v>61</v>
      </c>
      <c r="F3038">
        <v>47</v>
      </c>
      <c r="G3038" t="s">
        <v>4799</v>
      </c>
      <c r="H3038" t="s">
        <v>4804</v>
      </c>
      <c r="I3038">
        <v>13.99</v>
      </c>
      <c r="J3038">
        <v>4</v>
      </c>
      <c r="K3038">
        <v>2.0299999999999998</v>
      </c>
      <c r="L3038">
        <v>0</v>
      </c>
      <c r="M3038" t="s">
        <v>4811</v>
      </c>
      <c r="N3038" t="s">
        <v>4900</v>
      </c>
      <c r="O3038" t="s">
        <v>4911</v>
      </c>
    </row>
    <row r="3039" spans="1:15" x14ac:dyDescent="0.35">
      <c r="A3039" t="s">
        <v>2996</v>
      </c>
      <c r="B3039">
        <v>59</v>
      </c>
      <c r="C3039" t="s">
        <v>4803</v>
      </c>
      <c r="D3039" t="s">
        <v>13</v>
      </c>
      <c r="E3039">
        <v>55</v>
      </c>
      <c r="F3039">
        <v>46</v>
      </c>
      <c r="G3039" t="s">
        <v>4799</v>
      </c>
      <c r="H3039" t="s">
        <v>4804</v>
      </c>
      <c r="I3039">
        <v>13.99</v>
      </c>
      <c r="J3039">
        <v>2</v>
      </c>
      <c r="K3039">
        <v>1.83</v>
      </c>
      <c r="L3039">
        <v>0</v>
      </c>
      <c r="M3039" t="s">
        <v>4811</v>
      </c>
      <c r="N3039" t="s">
        <v>4900</v>
      </c>
      <c r="O3039" t="s">
        <v>4911</v>
      </c>
    </row>
    <row r="3040" spans="1:15" x14ac:dyDescent="0.35">
      <c r="A3040" t="s">
        <v>2997</v>
      </c>
      <c r="B3040">
        <v>55</v>
      </c>
      <c r="C3040" t="s">
        <v>4802</v>
      </c>
      <c r="D3040" t="s">
        <v>15</v>
      </c>
      <c r="E3040">
        <v>54</v>
      </c>
      <c r="F3040">
        <v>58</v>
      </c>
      <c r="G3040" t="s">
        <v>4798</v>
      </c>
      <c r="H3040" t="s">
        <v>4805</v>
      </c>
      <c r="I3040">
        <v>17.989999999999998</v>
      </c>
      <c r="J3040">
        <v>5</v>
      </c>
      <c r="K3040">
        <v>1.8</v>
      </c>
      <c r="L3040">
        <v>0</v>
      </c>
      <c r="M3040" t="s">
        <v>4811</v>
      </c>
      <c r="N3040" t="s">
        <v>4900</v>
      </c>
      <c r="O3040" t="s">
        <v>4911</v>
      </c>
    </row>
    <row r="3041" spans="1:15" x14ac:dyDescent="0.35">
      <c r="A3041" t="s">
        <v>2998</v>
      </c>
      <c r="B3041">
        <v>45</v>
      </c>
      <c r="C3041" t="s">
        <v>4803</v>
      </c>
      <c r="D3041" t="s">
        <v>13</v>
      </c>
      <c r="E3041">
        <v>61</v>
      </c>
      <c r="F3041">
        <v>33</v>
      </c>
      <c r="G3041" t="s">
        <v>4799</v>
      </c>
      <c r="H3041" t="s">
        <v>4804</v>
      </c>
      <c r="I3041">
        <v>13.99</v>
      </c>
      <c r="J3041">
        <v>2</v>
      </c>
      <c r="K3041">
        <v>2.0299999999999998</v>
      </c>
      <c r="L3041">
        <v>0</v>
      </c>
      <c r="M3041" t="s">
        <v>4810</v>
      </c>
      <c r="N3041" t="s">
        <v>4900</v>
      </c>
      <c r="O3041" t="s">
        <v>4910</v>
      </c>
    </row>
    <row r="3042" spans="1:15" x14ac:dyDescent="0.35">
      <c r="A3042" t="s">
        <v>2999</v>
      </c>
      <c r="B3042">
        <v>60</v>
      </c>
      <c r="C3042" t="s">
        <v>4802</v>
      </c>
      <c r="D3042" t="s">
        <v>14</v>
      </c>
      <c r="E3042">
        <v>96</v>
      </c>
      <c r="F3042">
        <v>28</v>
      </c>
      <c r="G3042" t="s">
        <v>4798</v>
      </c>
      <c r="H3042" t="s">
        <v>4805</v>
      </c>
      <c r="I3042">
        <v>8.99</v>
      </c>
      <c r="J3042">
        <v>2</v>
      </c>
      <c r="K3042">
        <v>3.2</v>
      </c>
      <c r="L3042">
        <v>0</v>
      </c>
      <c r="M3042" t="s">
        <v>4808</v>
      </c>
      <c r="N3042" t="s">
        <v>4900</v>
      </c>
      <c r="O3042" t="s">
        <v>4911</v>
      </c>
    </row>
    <row r="3043" spans="1:15" x14ac:dyDescent="0.35">
      <c r="A3043" t="s">
        <v>3000</v>
      </c>
      <c r="B3043">
        <v>47</v>
      </c>
      <c r="C3043" t="s">
        <v>4803</v>
      </c>
      <c r="D3043" t="s">
        <v>15</v>
      </c>
      <c r="E3043">
        <v>110</v>
      </c>
      <c r="F3043">
        <v>32</v>
      </c>
      <c r="G3043" t="s">
        <v>4798</v>
      </c>
      <c r="H3043" t="s">
        <v>4804</v>
      </c>
      <c r="I3043">
        <v>17.989999999999998</v>
      </c>
      <c r="J3043">
        <v>3</v>
      </c>
      <c r="K3043">
        <v>3.67</v>
      </c>
      <c r="L3043">
        <v>1</v>
      </c>
      <c r="M3043" t="s">
        <v>4812</v>
      </c>
      <c r="N3043" t="s">
        <v>4899</v>
      </c>
      <c r="O3043" t="s">
        <v>4910</v>
      </c>
    </row>
    <row r="3044" spans="1:15" x14ac:dyDescent="0.35">
      <c r="A3044" t="s">
        <v>3001</v>
      </c>
      <c r="B3044">
        <v>28</v>
      </c>
      <c r="C3044" t="s">
        <v>4802</v>
      </c>
      <c r="D3044" t="s">
        <v>13</v>
      </c>
      <c r="E3044">
        <v>67</v>
      </c>
      <c r="F3044">
        <v>38</v>
      </c>
      <c r="G3044" t="s">
        <v>4797</v>
      </c>
      <c r="H3044" t="s">
        <v>4805</v>
      </c>
      <c r="I3044">
        <v>13.99</v>
      </c>
      <c r="J3044">
        <v>2</v>
      </c>
      <c r="K3044">
        <v>2.23</v>
      </c>
      <c r="L3044">
        <v>0</v>
      </c>
      <c r="M3044" t="s">
        <v>4810</v>
      </c>
      <c r="N3044" t="s">
        <v>4900</v>
      </c>
      <c r="O3044" t="s">
        <v>4912</v>
      </c>
    </row>
    <row r="3045" spans="1:15" x14ac:dyDescent="0.35">
      <c r="A3045" t="s">
        <v>3002</v>
      </c>
      <c r="B3045">
        <v>39</v>
      </c>
      <c r="C3045" t="s">
        <v>4802</v>
      </c>
      <c r="D3045" t="s">
        <v>13</v>
      </c>
      <c r="E3045">
        <v>42</v>
      </c>
      <c r="F3045">
        <v>18</v>
      </c>
      <c r="G3045" t="s">
        <v>4797</v>
      </c>
      <c r="H3045" t="s">
        <v>4804</v>
      </c>
      <c r="I3045">
        <v>13.99</v>
      </c>
      <c r="J3045">
        <v>2</v>
      </c>
      <c r="K3045">
        <v>2.0299999999999998</v>
      </c>
      <c r="L3045">
        <v>0</v>
      </c>
      <c r="M3045" t="s">
        <v>4811</v>
      </c>
      <c r="N3045" t="s">
        <v>4900</v>
      </c>
      <c r="O3045" t="s">
        <v>4910</v>
      </c>
    </row>
    <row r="3046" spans="1:15" x14ac:dyDescent="0.35">
      <c r="A3046" t="s">
        <v>3003</v>
      </c>
      <c r="B3046">
        <v>46</v>
      </c>
      <c r="C3046" t="s">
        <v>4803</v>
      </c>
      <c r="D3046" t="s">
        <v>15</v>
      </c>
      <c r="E3046">
        <v>60</v>
      </c>
      <c r="F3046">
        <v>34</v>
      </c>
      <c r="G3046" t="s">
        <v>4798</v>
      </c>
      <c r="H3046" t="s">
        <v>4805</v>
      </c>
      <c r="I3046">
        <v>17.989999999999998</v>
      </c>
      <c r="J3046">
        <v>3</v>
      </c>
      <c r="K3046">
        <v>2</v>
      </c>
      <c r="L3046">
        <v>1</v>
      </c>
      <c r="M3046" t="s">
        <v>4809</v>
      </c>
      <c r="N3046" t="s">
        <v>4899</v>
      </c>
      <c r="O3046" t="s">
        <v>4910</v>
      </c>
    </row>
    <row r="3047" spans="1:15" x14ac:dyDescent="0.35">
      <c r="A3047" t="s">
        <v>3004</v>
      </c>
      <c r="B3047">
        <v>19</v>
      </c>
      <c r="C3047" t="s">
        <v>4803</v>
      </c>
      <c r="D3047" t="s">
        <v>13</v>
      </c>
      <c r="E3047">
        <v>44</v>
      </c>
      <c r="F3047">
        <v>45</v>
      </c>
      <c r="G3047" t="s">
        <v>4797</v>
      </c>
      <c r="H3047" t="s">
        <v>4805</v>
      </c>
      <c r="I3047">
        <v>13.99</v>
      </c>
      <c r="J3047">
        <v>2</v>
      </c>
      <c r="K3047">
        <v>1.47</v>
      </c>
      <c r="L3047">
        <v>0</v>
      </c>
      <c r="M3047" t="s">
        <v>4811</v>
      </c>
      <c r="N3047" t="s">
        <v>4900</v>
      </c>
      <c r="O3047" t="s">
        <v>4912</v>
      </c>
    </row>
    <row r="3048" spans="1:15" x14ac:dyDescent="0.35">
      <c r="A3048" t="s">
        <v>3005</v>
      </c>
      <c r="B3048">
        <v>33</v>
      </c>
      <c r="C3048" t="s">
        <v>4803</v>
      </c>
      <c r="D3048" t="s">
        <v>14</v>
      </c>
      <c r="E3048">
        <v>46</v>
      </c>
      <c r="F3048" t="s">
        <v>4814</v>
      </c>
      <c r="G3048" t="s">
        <v>4798</v>
      </c>
      <c r="H3048" t="s">
        <v>4804</v>
      </c>
      <c r="I3048">
        <v>8.99</v>
      </c>
      <c r="J3048">
        <v>1</v>
      </c>
      <c r="K3048">
        <v>1.53</v>
      </c>
      <c r="L3048">
        <v>0</v>
      </c>
      <c r="M3048" t="s">
        <v>4808</v>
      </c>
      <c r="N3048" t="s">
        <v>4900</v>
      </c>
      <c r="O3048" t="s">
        <v>4912</v>
      </c>
    </row>
    <row r="3049" spans="1:15" x14ac:dyDescent="0.35">
      <c r="A3049" t="s">
        <v>3006</v>
      </c>
      <c r="B3049">
        <v>61</v>
      </c>
      <c r="C3049" t="s">
        <v>4802</v>
      </c>
      <c r="D3049" t="s">
        <v>13</v>
      </c>
      <c r="E3049">
        <v>45</v>
      </c>
      <c r="F3049">
        <v>4</v>
      </c>
      <c r="G3049" t="s">
        <v>4798</v>
      </c>
      <c r="H3049" t="s">
        <v>4804</v>
      </c>
      <c r="I3049">
        <v>13.99</v>
      </c>
      <c r="J3049">
        <v>3</v>
      </c>
      <c r="K3049">
        <v>1.5</v>
      </c>
      <c r="L3049">
        <v>0</v>
      </c>
      <c r="M3049" t="s">
        <v>4812</v>
      </c>
      <c r="N3049" t="s">
        <v>4900</v>
      </c>
      <c r="O3049" t="s">
        <v>4911</v>
      </c>
    </row>
    <row r="3050" spans="1:15" x14ac:dyDescent="0.35">
      <c r="A3050" t="s">
        <v>3007</v>
      </c>
      <c r="B3050">
        <v>25</v>
      </c>
      <c r="C3050" t="s">
        <v>4803</v>
      </c>
      <c r="D3050" t="s">
        <v>13</v>
      </c>
      <c r="E3050">
        <v>51</v>
      </c>
      <c r="F3050">
        <v>39</v>
      </c>
      <c r="G3050" t="s">
        <v>4797</v>
      </c>
      <c r="H3050" t="s">
        <v>4804</v>
      </c>
      <c r="I3050">
        <v>13.99</v>
      </c>
      <c r="J3050">
        <v>2</v>
      </c>
      <c r="K3050">
        <v>1.7</v>
      </c>
      <c r="L3050">
        <v>0</v>
      </c>
      <c r="M3050" t="s">
        <v>4811</v>
      </c>
      <c r="N3050" t="s">
        <v>4900</v>
      </c>
      <c r="O3050" t="s">
        <v>4912</v>
      </c>
    </row>
    <row r="3051" spans="1:15" x14ac:dyDescent="0.35">
      <c r="A3051" t="s">
        <v>3008</v>
      </c>
      <c r="B3051">
        <v>64</v>
      </c>
      <c r="C3051" t="s">
        <v>4803</v>
      </c>
      <c r="D3051" t="s">
        <v>13</v>
      </c>
      <c r="E3051">
        <v>66</v>
      </c>
      <c r="F3051">
        <v>38</v>
      </c>
      <c r="G3051" t="s">
        <v>4797</v>
      </c>
      <c r="H3051" t="s">
        <v>4805</v>
      </c>
      <c r="I3051">
        <v>13.99</v>
      </c>
      <c r="J3051">
        <v>3</v>
      </c>
      <c r="K3051">
        <v>5</v>
      </c>
      <c r="L3051">
        <v>1</v>
      </c>
      <c r="M3051" t="s">
        <v>4812</v>
      </c>
      <c r="N3051" t="s">
        <v>4899</v>
      </c>
      <c r="O3051" t="s">
        <v>4911</v>
      </c>
    </row>
    <row r="3052" spans="1:15" x14ac:dyDescent="0.35">
      <c r="A3052" t="s">
        <v>3009</v>
      </c>
      <c r="B3052">
        <v>65</v>
      </c>
      <c r="C3052" t="s">
        <v>4802</v>
      </c>
      <c r="D3052" t="s">
        <v>14</v>
      </c>
      <c r="E3052">
        <v>14</v>
      </c>
      <c r="F3052">
        <v>17</v>
      </c>
      <c r="G3052" t="s">
        <v>4800</v>
      </c>
      <c r="H3052" t="s">
        <v>4804</v>
      </c>
      <c r="I3052">
        <v>8.99</v>
      </c>
      <c r="J3052">
        <v>1</v>
      </c>
      <c r="K3052">
        <v>0.47</v>
      </c>
      <c r="L3052">
        <v>0</v>
      </c>
      <c r="M3052" t="s">
        <v>4812</v>
      </c>
      <c r="N3052" t="s">
        <v>4900</v>
      </c>
      <c r="O3052" t="s">
        <v>4911</v>
      </c>
    </row>
    <row r="3053" spans="1:15" x14ac:dyDescent="0.35">
      <c r="A3053" t="s">
        <v>3010</v>
      </c>
      <c r="B3053">
        <v>63</v>
      </c>
      <c r="C3053" t="s">
        <v>4803</v>
      </c>
      <c r="D3053" t="s">
        <v>13</v>
      </c>
      <c r="E3053">
        <v>53</v>
      </c>
      <c r="F3053">
        <v>19</v>
      </c>
      <c r="G3053" t="s">
        <v>4798</v>
      </c>
      <c r="H3053" t="s">
        <v>4804</v>
      </c>
      <c r="I3053">
        <v>13.99</v>
      </c>
      <c r="J3053">
        <v>2</v>
      </c>
      <c r="K3053">
        <v>1.77</v>
      </c>
      <c r="L3053">
        <v>0</v>
      </c>
      <c r="M3053" t="s">
        <v>4809</v>
      </c>
      <c r="N3053" t="s">
        <v>4900</v>
      </c>
      <c r="O3053" t="s">
        <v>4911</v>
      </c>
    </row>
    <row r="3054" spans="1:15" x14ac:dyDescent="0.35">
      <c r="A3054" t="s">
        <v>3011</v>
      </c>
      <c r="B3054">
        <v>37</v>
      </c>
      <c r="C3054" t="s">
        <v>4802</v>
      </c>
      <c r="D3054" t="s">
        <v>13</v>
      </c>
      <c r="E3054">
        <v>35</v>
      </c>
      <c r="F3054">
        <v>16</v>
      </c>
      <c r="G3054" t="s">
        <v>4799</v>
      </c>
      <c r="H3054" t="s">
        <v>4804</v>
      </c>
      <c r="I3054">
        <v>13.99</v>
      </c>
      <c r="J3054">
        <v>2</v>
      </c>
      <c r="K3054">
        <v>1.17</v>
      </c>
      <c r="L3054">
        <v>0</v>
      </c>
      <c r="M3054" t="s">
        <v>4808</v>
      </c>
      <c r="N3054" t="s">
        <v>4900</v>
      </c>
      <c r="O3054" t="s">
        <v>4910</v>
      </c>
    </row>
    <row r="3055" spans="1:15" x14ac:dyDescent="0.35">
      <c r="A3055" t="s">
        <v>3012</v>
      </c>
      <c r="B3055">
        <v>44</v>
      </c>
      <c r="C3055" t="s">
        <v>4802</v>
      </c>
      <c r="D3055" t="s">
        <v>13</v>
      </c>
      <c r="E3055">
        <v>38</v>
      </c>
      <c r="F3055">
        <v>7</v>
      </c>
      <c r="G3055" t="s">
        <v>4797</v>
      </c>
      <c r="H3055" t="s">
        <v>4805</v>
      </c>
      <c r="I3055">
        <v>13.99</v>
      </c>
      <c r="J3055">
        <v>4</v>
      </c>
      <c r="K3055">
        <v>1.27</v>
      </c>
      <c r="L3055">
        <v>0</v>
      </c>
      <c r="M3055" t="s">
        <v>4812</v>
      </c>
      <c r="N3055" t="s">
        <v>4900</v>
      </c>
      <c r="O3055" t="s">
        <v>4910</v>
      </c>
    </row>
    <row r="3056" spans="1:15" x14ac:dyDescent="0.35">
      <c r="A3056" t="s">
        <v>3013</v>
      </c>
      <c r="B3056">
        <v>43</v>
      </c>
      <c r="C3056" t="s">
        <v>4802</v>
      </c>
      <c r="D3056" t="s">
        <v>13</v>
      </c>
      <c r="E3056">
        <v>31</v>
      </c>
      <c r="F3056">
        <v>2</v>
      </c>
      <c r="G3056" t="s">
        <v>4800</v>
      </c>
      <c r="H3056" t="s">
        <v>4807</v>
      </c>
      <c r="I3056">
        <v>13.99</v>
      </c>
      <c r="J3056">
        <v>1</v>
      </c>
      <c r="K3056">
        <v>2.0299999999999998</v>
      </c>
      <c r="L3056">
        <v>0</v>
      </c>
      <c r="M3056" t="s">
        <v>4809</v>
      </c>
      <c r="N3056" t="s">
        <v>4900</v>
      </c>
      <c r="O3056" t="s">
        <v>4910</v>
      </c>
    </row>
    <row r="3057" spans="1:15" x14ac:dyDescent="0.35">
      <c r="A3057" t="s">
        <v>3014</v>
      </c>
      <c r="B3057">
        <v>32</v>
      </c>
      <c r="C3057" t="s">
        <v>4803</v>
      </c>
      <c r="D3057" t="s">
        <v>13</v>
      </c>
      <c r="E3057">
        <v>32</v>
      </c>
      <c r="F3057">
        <v>44</v>
      </c>
      <c r="G3057" t="s">
        <v>4799</v>
      </c>
      <c r="H3057" t="s">
        <v>4804</v>
      </c>
      <c r="I3057">
        <v>13.99</v>
      </c>
      <c r="J3057">
        <v>4</v>
      </c>
      <c r="K3057">
        <v>1.07</v>
      </c>
      <c r="L3057">
        <v>0</v>
      </c>
      <c r="M3057" t="s">
        <v>4809</v>
      </c>
      <c r="N3057" t="s">
        <v>4900</v>
      </c>
      <c r="O3057" t="s">
        <v>4912</v>
      </c>
    </row>
    <row r="3058" spans="1:15" x14ac:dyDescent="0.35">
      <c r="A3058" t="s">
        <v>3015</v>
      </c>
      <c r="B3058">
        <v>60</v>
      </c>
      <c r="C3058" t="s">
        <v>4802</v>
      </c>
      <c r="D3058" t="s">
        <v>13</v>
      </c>
      <c r="E3058">
        <v>56</v>
      </c>
      <c r="F3058">
        <v>24</v>
      </c>
      <c r="G3058" t="s">
        <v>4799</v>
      </c>
      <c r="H3058" t="s">
        <v>4806</v>
      </c>
      <c r="I3058">
        <v>13.99</v>
      </c>
      <c r="J3058">
        <v>3</v>
      </c>
      <c r="K3058">
        <v>1.87</v>
      </c>
      <c r="L3058">
        <v>0</v>
      </c>
      <c r="M3058" t="s">
        <v>4810</v>
      </c>
      <c r="N3058" t="s">
        <v>4900</v>
      </c>
      <c r="O3058" t="s">
        <v>4911</v>
      </c>
    </row>
    <row r="3059" spans="1:15" x14ac:dyDescent="0.35">
      <c r="A3059" t="s">
        <v>3016</v>
      </c>
      <c r="B3059">
        <v>63</v>
      </c>
      <c r="C3059" t="s">
        <v>4803</v>
      </c>
      <c r="D3059" t="s">
        <v>13</v>
      </c>
      <c r="E3059">
        <v>42</v>
      </c>
      <c r="F3059">
        <v>999</v>
      </c>
      <c r="G3059" t="s">
        <v>4799</v>
      </c>
      <c r="H3059" t="s">
        <v>4806</v>
      </c>
      <c r="I3059">
        <v>13.99</v>
      </c>
      <c r="J3059">
        <v>4</v>
      </c>
      <c r="K3059">
        <v>1.4</v>
      </c>
      <c r="L3059">
        <v>0</v>
      </c>
      <c r="M3059" t="s">
        <v>4812</v>
      </c>
      <c r="N3059" t="s">
        <v>4900</v>
      </c>
      <c r="O3059" t="s">
        <v>4911</v>
      </c>
    </row>
    <row r="3060" spans="1:15" x14ac:dyDescent="0.35">
      <c r="A3060" t="s">
        <v>3017</v>
      </c>
      <c r="B3060">
        <v>65</v>
      </c>
      <c r="C3060" t="s">
        <v>4802</v>
      </c>
      <c r="D3060" t="s">
        <v>13</v>
      </c>
      <c r="E3060">
        <v>47</v>
      </c>
      <c r="F3060">
        <v>44</v>
      </c>
      <c r="G3060" t="s">
        <v>4797</v>
      </c>
      <c r="H3060" t="s">
        <v>4804</v>
      </c>
      <c r="I3060">
        <v>13.99</v>
      </c>
      <c r="J3060">
        <v>4</v>
      </c>
      <c r="K3060">
        <v>1.57</v>
      </c>
      <c r="L3060">
        <v>0</v>
      </c>
      <c r="M3060" t="s">
        <v>4812</v>
      </c>
      <c r="N3060" t="s">
        <v>4900</v>
      </c>
      <c r="O3060" t="s">
        <v>4911</v>
      </c>
    </row>
    <row r="3061" spans="1:15" x14ac:dyDescent="0.35">
      <c r="A3061" t="s">
        <v>3018</v>
      </c>
      <c r="B3061">
        <v>57</v>
      </c>
      <c r="C3061" t="s">
        <v>4803</v>
      </c>
      <c r="D3061" t="s">
        <v>15</v>
      </c>
      <c r="E3061">
        <v>63</v>
      </c>
      <c r="F3061">
        <v>34</v>
      </c>
      <c r="G3061" t="s">
        <v>4797</v>
      </c>
      <c r="H3061" t="s">
        <v>4806</v>
      </c>
      <c r="I3061">
        <v>17.989999999999998</v>
      </c>
      <c r="J3061">
        <v>2</v>
      </c>
      <c r="K3061">
        <v>2.1</v>
      </c>
      <c r="L3061">
        <v>0</v>
      </c>
      <c r="M3061" t="s">
        <v>4809</v>
      </c>
      <c r="N3061" t="s">
        <v>4900</v>
      </c>
      <c r="O3061" t="s">
        <v>4911</v>
      </c>
    </row>
    <row r="3062" spans="1:15" x14ac:dyDescent="0.35">
      <c r="A3062" t="s">
        <v>3019</v>
      </c>
      <c r="B3062">
        <v>58</v>
      </c>
      <c r="C3062" t="s">
        <v>4802</v>
      </c>
      <c r="D3062" t="s">
        <v>15</v>
      </c>
      <c r="E3062">
        <v>88</v>
      </c>
      <c r="F3062">
        <v>39</v>
      </c>
      <c r="G3062" t="s">
        <v>4798</v>
      </c>
      <c r="H3062" t="s">
        <v>4806</v>
      </c>
      <c r="I3062">
        <v>17.989999999999998</v>
      </c>
      <c r="J3062">
        <v>5</v>
      </c>
      <c r="K3062">
        <v>2.93</v>
      </c>
      <c r="L3062">
        <v>1</v>
      </c>
      <c r="M3062" t="s">
        <v>4808</v>
      </c>
      <c r="N3062" t="s">
        <v>4899</v>
      </c>
      <c r="O3062" t="s">
        <v>4911</v>
      </c>
    </row>
    <row r="3063" spans="1:15" x14ac:dyDescent="0.35">
      <c r="A3063" t="s">
        <v>3020</v>
      </c>
      <c r="B3063">
        <v>28</v>
      </c>
      <c r="C3063" t="s">
        <v>4802</v>
      </c>
      <c r="D3063" t="s">
        <v>13</v>
      </c>
      <c r="E3063">
        <v>65</v>
      </c>
      <c r="F3063">
        <v>43</v>
      </c>
      <c r="G3063" t="s">
        <v>4797</v>
      </c>
      <c r="H3063" t="s">
        <v>4804</v>
      </c>
      <c r="I3063">
        <v>13.99</v>
      </c>
      <c r="J3063">
        <v>3</v>
      </c>
      <c r="K3063">
        <v>2.17</v>
      </c>
      <c r="L3063">
        <v>1</v>
      </c>
      <c r="M3063" t="s">
        <v>4811</v>
      </c>
      <c r="N3063" t="s">
        <v>4899</v>
      </c>
      <c r="O3063" t="s">
        <v>4912</v>
      </c>
    </row>
    <row r="3064" spans="1:15" x14ac:dyDescent="0.35">
      <c r="A3064" t="s">
        <v>3021</v>
      </c>
      <c r="B3064">
        <v>60</v>
      </c>
      <c r="C3064" t="s">
        <v>4802</v>
      </c>
      <c r="D3064" t="s">
        <v>13</v>
      </c>
      <c r="E3064">
        <v>63</v>
      </c>
      <c r="F3064">
        <v>52</v>
      </c>
      <c r="G3064" t="s">
        <v>4798</v>
      </c>
      <c r="H3064" t="s">
        <v>4806</v>
      </c>
      <c r="I3064">
        <v>13.99</v>
      </c>
      <c r="J3064">
        <v>3</v>
      </c>
      <c r="K3064">
        <v>2.1</v>
      </c>
      <c r="L3064">
        <v>0</v>
      </c>
      <c r="M3064" t="s">
        <v>4809</v>
      </c>
      <c r="N3064" t="s">
        <v>4900</v>
      </c>
      <c r="O3064" t="s">
        <v>4911</v>
      </c>
    </row>
    <row r="3065" spans="1:15" x14ac:dyDescent="0.35">
      <c r="A3065" t="s">
        <v>3022</v>
      </c>
      <c r="B3065">
        <v>19</v>
      </c>
      <c r="C3065" t="s">
        <v>4803</v>
      </c>
      <c r="D3065" t="s">
        <v>15</v>
      </c>
      <c r="E3065">
        <v>69</v>
      </c>
      <c r="F3065">
        <v>55</v>
      </c>
      <c r="G3065" t="s">
        <v>4800</v>
      </c>
      <c r="H3065" t="s">
        <v>4804</v>
      </c>
      <c r="I3065">
        <v>17.989999999999998</v>
      </c>
      <c r="J3065">
        <v>5</v>
      </c>
      <c r="K3065">
        <v>2.2999999999999998</v>
      </c>
      <c r="L3065">
        <v>0</v>
      </c>
      <c r="M3065" t="s">
        <v>4811</v>
      </c>
      <c r="N3065" t="s">
        <v>4900</v>
      </c>
      <c r="O3065" t="s">
        <v>4912</v>
      </c>
    </row>
    <row r="3066" spans="1:15" x14ac:dyDescent="0.35">
      <c r="A3066" t="s">
        <v>3023</v>
      </c>
      <c r="B3066">
        <v>22</v>
      </c>
      <c r="C3066" t="s">
        <v>4803</v>
      </c>
      <c r="D3066" t="s">
        <v>15</v>
      </c>
      <c r="E3066">
        <v>119</v>
      </c>
      <c r="F3066">
        <v>38</v>
      </c>
      <c r="G3066" t="s">
        <v>4799</v>
      </c>
      <c r="H3066" t="s">
        <v>4804</v>
      </c>
      <c r="I3066">
        <v>17.989999999999998</v>
      </c>
      <c r="J3066">
        <v>2</v>
      </c>
      <c r="K3066">
        <v>3.97</v>
      </c>
      <c r="L3066">
        <v>1</v>
      </c>
      <c r="M3066" t="s">
        <v>4811</v>
      </c>
      <c r="N3066" t="s">
        <v>4899</v>
      </c>
      <c r="O3066" t="s">
        <v>4912</v>
      </c>
    </row>
    <row r="3067" spans="1:15" x14ac:dyDescent="0.35">
      <c r="A3067" t="s">
        <v>3024</v>
      </c>
      <c r="B3067">
        <v>30</v>
      </c>
      <c r="C3067" t="s">
        <v>4802</v>
      </c>
      <c r="D3067" t="s">
        <v>15</v>
      </c>
      <c r="E3067">
        <v>97</v>
      </c>
      <c r="F3067">
        <v>45</v>
      </c>
      <c r="G3067" t="s">
        <v>4798</v>
      </c>
      <c r="H3067" t="s">
        <v>4804</v>
      </c>
      <c r="I3067">
        <v>17.989999999999998</v>
      </c>
      <c r="J3067">
        <v>3</v>
      </c>
      <c r="K3067">
        <v>3.23</v>
      </c>
      <c r="L3067">
        <v>1</v>
      </c>
      <c r="M3067" t="s">
        <v>4810</v>
      </c>
      <c r="N3067" t="s">
        <v>4899</v>
      </c>
      <c r="O3067" t="s">
        <v>4912</v>
      </c>
    </row>
    <row r="3068" spans="1:15" x14ac:dyDescent="0.35">
      <c r="A3068" t="s">
        <v>3025</v>
      </c>
      <c r="B3068">
        <v>45</v>
      </c>
      <c r="C3068" t="s">
        <v>4802</v>
      </c>
      <c r="D3068" t="s">
        <v>15</v>
      </c>
      <c r="E3068">
        <v>67</v>
      </c>
      <c r="F3068">
        <v>27</v>
      </c>
      <c r="G3068" t="s">
        <v>4798</v>
      </c>
      <c r="H3068" t="s">
        <v>4805</v>
      </c>
      <c r="I3068">
        <v>17.989999999999998</v>
      </c>
      <c r="J3068">
        <v>3</v>
      </c>
      <c r="K3068">
        <v>2.23</v>
      </c>
      <c r="L3068">
        <v>0</v>
      </c>
      <c r="M3068" t="s">
        <v>4810</v>
      </c>
      <c r="N3068" t="s">
        <v>4900</v>
      </c>
      <c r="O3068" t="s">
        <v>4910</v>
      </c>
    </row>
    <row r="3069" spans="1:15" x14ac:dyDescent="0.35">
      <c r="A3069" t="s">
        <v>3026</v>
      </c>
      <c r="B3069">
        <v>20</v>
      </c>
      <c r="C3069" t="s">
        <v>4802</v>
      </c>
      <c r="D3069" t="s">
        <v>15</v>
      </c>
      <c r="E3069">
        <v>100</v>
      </c>
      <c r="F3069">
        <v>3</v>
      </c>
      <c r="G3069" t="s">
        <v>4797</v>
      </c>
      <c r="H3069" t="s">
        <v>4805</v>
      </c>
      <c r="I3069">
        <v>17.989999999999998</v>
      </c>
      <c r="J3069">
        <v>2</v>
      </c>
      <c r="K3069">
        <v>3.33</v>
      </c>
      <c r="L3069">
        <v>0</v>
      </c>
      <c r="M3069" t="s">
        <v>4812</v>
      </c>
      <c r="N3069" t="s">
        <v>4900</v>
      </c>
      <c r="O3069" t="s">
        <v>4912</v>
      </c>
    </row>
    <row r="3070" spans="1:15" x14ac:dyDescent="0.35">
      <c r="A3070" t="s">
        <v>3027</v>
      </c>
      <c r="B3070">
        <v>50</v>
      </c>
      <c r="C3070" t="s">
        <v>4803</v>
      </c>
      <c r="D3070" t="s">
        <v>13</v>
      </c>
      <c r="E3070">
        <v>48</v>
      </c>
      <c r="F3070">
        <v>0</v>
      </c>
      <c r="G3070" t="s">
        <v>4799</v>
      </c>
      <c r="H3070" t="s">
        <v>4805</v>
      </c>
      <c r="I3070">
        <v>13.99</v>
      </c>
      <c r="J3070">
        <v>2</v>
      </c>
      <c r="K3070">
        <v>1.6</v>
      </c>
      <c r="L3070">
        <v>0</v>
      </c>
      <c r="M3070" t="s">
        <v>4812</v>
      </c>
      <c r="N3070" t="s">
        <v>4900</v>
      </c>
      <c r="O3070" t="s">
        <v>4910</v>
      </c>
    </row>
    <row r="3071" spans="1:15" x14ac:dyDescent="0.35">
      <c r="A3071" t="s">
        <v>3028</v>
      </c>
      <c r="B3071">
        <v>40</v>
      </c>
      <c r="C3071" t="s">
        <v>4803</v>
      </c>
      <c r="D3071" t="s">
        <v>15</v>
      </c>
      <c r="E3071">
        <v>102</v>
      </c>
      <c r="F3071">
        <v>7</v>
      </c>
      <c r="G3071" t="s">
        <v>4799</v>
      </c>
      <c r="H3071" t="s">
        <v>4804</v>
      </c>
      <c r="I3071">
        <v>17.989999999999998</v>
      </c>
      <c r="J3071">
        <v>5</v>
      </c>
      <c r="K3071">
        <v>3.4</v>
      </c>
      <c r="L3071">
        <v>0</v>
      </c>
      <c r="M3071" t="s">
        <v>4808</v>
      </c>
      <c r="N3071" t="s">
        <v>4900</v>
      </c>
      <c r="O3071" t="s">
        <v>4910</v>
      </c>
    </row>
    <row r="3072" spans="1:15" x14ac:dyDescent="0.35">
      <c r="A3072" t="s">
        <v>3029</v>
      </c>
      <c r="B3072">
        <v>35</v>
      </c>
      <c r="C3072" t="s">
        <v>4802</v>
      </c>
      <c r="D3072" t="s">
        <v>13</v>
      </c>
      <c r="E3072">
        <v>52</v>
      </c>
      <c r="F3072">
        <v>22</v>
      </c>
      <c r="G3072" t="s">
        <v>4799</v>
      </c>
      <c r="H3072" t="s">
        <v>4805</v>
      </c>
      <c r="I3072">
        <v>13.99</v>
      </c>
      <c r="J3072">
        <v>4</v>
      </c>
      <c r="K3072">
        <v>1.73</v>
      </c>
      <c r="L3072">
        <v>0</v>
      </c>
      <c r="M3072" t="s">
        <v>4811</v>
      </c>
      <c r="N3072" t="s">
        <v>4900</v>
      </c>
      <c r="O3072" t="s">
        <v>4910</v>
      </c>
    </row>
    <row r="3073" spans="1:15" x14ac:dyDescent="0.35">
      <c r="A3073" t="s">
        <v>3030</v>
      </c>
      <c r="B3073">
        <v>60</v>
      </c>
      <c r="C3073" t="s">
        <v>4802</v>
      </c>
      <c r="D3073" t="s">
        <v>15</v>
      </c>
      <c r="E3073">
        <v>69</v>
      </c>
      <c r="F3073">
        <v>31</v>
      </c>
      <c r="G3073" t="s">
        <v>4797</v>
      </c>
      <c r="H3073" t="s">
        <v>4805</v>
      </c>
      <c r="I3073">
        <v>17.989999999999998</v>
      </c>
      <c r="J3073">
        <v>4</v>
      </c>
      <c r="K3073">
        <v>2.2999999999999998</v>
      </c>
      <c r="L3073">
        <v>0</v>
      </c>
      <c r="M3073" t="s">
        <v>4811</v>
      </c>
      <c r="N3073" t="s">
        <v>4900</v>
      </c>
      <c r="O3073" t="s">
        <v>4911</v>
      </c>
    </row>
    <row r="3074" spans="1:15" x14ac:dyDescent="0.35">
      <c r="A3074" t="s">
        <v>4878</v>
      </c>
      <c r="B3074">
        <v>64</v>
      </c>
      <c r="C3074" t="s">
        <v>4803</v>
      </c>
      <c r="D3074" t="s">
        <v>13</v>
      </c>
      <c r="E3074">
        <v>68</v>
      </c>
      <c r="F3074">
        <v>18</v>
      </c>
      <c r="G3074" t="s">
        <v>4798</v>
      </c>
      <c r="H3074" t="s">
        <v>4804</v>
      </c>
      <c r="I3074">
        <v>13.99</v>
      </c>
      <c r="J3074">
        <v>1</v>
      </c>
      <c r="K3074">
        <v>2.27</v>
      </c>
      <c r="L3074">
        <v>0</v>
      </c>
      <c r="M3074" t="s">
        <v>4810</v>
      </c>
      <c r="N3074" t="s">
        <v>4900</v>
      </c>
      <c r="O3074" t="s">
        <v>4911</v>
      </c>
    </row>
    <row r="3075" spans="1:15" x14ac:dyDescent="0.35">
      <c r="A3075" t="s">
        <v>3031</v>
      </c>
      <c r="B3075">
        <v>23</v>
      </c>
      <c r="C3075" t="s">
        <v>4803</v>
      </c>
      <c r="D3075" t="s">
        <v>14</v>
      </c>
      <c r="E3075">
        <v>20</v>
      </c>
      <c r="F3075">
        <v>53</v>
      </c>
      <c r="G3075" t="s">
        <v>4798</v>
      </c>
      <c r="H3075" t="s">
        <v>4805</v>
      </c>
      <c r="I3075">
        <v>8.99</v>
      </c>
      <c r="J3075">
        <v>2</v>
      </c>
      <c r="K3075">
        <v>2.0299999999999998</v>
      </c>
      <c r="L3075">
        <v>0</v>
      </c>
      <c r="M3075" t="s">
        <v>4808</v>
      </c>
      <c r="N3075" t="s">
        <v>4900</v>
      </c>
      <c r="O3075" t="s">
        <v>4912</v>
      </c>
    </row>
    <row r="3076" spans="1:15" x14ac:dyDescent="0.35">
      <c r="A3076" t="s">
        <v>3032</v>
      </c>
      <c r="B3076">
        <v>52</v>
      </c>
      <c r="C3076" t="s">
        <v>4802</v>
      </c>
      <c r="D3076" t="s">
        <v>13</v>
      </c>
      <c r="E3076">
        <v>60</v>
      </c>
      <c r="F3076">
        <v>19</v>
      </c>
      <c r="G3076" t="s">
        <v>4800</v>
      </c>
      <c r="H3076" t="s">
        <v>4805</v>
      </c>
      <c r="I3076">
        <v>13.99</v>
      </c>
      <c r="J3076">
        <v>1</v>
      </c>
      <c r="K3076">
        <v>2</v>
      </c>
      <c r="L3076">
        <v>0</v>
      </c>
      <c r="M3076" t="s">
        <v>4811</v>
      </c>
      <c r="N3076" t="s">
        <v>4900</v>
      </c>
      <c r="O3076" t="s">
        <v>4910</v>
      </c>
    </row>
    <row r="3077" spans="1:15" x14ac:dyDescent="0.35">
      <c r="A3077" t="s">
        <v>3033</v>
      </c>
      <c r="B3077">
        <v>61</v>
      </c>
      <c r="C3077" t="s">
        <v>4802</v>
      </c>
      <c r="D3077" t="s">
        <v>13</v>
      </c>
      <c r="E3077">
        <v>58</v>
      </c>
      <c r="F3077">
        <v>27</v>
      </c>
      <c r="G3077" t="s">
        <v>4797</v>
      </c>
      <c r="H3077" t="s">
        <v>4806</v>
      </c>
      <c r="I3077">
        <v>13.99</v>
      </c>
      <c r="J3077">
        <v>3</v>
      </c>
      <c r="K3077">
        <v>1.93</v>
      </c>
      <c r="L3077">
        <v>0</v>
      </c>
      <c r="M3077" t="s">
        <v>4811</v>
      </c>
      <c r="N3077" t="s">
        <v>4900</v>
      </c>
      <c r="O3077" t="s">
        <v>4911</v>
      </c>
    </row>
    <row r="3078" spans="1:15" x14ac:dyDescent="0.35">
      <c r="A3078" t="s">
        <v>3034</v>
      </c>
      <c r="B3078">
        <v>64</v>
      </c>
      <c r="C3078" t="s">
        <v>4802</v>
      </c>
      <c r="D3078" t="s">
        <v>13</v>
      </c>
      <c r="E3078">
        <v>59</v>
      </c>
      <c r="F3078">
        <v>54</v>
      </c>
      <c r="G3078" t="s">
        <v>4798</v>
      </c>
      <c r="H3078" t="s">
        <v>4806</v>
      </c>
      <c r="I3078">
        <v>13.99</v>
      </c>
      <c r="J3078">
        <v>4</v>
      </c>
      <c r="K3078">
        <v>1.97</v>
      </c>
      <c r="L3078">
        <v>0</v>
      </c>
      <c r="M3078" t="s">
        <v>4810</v>
      </c>
      <c r="N3078" t="s">
        <v>4900</v>
      </c>
      <c r="O3078" t="s">
        <v>4911</v>
      </c>
    </row>
    <row r="3079" spans="1:15" x14ac:dyDescent="0.35">
      <c r="A3079" t="s">
        <v>3035</v>
      </c>
      <c r="B3079">
        <v>45</v>
      </c>
      <c r="C3079" t="s">
        <v>4802</v>
      </c>
      <c r="D3079" t="s">
        <v>13</v>
      </c>
      <c r="E3079">
        <v>38</v>
      </c>
      <c r="F3079">
        <v>45</v>
      </c>
      <c r="G3079" t="s">
        <v>4798</v>
      </c>
      <c r="H3079" t="s">
        <v>4805</v>
      </c>
      <c r="I3079">
        <v>13.99</v>
      </c>
      <c r="J3079">
        <v>2</v>
      </c>
      <c r="K3079">
        <v>1.27</v>
      </c>
      <c r="L3079">
        <v>0</v>
      </c>
      <c r="M3079" t="s">
        <v>4810</v>
      </c>
      <c r="N3079" t="s">
        <v>4900</v>
      </c>
      <c r="O3079" t="s">
        <v>4910</v>
      </c>
    </row>
    <row r="3080" spans="1:15" x14ac:dyDescent="0.35">
      <c r="A3080" t="s">
        <v>3036</v>
      </c>
      <c r="B3080">
        <v>52</v>
      </c>
      <c r="C3080" t="s">
        <v>4803</v>
      </c>
      <c r="D3080" t="s">
        <v>13</v>
      </c>
      <c r="E3080">
        <v>73</v>
      </c>
      <c r="F3080">
        <v>44</v>
      </c>
      <c r="G3080" t="s">
        <v>4799</v>
      </c>
      <c r="H3080" t="s">
        <v>4805</v>
      </c>
      <c r="I3080">
        <v>13.99</v>
      </c>
      <c r="J3080">
        <v>1</v>
      </c>
      <c r="K3080">
        <v>2.4300000000000002</v>
      </c>
      <c r="L3080">
        <v>0</v>
      </c>
      <c r="M3080" t="s">
        <v>4810</v>
      </c>
      <c r="N3080" t="s">
        <v>4900</v>
      </c>
      <c r="O3080" t="s">
        <v>4910</v>
      </c>
    </row>
    <row r="3081" spans="1:15" x14ac:dyDescent="0.35">
      <c r="A3081" t="s">
        <v>4843</v>
      </c>
      <c r="B3081">
        <v>33</v>
      </c>
      <c r="C3081" t="s">
        <v>4803</v>
      </c>
      <c r="D3081" t="s">
        <v>13</v>
      </c>
      <c r="E3081">
        <v>63</v>
      </c>
      <c r="F3081">
        <v>31</v>
      </c>
      <c r="G3081" t="s">
        <v>4798</v>
      </c>
      <c r="H3081" t="s">
        <v>4804</v>
      </c>
      <c r="I3081">
        <v>13.99</v>
      </c>
      <c r="J3081">
        <v>4</v>
      </c>
      <c r="K3081">
        <v>2.1</v>
      </c>
      <c r="L3081">
        <v>1</v>
      </c>
      <c r="M3081" t="s">
        <v>4808</v>
      </c>
      <c r="N3081" t="s">
        <v>4899</v>
      </c>
      <c r="O3081" t="s">
        <v>4912</v>
      </c>
    </row>
    <row r="3082" spans="1:15" x14ac:dyDescent="0.35">
      <c r="A3082" t="s">
        <v>3037</v>
      </c>
      <c r="B3082">
        <v>38</v>
      </c>
      <c r="C3082" t="s">
        <v>4803</v>
      </c>
      <c r="D3082" t="s">
        <v>15</v>
      </c>
      <c r="E3082">
        <v>104</v>
      </c>
      <c r="F3082">
        <v>9</v>
      </c>
      <c r="G3082" t="s">
        <v>4801</v>
      </c>
      <c r="H3082" t="s">
        <v>4805</v>
      </c>
      <c r="I3082">
        <v>17.989999999999998</v>
      </c>
      <c r="J3082">
        <v>5</v>
      </c>
      <c r="K3082">
        <v>3.47</v>
      </c>
      <c r="L3082">
        <v>1</v>
      </c>
      <c r="M3082" t="s">
        <v>4812</v>
      </c>
      <c r="N3082" t="s">
        <v>4899</v>
      </c>
      <c r="O3082" t="s">
        <v>4910</v>
      </c>
    </row>
    <row r="3083" spans="1:15" x14ac:dyDescent="0.35">
      <c r="A3083" t="s">
        <v>3038</v>
      </c>
      <c r="B3083">
        <v>29</v>
      </c>
      <c r="C3083" t="s">
        <v>4803</v>
      </c>
      <c r="D3083" t="s">
        <v>14</v>
      </c>
      <c r="E3083">
        <v>23</v>
      </c>
      <c r="F3083">
        <v>11</v>
      </c>
      <c r="G3083" t="s">
        <v>4798</v>
      </c>
      <c r="H3083" t="s">
        <v>4805</v>
      </c>
      <c r="I3083">
        <v>8.99</v>
      </c>
      <c r="J3083">
        <v>1</v>
      </c>
      <c r="K3083">
        <v>0.77</v>
      </c>
      <c r="L3083">
        <v>0</v>
      </c>
      <c r="M3083" t="s">
        <v>4808</v>
      </c>
      <c r="N3083" t="s">
        <v>4900</v>
      </c>
      <c r="O3083" t="s">
        <v>4912</v>
      </c>
    </row>
    <row r="3084" spans="1:15" x14ac:dyDescent="0.35">
      <c r="A3084" t="s">
        <v>3039</v>
      </c>
      <c r="B3084">
        <v>62</v>
      </c>
      <c r="C3084" t="s">
        <v>4802</v>
      </c>
      <c r="D3084" t="s">
        <v>13</v>
      </c>
      <c r="E3084">
        <v>75</v>
      </c>
      <c r="F3084">
        <v>52</v>
      </c>
      <c r="G3084" t="s">
        <v>4799</v>
      </c>
      <c r="H3084" t="s">
        <v>4806</v>
      </c>
      <c r="I3084">
        <v>13.99</v>
      </c>
      <c r="J3084">
        <v>1</v>
      </c>
      <c r="K3084">
        <v>2.5</v>
      </c>
      <c r="L3084">
        <v>0</v>
      </c>
      <c r="M3084" t="s">
        <v>4810</v>
      </c>
      <c r="N3084" t="s">
        <v>4900</v>
      </c>
      <c r="O3084" t="s">
        <v>4911</v>
      </c>
    </row>
    <row r="3085" spans="1:15" x14ac:dyDescent="0.35">
      <c r="A3085" t="s">
        <v>3040</v>
      </c>
      <c r="B3085">
        <v>22</v>
      </c>
      <c r="C3085" t="s">
        <v>4802</v>
      </c>
      <c r="D3085" t="s">
        <v>14</v>
      </c>
      <c r="E3085">
        <v>40</v>
      </c>
      <c r="F3085">
        <v>43</v>
      </c>
      <c r="G3085" t="s">
        <v>4798</v>
      </c>
      <c r="H3085" t="s">
        <v>4806</v>
      </c>
      <c r="I3085">
        <v>8.99</v>
      </c>
      <c r="J3085">
        <v>2</v>
      </c>
      <c r="K3085">
        <v>1.33</v>
      </c>
      <c r="L3085">
        <v>0</v>
      </c>
      <c r="M3085" t="s">
        <v>4809</v>
      </c>
      <c r="N3085" t="s">
        <v>4900</v>
      </c>
      <c r="O3085" t="s">
        <v>4912</v>
      </c>
    </row>
    <row r="3086" spans="1:15" x14ac:dyDescent="0.35">
      <c r="A3086" t="s">
        <v>3041</v>
      </c>
      <c r="B3086">
        <v>32</v>
      </c>
      <c r="C3086" t="s">
        <v>4803</v>
      </c>
      <c r="D3086" t="s">
        <v>13</v>
      </c>
      <c r="E3086">
        <v>56</v>
      </c>
      <c r="F3086">
        <v>14</v>
      </c>
      <c r="G3086" t="s">
        <v>4798</v>
      </c>
      <c r="H3086" t="s">
        <v>4805</v>
      </c>
      <c r="I3086">
        <v>13.99</v>
      </c>
      <c r="J3086">
        <v>2</v>
      </c>
      <c r="K3086">
        <v>1.87</v>
      </c>
      <c r="L3086">
        <v>0</v>
      </c>
      <c r="M3086" t="s">
        <v>4812</v>
      </c>
      <c r="N3086" t="s">
        <v>4900</v>
      </c>
      <c r="O3086" t="s">
        <v>4912</v>
      </c>
    </row>
    <row r="3087" spans="1:15" x14ac:dyDescent="0.35">
      <c r="A3087" t="s">
        <v>3042</v>
      </c>
      <c r="B3087">
        <v>57</v>
      </c>
      <c r="C3087" t="s">
        <v>4803</v>
      </c>
      <c r="D3087" t="s">
        <v>13</v>
      </c>
      <c r="E3087">
        <v>53</v>
      </c>
      <c r="F3087">
        <v>13</v>
      </c>
      <c r="G3087" t="s">
        <v>4798</v>
      </c>
      <c r="H3087" t="s">
        <v>4805</v>
      </c>
      <c r="I3087">
        <v>13.99</v>
      </c>
      <c r="J3087">
        <v>1</v>
      </c>
      <c r="K3087">
        <v>1.77</v>
      </c>
      <c r="L3087">
        <v>0</v>
      </c>
      <c r="M3087" t="s">
        <v>4809</v>
      </c>
      <c r="N3087" t="s">
        <v>4900</v>
      </c>
      <c r="O3087" t="s">
        <v>4911</v>
      </c>
    </row>
    <row r="3088" spans="1:15" x14ac:dyDescent="0.35">
      <c r="A3088" t="s">
        <v>3043</v>
      </c>
      <c r="B3088">
        <v>50</v>
      </c>
      <c r="C3088" t="s">
        <v>4802</v>
      </c>
      <c r="D3088" t="s">
        <v>14</v>
      </c>
      <c r="E3088">
        <v>55</v>
      </c>
      <c r="F3088">
        <v>52</v>
      </c>
      <c r="G3088" t="s">
        <v>4799</v>
      </c>
      <c r="H3088" t="s">
        <v>4805</v>
      </c>
      <c r="I3088">
        <v>8.99</v>
      </c>
      <c r="J3088">
        <v>3</v>
      </c>
      <c r="K3088">
        <v>1.83</v>
      </c>
      <c r="L3088">
        <v>0</v>
      </c>
      <c r="M3088" t="s">
        <v>4811</v>
      </c>
      <c r="N3088" t="s">
        <v>4900</v>
      </c>
      <c r="O3088" t="s">
        <v>4910</v>
      </c>
    </row>
    <row r="3089" spans="1:15" x14ac:dyDescent="0.35">
      <c r="A3089" t="s">
        <v>3044</v>
      </c>
      <c r="B3089">
        <v>48</v>
      </c>
      <c r="C3089" t="s">
        <v>4803</v>
      </c>
      <c r="D3089" t="s">
        <v>13</v>
      </c>
      <c r="E3089">
        <v>48</v>
      </c>
      <c r="F3089">
        <v>9</v>
      </c>
      <c r="G3089" t="s">
        <v>4797</v>
      </c>
      <c r="H3089" t="s">
        <v>4805</v>
      </c>
      <c r="I3089">
        <v>13.99</v>
      </c>
      <c r="J3089">
        <v>1</v>
      </c>
      <c r="K3089">
        <v>1.6</v>
      </c>
      <c r="L3089">
        <v>0</v>
      </c>
      <c r="M3089" t="s">
        <v>4812</v>
      </c>
      <c r="N3089" t="s">
        <v>4900</v>
      </c>
      <c r="O3089" t="s">
        <v>4910</v>
      </c>
    </row>
    <row r="3090" spans="1:15" x14ac:dyDescent="0.35">
      <c r="A3090" t="s">
        <v>3045</v>
      </c>
      <c r="B3090">
        <v>31</v>
      </c>
      <c r="C3090" t="s">
        <v>4803</v>
      </c>
      <c r="D3090" t="s">
        <v>13</v>
      </c>
      <c r="E3090">
        <v>76</v>
      </c>
      <c r="F3090">
        <v>27</v>
      </c>
      <c r="G3090" t="s">
        <v>4798</v>
      </c>
      <c r="H3090" t="s">
        <v>4804</v>
      </c>
      <c r="I3090">
        <v>13.99</v>
      </c>
      <c r="J3090">
        <v>1</v>
      </c>
      <c r="K3090">
        <v>2.5299999999999998</v>
      </c>
      <c r="L3090">
        <v>1</v>
      </c>
      <c r="M3090" t="s">
        <v>4809</v>
      </c>
      <c r="N3090" t="s">
        <v>4899</v>
      </c>
      <c r="O3090" t="s">
        <v>4912</v>
      </c>
    </row>
    <row r="3091" spans="1:15" x14ac:dyDescent="0.35">
      <c r="A3091" t="s">
        <v>3046</v>
      </c>
      <c r="B3091">
        <v>36</v>
      </c>
      <c r="C3091" t="s">
        <v>4803</v>
      </c>
      <c r="D3091" t="s">
        <v>13</v>
      </c>
      <c r="E3091">
        <v>55</v>
      </c>
      <c r="F3091">
        <v>23</v>
      </c>
      <c r="G3091" t="s">
        <v>4799</v>
      </c>
      <c r="H3091" t="s">
        <v>4805</v>
      </c>
      <c r="I3091">
        <v>13.99</v>
      </c>
      <c r="J3091">
        <v>2</v>
      </c>
      <c r="K3091">
        <v>1.83</v>
      </c>
      <c r="L3091">
        <v>0</v>
      </c>
      <c r="M3091" t="s">
        <v>4810</v>
      </c>
      <c r="N3091" t="s">
        <v>4900</v>
      </c>
      <c r="O3091" t="s">
        <v>4910</v>
      </c>
    </row>
    <row r="3092" spans="1:15" x14ac:dyDescent="0.35">
      <c r="A3092" t="s">
        <v>3047</v>
      </c>
      <c r="B3092">
        <v>49</v>
      </c>
      <c r="C3092" t="s">
        <v>4803</v>
      </c>
      <c r="D3092" t="s">
        <v>13</v>
      </c>
      <c r="E3092">
        <v>67</v>
      </c>
      <c r="F3092">
        <v>47</v>
      </c>
      <c r="G3092" t="s">
        <v>4800</v>
      </c>
      <c r="H3092" t="s">
        <v>4805</v>
      </c>
      <c r="I3092">
        <v>13.99</v>
      </c>
      <c r="J3092">
        <v>4</v>
      </c>
      <c r="K3092">
        <v>5</v>
      </c>
      <c r="L3092">
        <v>0</v>
      </c>
      <c r="M3092" t="s">
        <v>4809</v>
      </c>
      <c r="N3092" t="s">
        <v>4900</v>
      </c>
      <c r="O3092" t="s">
        <v>4910</v>
      </c>
    </row>
    <row r="3093" spans="1:15" x14ac:dyDescent="0.35">
      <c r="A3093" t="s">
        <v>3048</v>
      </c>
      <c r="B3093">
        <v>33</v>
      </c>
      <c r="C3093" t="s">
        <v>4802</v>
      </c>
      <c r="D3093" t="s">
        <v>13</v>
      </c>
      <c r="E3093">
        <v>79</v>
      </c>
      <c r="F3093">
        <v>58</v>
      </c>
      <c r="G3093" t="s">
        <v>4798</v>
      </c>
      <c r="H3093" t="s">
        <v>4805</v>
      </c>
      <c r="I3093">
        <v>13.99</v>
      </c>
      <c r="J3093">
        <v>2</v>
      </c>
      <c r="K3093">
        <v>2.63</v>
      </c>
      <c r="L3093">
        <v>1</v>
      </c>
      <c r="M3093" t="s">
        <v>4809</v>
      </c>
      <c r="N3093" t="s">
        <v>4899</v>
      </c>
      <c r="O3093" t="s">
        <v>4912</v>
      </c>
    </row>
    <row r="3094" spans="1:15" x14ac:dyDescent="0.35">
      <c r="A3094" t="s">
        <v>3049</v>
      </c>
      <c r="B3094">
        <v>25</v>
      </c>
      <c r="C3094" t="s">
        <v>4802</v>
      </c>
      <c r="D3094" t="s">
        <v>14</v>
      </c>
      <c r="E3094">
        <v>38</v>
      </c>
      <c r="F3094">
        <v>46</v>
      </c>
      <c r="G3094" t="s">
        <v>4798</v>
      </c>
      <c r="H3094" t="s">
        <v>4805</v>
      </c>
      <c r="I3094">
        <v>8.99</v>
      </c>
      <c r="J3094">
        <v>3</v>
      </c>
      <c r="K3094">
        <v>1.27</v>
      </c>
      <c r="L3094">
        <v>0</v>
      </c>
      <c r="M3094" t="s">
        <v>4810</v>
      </c>
      <c r="N3094" t="s">
        <v>4900</v>
      </c>
      <c r="O3094" t="s">
        <v>4912</v>
      </c>
    </row>
    <row r="3095" spans="1:15" x14ac:dyDescent="0.35">
      <c r="A3095" t="s">
        <v>3050</v>
      </c>
      <c r="B3095">
        <v>60</v>
      </c>
      <c r="C3095" t="s">
        <v>4802</v>
      </c>
      <c r="D3095" t="s">
        <v>13</v>
      </c>
      <c r="E3095">
        <v>44</v>
      </c>
      <c r="F3095">
        <v>12</v>
      </c>
      <c r="G3095" t="s">
        <v>4799</v>
      </c>
      <c r="H3095" t="s">
        <v>4804</v>
      </c>
      <c r="I3095">
        <v>13.99</v>
      </c>
      <c r="J3095">
        <v>2</v>
      </c>
      <c r="K3095">
        <v>1.47</v>
      </c>
      <c r="L3095">
        <v>1</v>
      </c>
      <c r="M3095" t="s">
        <v>4808</v>
      </c>
      <c r="N3095" t="s">
        <v>4899</v>
      </c>
      <c r="O3095" t="s">
        <v>4911</v>
      </c>
    </row>
    <row r="3096" spans="1:15" x14ac:dyDescent="0.35">
      <c r="A3096" t="s">
        <v>3051</v>
      </c>
      <c r="B3096">
        <v>56</v>
      </c>
      <c r="C3096" t="s">
        <v>4803</v>
      </c>
      <c r="D3096" t="s">
        <v>13</v>
      </c>
      <c r="E3096">
        <v>55</v>
      </c>
      <c r="F3096">
        <v>45</v>
      </c>
      <c r="G3096" t="s">
        <v>4799</v>
      </c>
      <c r="H3096" t="s">
        <v>4804</v>
      </c>
      <c r="I3096">
        <v>13.99</v>
      </c>
      <c r="J3096">
        <v>3</v>
      </c>
      <c r="K3096">
        <v>1.83</v>
      </c>
      <c r="L3096">
        <v>0</v>
      </c>
      <c r="M3096" t="s">
        <v>4810</v>
      </c>
      <c r="N3096" t="s">
        <v>4900</v>
      </c>
      <c r="O3096" t="s">
        <v>4911</v>
      </c>
    </row>
    <row r="3097" spans="1:15" x14ac:dyDescent="0.35">
      <c r="A3097" t="s">
        <v>3052</v>
      </c>
      <c r="B3097">
        <v>26</v>
      </c>
      <c r="C3097" t="s">
        <v>4803</v>
      </c>
      <c r="D3097" t="s">
        <v>13</v>
      </c>
      <c r="E3097">
        <v>38</v>
      </c>
      <c r="F3097">
        <v>31</v>
      </c>
      <c r="G3097" t="s">
        <v>4799</v>
      </c>
      <c r="H3097" t="s">
        <v>4805</v>
      </c>
      <c r="I3097">
        <v>13.99</v>
      </c>
      <c r="J3097">
        <v>2</v>
      </c>
      <c r="K3097">
        <v>2.0299999999999998</v>
      </c>
      <c r="L3097">
        <v>1</v>
      </c>
      <c r="M3097" t="s">
        <v>4812</v>
      </c>
      <c r="N3097" t="s">
        <v>4899</v>
      </c>
      <c r="O3097" t="s">
        <v>4912</v>
      </c>
    </row>
    <row r="3098" spans="1:15" x14ac:dyDescent="0.35">
      <c r="A3098" t="s">
        <v>3053</v>
      </c>
      <c r="B3098">
        <v>45</v>
      </c>
      <c r="C3098" t="s">
        <v>4803</v>
      </c>
      <c r="D3098" t="s">
        <v>15</v>
      </c>
      <c r="E3098">
        <v>50</v>
      </c>
      <c r="F3098">
        <v>60</v>
      </c>
      <c r="G3098" t="s">
        <v>4799</v>
      </c>
      <c r="H3098" t="s">
        <v>4805</v>
      </c>
      <c r="I3098">
        <v>17.989999999999998</v>
      </c>
      <c r="J3098">
        <v>5</v>
      </c>
      <c r="K3098">
        <v>1.67</v>
      </c>
      <c r="L3098">
        <v>0</v>
      </c>
      <c r="M3098" t="s">
        <v>4808</v>
      </c>
      <c r="N3098" t="s">
        <v>4900</v>
      </c>
      <c r="O3098" t="s">
        <v>4910</v>
      </c>
    </row>
    <row r="3099" spans="1:15" x14ac:dyDescent="0.35">
      <c r="A3099" t="s">
        <v>3054</v>
      </c>
      <c r="B3099">
        <v>46</v>
      </c>
      <c r="C3099" t="s">
        <v>4802</v>
      </c>
      <c r="D3099" t="s">
        <v>13</v>
      </c>
      <c r="E3099">
        <v>33</v>
      </c>
      <c r="F3099">
        <v>8</v>
      </c>
      <c r="G3099" t="s">
        <v>4797</v>
      </c>
      <c r="H3099" t="s">
        <v>4806</v>
      </c>
      <c r="I3099">
        <v>13.99</v>
      </c>
      <c r="J3099">
        <v>3</v>
      </c>
      <c r="K3099">
        <v>1.1000000000000001</v>
      </c>
      <c r="L3099">
        <v>0</v>
      </c>
      <c r="M3099" t="s">
        <v>4809</v>
      </c>
      <c r="N3099" t="s">
        <v>4900</v>
      </c>
      <c r="O3099" t="s">
        <v>4910</v>
      </c>
    </row>
    <row r="3100" spans="1:15" x14ac:dyDescent="0.35">
      <c r="A3100" t="s">
        <v>3055</v>
      </c>
      <c r="B3100">
        <v>31</v>
      </c>
      <c r="C3100" t="s">
        <v>4803</v>
      </c>
      <c r="D3100" t="s">
        <v>13</v>
      </c>
      <c r="E3100">
        <v>64</v>
      </c>
      <c r="F3100">
        <v>19</v>
      </c>
      <c r="G3100" t="s">
        <v>4799</v>
      </c>
      <c r="H3100" t="s">
        <v>4804</v>
      </c>
      <c r="I3100">
        <v>13.99</v>
      </c>
      <c r="J3100">
        <v>3</v>
      </c>
      <c r="K3100">
        <v>2.13</v>
      </c>
      <c r="L3100">
        <v>0</v>
      </c>
      <c r="M3100" t="s">
        <v>4808</v>
      </c>
      <c r="N3100" t="s">
        <v>4900</v>
      </c>
      <c r="O3100" t="s">
        <v>4912</v>
      </c>
    </row>
    <row r="3101" spans="1:15" x14ac:dyDescent="0.35">
      <c r="A3101" t="s">
        <v>3056</v>
      </c>
      <c r="B3101">
        <v>54</v>
      </c>
      <c r="C3101" t="s">
        <v>4803</v>
      </c>
      <c r="D3101" t="s">
        <v>15</v>
      </c>
      <c r="E3101">
        <v>75</v>
      </c>
      <c r="F3101">
        <v>19</v>
      </c>
      <c r="G3101" t="s">
        <v>4798</v>
      </c>
      <c r="H3101" t="s">
        <v>4806</v>
      </c>
      <c r="I3101">
        <v>17.989999999999998</v>
      </c>
      <c r="J3101">
        <v>2</v>
      </c>
      <c r="K3101">
        <v>2.5</v>
      </c>
      <c r="L3101">
        <v>0</v>
      </c>
      <c r="M3101" t="s">
        <v>4811</v>
      </c>
      <c r="N3101" t="s">
        <v>4900</v>
      </c>
      <c r="O3101" t="s">
        <v>4910</v>
      </c>
    </row>
    <row r="3102" spans="1:15" x14ac:dyDescent="0.35">
      <c r="A3102" t="s">
        <v>3057</v>
      </c>
      <c r="B3102">
        <v>56</v>
      </c>
      <c r="C3102" t="s">
        <v>4803</v>
      </c>
      <c r="D3102" t="s">
        <v>15</v>
      </c>
      <c r="E3102">
        <v>56</v>
      </c>
      <c r="F3102">
        <v>30</v>
      </c>
      <c r="G3102" t="s">
        <v>4797</v>
      </c>
      <c r="H3102" t="s">
        <v>4805</v>
      </c>
      <c r="I3102">
        <v>17.989999999999998</v>
      </c>
      <c r="J3102">
        <v>2</v>
      </c>
      <c r="K3102">
        <v>1.87</v>
      </c>
      <c r="L3102">
        <v>0</v>
      </c>
      <c r="M3102" t="s">
        <v>4811</v>
      </c>
      <c r="N3102" t="s">
        <v>4900</v>
      </c>
      <c r="O3102" t="s">
        <v>4911</v>
      </c>
    </row>
    <row r="3103" spans="1:15" x14ac:dyDescent="0.35">
      <c r="A3103" t="s">
        <v>3058</v>
      </c>
      <c r="B3103">
        <v>21</v>
      </c>
      <c r="C3103" t="s">
        <v>4803</v>
      </c>
      <c r="D3103" t="s">
        <v>15</v>
      </c>
      <c r="E3103">
        <v>120</v>
      </c>
      <c r="F3103">
        <v>46</v>
      </c>
      <c r="G3103" t="s">
        <v>4797</v>
      </c>
      <c r="H3103" t="s">
        <v>4805</v>
      </c>
      <c r="I3103">
        <v>17.989999999999998</v>
      </c>
      <c r="J3103">
        <v>2</v>
      </c>
      <c r="K3103">
        <v>4</v>
      </c>
      <c r="L3103">
        <v>0</v>
      </c>
      <c r="M3103" t="s">
        <v>4811</v>
      </c>
      <c r="N3103" t="s">
        <v>4900</v>
      </c>
      <c r="O3103" t="s">
        <v>4912</v>
      </c>
    </row>
    <row r="3104" spans="1:15" x14ac:dyDescent="0.35">
      <c r="A3104" t="s">
        <v>3059</v>
      </c>
      <c r="B3104">
        <v>61</v>
      </c>
      <c r="C3104" t="s">
        <v>4802</v>
      </c>
      <c r="D3104" t="s">
        <v>15</v>
      </c>
      <c r="E3104">
        <v>99</v>
      </c>
      <c r="F3104">
        <v>37</v>
      </c>
      <c r="G3104" t="s">
        <v>4799</v>
      </c>
      <c r="H3104" t="s">
        <v>4805</v>
      </c>
      <c r="I3104">
        <v>17.989999999999998</v>
      </c>
      <c r="J3104">
        <v>2</v>
      </c>
      <c r="K3104">
        <v>3.3</v>
      </c>
      <c r="L3104">
        <v>1</v>
      </c>
      <c r="M3104" t="s">
        <v>4812</v>
      </c>
      <c r="N3104" t="s">
        <v>4899</v>
      </c>
      <c r="O3104" t="s">
        <v>4911</v>
      </c>
    </row>
    <row r="3105" spans="1:15" x14ac:dyDescent="0.35">
      <c r="A3105" t="s">
        <v>3060</v>
      </c>
      <c r="B3105">
        <v>30</v>
      </c>
      <c r="C3105" t="s">
        <v>4803</v>
      </c>
      <c r="D3105" t="s">
        <v>15</v>
      </c>
      <c r="E3105">
        <v>113</v>
      </c>
      <c r="F3105">
        <v>33</v>
      </c>
      <c r="G3105" t="s">
        <v>4799</v>
      </c>
      <c r="H3105" t="s">
        <v>4806</v>
      </c>
      <c r="I3105">
        <v>17.989999999999998</v>
      </c>
      <c r="J3105">
        <v>5</v>
      </c>
      <c r="K3105">
        <v>3.77</v>
      </c>
      <c r="L3105">
        <v>1</v>
      </c>
      <c r="M3105" t="s">
        <v>4809</v>
      </c>
      <c r="N3105" t="s">
        <v>4899</v>
      </c>
      <c r="O3105" t="s">
        <v>4912</v>
      </c>
    </row>
    <row r="3106" spans="1:15" x14ac:dyDescent="0.35">
      <c r="A3106" t="s">
        <v>3061</v>
      </c>
      <c r="B3106">
        <v>30</v>
      </c>
      <c r="C3106" t="s">
        <v>4802</v>
      </c>
      <c r="D3106" t="s">
        <v>13</v>
      </c>
      <c r="E3106">
        <v>34</v>
      </c>
      <c r="F3106">
        <v>18</v>
      </c>
      <c r="G3106" t="s">
        <v>4798</v>
      </c>
      <c r="H3106" t="s">
        <v>4805</v>
      </c>
      <c r="I3106">
        <v>13.99</v>
      </c>
      <c r="J3106">
        <v>1</v>
      </c>
      <c r="K3106">
        <v>1.1299999999999999</v>
      </c>
      <c r="L3106">
        <v>0</v>
      </c>
      <c r="M3106" t="s">
        <v>4812</v>
      </c>
      <c r="N3106" t="s">
        <v>4900</v>
      </c>
      <c r="O3106" t="s">
        <v>4912</v>
      </c>
    </row>
    <row r="3107" spans="1:15" x14ac:dyDescent="0.35">
      <c r="A3107" t="s">
        <v>3062</v>
      </c>
      <c r="B3107">
        <v>62</v>
      </c>
      <c r="C3107" t="s">
        <v>4802</v>
      </c>
      <c r="D3107" t="s">
        <v>15</v>
      </c>
      <c r="E3107">
        <v>64</v>
      </c>
      <c r="F3107">
        <v>999</v>
      </c>
      <c r="G3107" t="s">
        <v>4797</v>
      </c>
      <c r="H3107" t="s">
        <v>4805</v>
      </c>
      <c r="I3107">
        <v>17.989999999999998</v>
      </c>
      <c r="J3107">
        <v>3</v>
      </c>
      <c r="K3107">
        <v>2.13</v>
      </c>
      <c r="L3107">
        <v>0</v>
      </c>
      <c r="M3107" t="s">
        <v>4811</v>
      </c>
      <c r="N3107" t="s">
        <v>4900</v>
      </c>
      <c r="O3107" t="s">
        <v>4911</v>
      </c>
    </row>
    <row r="3108" spans="1:15" x14ac:dyDescent="0.35">
      <c r="A3108" t="s">
        <v>3063</v>
      </c>
      <c r="B3108">
        <v>23</v>
      </c>
      <c r="C3108" t="s">
        <v>4803</v>
      </c>
      <c r="D3108" t="s">
        <v>13</v>
      </c>
      <c r="E3108">
        <v>33</v>
      </c>
      <c r="F3108">
        <v>42</v>
      </c>
      <c r="G3108" t="s">
        <v>4798</v>
      </c>
      <c r="H3108" t="s">
        <v>4805</v>
      </c>
      <c r="I3108">
        <v>13.99</v>
      </c>
      <c r="J3108">
        <v>3</v>
      </c>
      <c r="K3108">
        <v>1.1000000000000001</v>
      </c>
      <c r="L3108">
        <v>0</v>
      </c>
      <c r="M3108" t="s">
        <v>4808</v>
      </c>
      <c r="N3108" t="s">
        <v>4900</v>
      </c>
      <c r="O3108" t="s">
        <v>4912</v>
      </c>
    </row>
    <row r="3109" spans="1:15" x14ac:dyDescent="0.35">
      <c r="A3109" t="s">
        <v>3064</v>
      </c>
      <c r="B3109">
        <v>26</v>
      </c>
      <c r="C3109" t="s">
        <v>4802</v>
      </c>
      <c r="D3109" t="s">
        <v>13</v>
      </c>
      <c r="E3109">
        <v>32</v>
      </c>
      <c r="F3109">
        <v>11</v>
      </c>
      <c r="G3109" t="s">
        <v>4798</v>
      </c>
      <c r="H3109" t="s">
        <v>4804</v>
      </c>
      <c r="I3109">
        <v>13.99</v>
      </c>
      <c r="J3109">
        <v>1</v>
      </c>
      <c r="K3109">
        <v>1.07</v>
      </c>
      <c r="L3109">
        <v>0</v>
      </c>
      <c r="M3109" t="s">
        <v>4809</v>
      </c>
      <c r="N3109" t="s">
        <v>4900</v>
      </c>
      <c r="O3109" t="s">
        <v>4912</v>
      </c>
    </row>
    <row r="3110" spans="1:15" x14ac:dyDescent="0.35">
      <c r="A3110" t="s">
        <v>3065</v>
      </c>
      <c r="B3110">
        <v>31</v>
      </c>
      <c r="C3110" t="s">
        <v>4803</v>
      </c>
      <c r="D3110" t="s">
        <v>15</v>
      </c>
      <c r="E3110">
        <v>65</v>
      </c>
      <c r="F3110">
        <v>32</v>
      </c>
      <c r="G3110" t="s">
        <v>4799</v>
      </c>
      <c r="H3110" t="s">
        <v>4805</v>
      </c>
      <c r="I3110">
        <v>17.989999999999998</v>
      </c>
      <c r="J3110">
        <v>5</v>
      </c>
      <c r="K3110">
        <v>2.17</v>
      </c>
      <c r="L3110">
        <v>0</v>
      </c>
      <c r="M3110" t="s">
        <v>4809</v>
      </c>
      <c r="N3110" t="s">
        <v>4900</v>
      </c>
      <c r="O3110" t="s">
        <v>4912</v>
      </c>
    </row>
    <row r="3111" spans="1:15" x14ac:dyDescent="0.35">
      <c r="A3111" t="s">
        <v>3066</v>
      </c>
      <c r="B3111">
        <v>58</v>
      </c>
      <c r="C3111" t="s">
        <v>4802</v>
      </c>
      <c r="D3111" t="s">
        <v>13</v>
      </c>
      <c r="E3111">
        <v>43</v>
      </c>
      <c r="F3111">
        <v>0</v>
      </c>
      <c r="G3111" t="s">
        <v>4798</v>
      </c>
      <c r="H3111" t="s">
        <v>4805</v>
      </c>
      <c r="I3111">
        <v>13.99</v>
      </c>
      <c r="J3111">
        <v>2</v>
      </c>
      <c r="K3111">
        <v>1.43</v>
      </c>
      <c r="L3111">
        <v>1</v>
      </c>
      <c r="M3111" t="s">
        <v>4809</v>
      </c>
      <c r="N3111" t="s">
        <v>4899</v>
      </c>
      <c r="O3111" t="s">
        <v>4911</v>
      </c>
    </row>
    <row r="3112" spans="1:15" x14ac:dyDescent="0.35">
      <c r="A3112" t="s">
        <v>3067</v>
      </c>
      <c r="B3112">
        <v>32</v>
      </c>
      <c r="C3112" t="s">
        <v>4803</v>
      </c>
      <c r="D3112" t="s">
        <v>15</v>
      </c>
      <c r="E3112">
        <v>63</v>
      </c>
      <c r="F3112">
        <v>46</v>
      </c>
      <c r="G3112" t="s">
        <v>4798</v>
      </c>
      <c r="H3112" t="s">
        <v>4806</v>
      </c>
      <c r="I3112">
        <v>17.989999999999998</v>
      </c>
      <c r="J3112">
        <v>5</v>
      </c>
      <c r="K3112">
        <v>2.1</v>
      </c>
      <c r="L3112">
        <v>0</v>
      </c>
      <c r="M3112" t="s">
        <v>4810</v>
      </c>
      <c r="N3112" t="s">
        <v>4900</v>
      </c>
      <c r="O3112" t="s">
        <v>4912</v>
      </c>
    </row>
    <row r="3113" spans="1:15" x14ac:dyDescent="0.35">
      <c r="A3113" t="s">
        <v>3068</v>
      </c>
      <c r="B3113">
        <v>50</v>
      </c>
      <c r="C3113" t="s">
        <v>4803</v>
      </c>
      <c r="D3113" t="s">
        <v>13</v>
      </c>
      <c r="E3113">
        <v>38</v>
      </c>
      <c r="F3113">
        <v>58</v>
      </c>
      <c r="G3113" t="s">
        <v>4797</v>
      </c>
      <c r="H3113" t="s">
        <v>4805</v>
      </c>
      <c r="I3113">
        <v>13.99</v>
      </c>
      <c r="J3113">
        <v>2</v>
      </c>
      <c r="K3113">
        <v>1.27</v>
      </c>
      <c r="L3113">
        <v>1</v>
      </c>
      <c r="M3113" t="s">
        <v>4810</v>
      </c>
      <c r="N3113" t="s">
        <v>4899</v>
      </c>
      <c r="O3113" t="s">
        <v>4910</v>
      </c>
    </row>
    <row r="3114" spans="1:15" x14ac:dyDescent="0.35">
      <c r="A3114" t="s">
        <v>3069</v>
      </c>
      <c r="B3114">
        <v>49</v>
      </c>
      <c r="C3114" t="s">
        <v>4803</v>
      </c>
      <c r="D3114" t="s">
        <v>13</v>
      </c>
      <c r="E3114">
        <v>30</v>
      </c>
      <c r="F3114">
        <v>12</v>
      </c>
      <c r="G3114" t="s">
        <v>4798</v>
      </c>
      <c r="H3114" t="s">
        <v>4804</v>
      </c>
      <c r="I3114">
        <v>13.99</v>
      </c>
      <c r="J3114">
        <v>1</v>
      </c>
      <c r="K3114">
        <v>1</v>
      </c>
      <c r="L3114">
        <v>0</v>
      </c>
      <c r="M3114" t="s">
        <v>4812</v>
      </c>
      <c r="N3114" t="s">
        <v>4900</v>
      </c>
      <c r="O3114" t="s">
        <v>4910</v>
      </c>
    </row>
    <row r="3115" spans="1:15" x14ac:dyDescent="0.35">
      <c r="A3115" t="s">
        <v>3070</v>
      </c>
      <c r="B3115">
        <v>42</v>
      </c>
      <c r="C3115" t="s">
        <v>4803</v>
      </c>
      <c r="D3115" t="s">
        <v>13</v>
      </c>
      <c r="E3115">
        <v>74</v>
      </c>
      <c r="F3115">
        <v>29</v>
      </c>
      <c r="G3115" t="s">
        <v>4797</v>
      </c>
      <c r="H3115" t="s">
        <v>4805</v>
      </c>
      <c r="I3115">
        <v>13.99</v>
      </c>
      <c r="J3115">
        <v>4</v>
      </c>
      <c r="K3115">
        <v>2.4700000000000002</v>
      </c>
      <c r="L3115">
        <v>0</v>
      </c>
      <c r="M3115" t="s">
        <v>4810</v>
      </c>
      <c r="N3115" t="s">
        <v>4900</v>
      </c>
      <c r="O3115" t="s">
        <v>4910</v>
      </c>
    </row>
    <row r="3116" spans="1:15" x14ac:dyDescent="0.35">
      <c r="A3116" t="s">
        <v>3071</v>
      </c>
      <c r="B3116">
        <v>24</v>
      </c>
      <c r="C3116" t="s">
        <v>4802</v>
      </c>
      <c r="D3116" t="s">
        <v>13</v>
      </c>
      <c r="E3116">
        <v>40</v>
      </c>
      <c r="F3116">
        <v>44</v>
      </c>
      <c r="G3116" t="s">
        <v>4798</v>
      </c>
      <c r="H3116" t="s">
        <v>4805</v>
      </c>
      <c r="I3116">
        <v>13.99</v>
      </c>
      <c r="J3116">
        <v>3</v>
      </c>
      <c r="K3116">
        <v>1.33</v>
      </c>
      <c r="L3116">
        <v>1</v>
      </c>
      <c r="M3116" t="s">
        <v>4810</v>
      </c>
      <c r="N3116" t="s">
        <v>4899</v>
      </c>
      <c r="O3116" t="s">
        <v>4912</v>
      </c>
    </row>
    <row r="3117" spans="1:15" x14ac:dyDescent="0.35">
      <c r="A3117" t="s">
        <v>3072</v>
      </c>
      <c r="B3117">
        <v>58</v>
      </c>
      <c r="C3117" t="s">
        <v>4802</v>
      </c>
      <c r="D3117" t="s">
        <v>13</v>
      </c>
      <c r="E3117">
        <v>70</v>
      </c>
      <c r="F3117">
        <v>15</v>
      </c>
      <c r="G3117" t="s">
        <v>4799</v>
      </c>
      <c r="H3117" t="s">
        <v>4807</v>
      </c>
      <c r="I3117">
        <v>13.99</v>
      </c>
      <c r="J3117">
        <v>2</v>
      </c>
      <c r="K3117">
        <v>2.33</v>
      </c>
      <c r="L3117">
        <v>0</v>
      </c>
      <c r="M3117" t="s">
        <v>4812</v>
      </c>
      <c r="N3117" t="s">
        <v>4900</v>
      </c>
      <c r="O3117" t="s">
        <v>4911</v>
      </c>
    </row>
    <row r="3118" spans="1:15" x14ac:dyDescent="0.35">
      <c r="A3118" t="s">
        <v>3073</v>
      </c>
      <c r="B3118">
        <v>63</v>
      </c>
      <c r="C3118" t="s">
        <v>4802</v>
      </c>
      <c r="D3118" t="s">
        <v>15</v>
      </c>
      <c r="E3118">
        <v>114</v>
      </c>
      <c r="F3118">
        <v>44</v>
      </c>
      <c r="G3118" t="s">
        <v>4800</v>
      </c>
      <c r="H3118" t="s">
        <v>4804</v>
      </c>
      <c r="I3118">
        <v>17.989999999999998</v>
      </c>
      <c r="J3118">
        <v>4</v>
      </c>
      <c r="K3118">
        <v>3.8</v>
      </c>
      <c r="L3118">
        <v>1</v>
      </c>
      <c r="M3118" t="s">
        <v>4810</v>
      </c>
      <c r="N3118" t="s">
        <v>4899</v>
      </c>
      <c r="O3118" t="s">
        <v>4911</v>
      </c>
    </row>
    <row r="3119" spans="1:15" x14ac:dyDescent="0.35">
      <c r="A3119" t="s">
        <v>3074</v>
      </c>
      <c r="B3119">
        <v>43</v>
      </c>
      <c r="C3119" t="s">
        <v>4802</v>
      </c>
      <c r="D3119" t="s">
        <v>14</v>
      </c>
      <c r="E3119">
        <v>28</v>
      </c>
      <c r="F3119">
        <v>36</v>
      </c>
      <c r="G3119" t="s">
        <v>4800</v>
      </c>
      <c r="H3119" t="s">
        <v>4806</v>
      </c>
      <c r="I3119">
        <v>8.99</v>
      </c>
      <c r="J3119">
        <v>1</v>
      </c>
      <c r="K3119">
        <v>0.93</v>
      </c>
      <c r="L3119">
        <v>0</v>
      </c>
      <c r="M3119" t="s">
        <v>4812</v>
      </c>
      <c r="N3119" t="s">
        <v>4900</v>
      </c>
      <c r="O3119" t="s">
        <v>4910</v>
      </c>
    </row>
    <row r="3120" spans="1:15" x14ac:dyDescent="0.35">
      <c r="A3120" t="s">
        <v>3075</v>
      </c>
      <c r="B3120">
        <v>36</v>
      </c>
      <c r="C3120" t="s">
        <v>4803</v>
      </c>
      <c r="D3120" t="s">
        <v>13</v>
      </c>
      <c r="E3120">
        <v>67</v>
      </c>
      <c r="F3120">
        <v>19</v>
      </c>
      <c r="G3120" t="s">
        <v>4797</v>
      </c>
      <c r="H3120" t="s">
        <v>4805</v>
      </c>
      <c r="I3120">
        <v>13.99</v>
      </c>
      <c r="J3120">
        <v>2</v>
      </c>
      <c r="K3120">
        <v>2.23</v>
      </c>
      <c r="L3120">
        <v>0</v>
      </c>
      <c r="M3120" t="s">
        <v>4812</v>
      </c>
      <c r="N3120" t="s">
        <v>4900</v>
      </c>
      <c r="O3120" t="s">
        <v>4910</v>
      </c>
    </row>
    <row r="3121" spans="1:15" x14ac:dyDescent="0.35">
      <c r="A3121" t="s">
        <v>3076</v>
      </c>
      <c r="B3121">
        <v>63</v>
      </c>
      <c r="C3121" t="s">
        <v>4802</v>
      </c>
      <c r="D3121" t="s">
        <v>13</v>
      </c>
      <c r="E3121">
        <v>54</v>
      </c>
      <c r="F3121">
        <v>1</v>
      </c>
      <c r="G3121" t="s">
        <v>4799</v>
      </c>
      <c r="H3121" t="s">
        <v>4806</v>
      </c>
      <c r="I3121">
        <v>13.99</v>
      </c>
      <c r="J3121">
        <v>2</v>
      </c>
      <c r="K3121">
        <v>1.8</v>
      </c>
      <c r="L3121">
        <v>0</v>
      </c>
      <c r="M3121" t="s">
        <v>4811</v>
      </c>
      <c r="N3121" t="s">
        <v>4900</v>
      </c>
      <c r="O3121" t="s">
        <v>4911</v>
      </c>
    </row>
    <row r="3122" spans="1:15" x14ac:dyDescent="0.35">
      <c r="A3122" t="s">
        <v>3077</v>
      </c>
      <c r="B3122">
        <v>63</v>
      </c>
      <c r="C3122" t="s">
        <v>4802</v>
      </c>
      <c r="D3122" t="s">
        <v>13</v>
      </c>
      <c r="E3122">
        <v>38</v>
      </c>
      <c r="F3122">
        <v>22</v>
      </c>
      <c r="G3122" t="s">
        <v>4798</v>
      </c>
      <c r="H3122" t="s">
        <v>4805</v>
      </c>
      <c r="I3122">
        <v>13.99</v>
      </c>
      <c r="J3122">
        <v>3</v>
      </c>
      <c r="K3122">
        <v>2.0299999999999998</v>
      </c>
      <c r="L3122">
        <v>1</v>
      </c>
      <c r="M3122" t="s">
        <v>4808</v>
      </c>
      <c r="N3122" t="s">
        <v>4899</v>
      </c>
      <c r="O3122" t="s">
        <v>4911</v>
      </c>
    </row>
    <row r="3123" spans="1:15" x14ac:dyDescent="0.35">
      <c r="A3123" t="s">
        <v>3078</v>
      </c>
      <c r="B3123">
        <v>42</v>
      </c>
      <c r="C3123" t="s">
        <v>4802</v>
      </c>
      <c r="D3123" t="s">
        <v>13</v>
      </c>
      <c r="E3123">
        <v>44</v>
      </c>
      <c r="F3123">
        <v>999</v>
      </c>
      <c r="G3123" t="s">
        <v>4798</v>
      </c>
      <c r="H3123" t="s">
        <v>4806</v>
      </c>
      <c r="I3123">
        <v>13.99</v>
      </c>
      <c r="J3123">
        <v>1</v>
      </c>
      <c r="K3123">
        <v>1.47</v>
      </c>
      <c r="L3123">
        <v>0</v>
      </c>
      <c r="M3123" t="s">
        <v>4812</v>
      </c>
      <c r="N3123" t="s">
        <v>4900</v>
      </c>
      <c r="O3123" t="s">
        <v>4910</v>
      </c>
    </row>
    <row r="3124" spans="1:15" x14ac:dyDescent="0.35">
      <c r="A3124" t="s">
        <v>3079</v>
      </c>
      <c r="B3124">
        <v>36</v>
      </c>
      <c r="C3124" t="s">
        <v>4802</v>
      </c>
      <c r="D3124" t="s">
        <v>13</v>
      </c>
      <c r="E3124">
        <v>44</v>
      </c>
      <c r="F3124">
        <v>18</v>
      </c>
      <c r="G3124" t="s">
        <v>4800</v>
      </c>
      <c r="H3124" t="s">
        <v>4805</v>
      </c>
      <c r="I3124">
        <v>13.99</v>
      </c>
      <c r="J3124">
        <v>3</v>
      </c>
      <c r="K3124">
        <v>1.47</v>
      </c>
      <c r="L3124">
        <v>0</v>
      </c>
      <c r="M3124" t="s">
        <v>4809</v>
      </c>
      <c r="N3124" t="s">
        <v>4900</v>
      </c>
      <c r="O3124" t="s">
        <v>4910</v>
      </c>
    </row>
    <row r="3125" spans="1:15" x14ac:dyDescent="0.35">
      <c r="A3125" t="s">
        <v>3080</v>
      </c>
      <c r="B3125">
        <v>30</v>
      </c>
      <c r="C3125" t="s">
        <v>4803</v>
      </c>
      <c r="D3125" t="s">
        <v>13</v>
      </c>
      <c r="E3125">
        <v>57</v>
      </c>
      <c r="F3125">
        <v>33</v>
      </c>
      <c r="G3125" t="s">
        <v>4798</v>
      </c>
      <c r="H3125" t="s">
        <v>4806</v>
      </c>
      <c r="I3125">
        <v>13.99</v>
      </c>
      <c r="J3125">
        <v>2</v>
      </c>
      <c r="K3125">
        <v>1.9</v>
      </c>
      <c r="L3125">
        <v>0</v>
      </c>
      <c r="M3125" t="s">
        <v>4809</v>
      </c>
      <c r="N3125" t="s">
        <v>4900</v>
      </c>
      <c r="O3125" t="s">
        <v>4912</v>
      </c>
    </row>
    <row r="3126" spans="1:15" x14ac:dyDescent="0.35">
      <c r="A3126" t="s">
        <v>3081</v>
      </c>
      <c r="B3126">
        <v>43</v>
      </c>
      <c r="C3126" t="s">
        <v>4802</v>
      </c>
      <c r="D3126" t="s">
        <v>13</v>
      </c>
      <c r="E3126">
        <v>39</v>
      </c>
      <c r="F3126">
        <v>5</v>
      </c>
      <c r="G3126" t="s">
        <v>4797</v>
      </c>
      <c r="H3126" t="s">
        <v>4805</v>
      </c>
      <c r="I3126">
        <v>13.99</v>
      </c>
      <c r="J3126">
        <v>1</v>
      </c>
      <c r="K3126">
        <v>1.3</v>
      </c>
      <c r="L3126">
        <v>0</v>
      </c>
      <c r="M3126" t="s">
        <v>4812</v>
      </c>
      <c r="N3126" t="s">
        <v>4900</v>
      </c>
      <c r="O3126" t="s">
        <v>4910</v>
      </c>
    </row>
    <row r="3127" spans="1:15" x14ac:dyDescent="0.35">
      <c r="A3127" t="s">
        <v>3082</v>
      </c>
      <c r="B3127">
        <v>20</v>
      </c>
      <c r="C3127" t="s">
        <v>4802</v>
      </c>
      <c r="D3127" t="s">
        <v>13</v>
      </c>
      <c r="E3127">
        <v>37</v>
      </c>
      <c r="F3127">
        <v>49</v>
      </c>
      <c r="G3127" t="s">
        <v>4799</v>
      </c>
      <c r="H3127" t="s">
        <v>4806</v>
      </c>
      <c r="I3127">
        <v>13.99</v>
      </c>
      <c r="J3127">
        <v>2</v>
      </c>
      <c r="K3127">
        <v>1.23</v>
      </c>
      <c r="L3127">
        <v>1</v>
      </c>
      <c r="M3127" t="s">
        <v>4808</v>
      </c>
      <c r="N3127" t="s">
        <v>4899</v>
      </c>
      <c r="O3127" t="s">
        <v>4912</v>
      </c>
    </row>
    <row r="3128" spans="1:15" x14ac:dyDescent="0.35">
      <c r="A3128" t="s">
        <v>3083</v>
      </c>
      <c r="B3128">
        <v>34</v>
      </c>
      <c r="C3128" t="s">
        <v>4803</v>
      </c>
      <c r="D3128" t="s">
        <v>13</v>
      </c>
      <c r="E3128">
        <v>37</v>
      </c>
      <c r="F3128">
        <v>2</v>
      </c>
      <c r="G3128" t="s">
        <v>4797</v>
      </c>
      <c r="H3128" t="s">
        <v>4805</v>
      </c>
      <c r="I3128">
        <v>13.99</v>
      </c>
      <c r="J3128">
        <v>3</v>
      </c>
      <c r="K3128">
        <v>1.23</v>
      </c>
      <c r="L3128">
        <v>0</v>
      </c>
      <c r="M3128" t="s">
        <v>4808</v>
      </c>
      <c r="N3128" t="s">
        <v>4900</v>
      </c>
      <c r="O3128" t="s">
        <v>4912</v>
      </c>
    </row>
    <row r="3129" spans="1:15" x14ac:dyDescent="0.35">
      <c r="A3129" t="s">
        <v>3084</v>
      </c>
      <c r="B3129">
        <v>27</v>
      </c>
      <c r="C3129" t="s">
        <v>4803</v>
      </c>
      <c r="D3129" t="s">
        <v>15</v>
      </c>
      <c r="E3129">
        <v>72</v>
      </c>
      <c r="F3129">
        <v>15</v>
      </c>
      <c r="G3129" t="s">
        <v>4799</v>
      </c>
      <c r="H3129" t="s">
        <v>4804</v>
      </c>
      <c r="I3129">
        <v>17.989999999999998</v>
      </c>
      <c r="J3129">
        <v>4</v>
      </c>
      <c r="K3129">
        <v>2.4</v>
      </c>
      <c r="L3129">
        <v>0</v>
      </c>
      <c r="M3129" t="s">
        <v>4808</v>
      </c>
      <c r="N3129" t="s">
        <v>4900</v>
      </c>
      <c r="O3129" t="s">
        <v>4912</v>
      </c>
    </row>
    <row r="3130" spans="1:15" x14ac:dyDescent="0.35">
      <c r="A3130" t="s">
        <v>3085</v>
      </c>
      <c r="B3130">
        <v>44</v>
      </c>
      <c r="C3130" t="s">
        <v>4802</v>
      </c>
      <c r="D3130" t="s">
        <v>13</v>
      </c>
      <c r="E3130">
        <v>31</v>
      </c>
      <c r="F3130">
        <v>51</v>
      </c>
      <c r="G3130" t="s">
        <v>4797</v>
      </c>
      <c r="H3130" t="s">
        <v>4806</v>
      </c>
      <c r="I3130">
        <v>13.99</v>
      </c>
      <c r="J3130">
        <v>3</v>
      </c>
      <c r="K3130">
        <v>1.03</v>
      </c>
      <c r="L3130">
        <v>0</v>
      </c>
      <c r="M3130" t="s">
        <v>4811</v>
      </c>
      <c r="N3130" t="s">
        <v>4900</v>
      </c>
      <c r="O3130" t="s">
        <v>4910</v>
      </c>
    </row>
    <row r="3131" spans="1:15" x14ac:dyDescent="0.35">
      <c r="A3131" t="s">
        <v>3086</v>
      </c>
      <c r="B3131">
        <v>21</v>
      </c>
      <c r="C3131" t="s">
        <v>4802</v>
      </c>
      <c r="D3131" t="s">
        <v>13</v>
      </c>
      <c r="E3131">
        <v>59</v>
      </c>
      <c r="F3131">
        <v>999</v>
      </c>
      <c r="G3131" t="s">
        <v>4798</v>
      </c>
      <c r="H3131" t="s">
        <v>4805</v>
      </c>
      <c r="I3131">
        <v>13.99</v>
      </c>
      <c r="J3131">
        <v>4</v>
      </c>
      <c r="K3131">
        <v>1.97</v>
      </c>
      <c r="L3131">
        <v>0</v>
      </c>
      <c r="M3131" t="s">
        <v>4808</v>
      </c>
      <c r="N3131" t="s">
        <v>4900</v>
      </c>
      <c r="O3131" t="s">
        <v>4912</v>
      </c>
    </row>
    <row r="3132" spans="1:15" x14ac:dyDescent="0.35">
      <c r="A3132" t="s">
        <v>3087</v>
      </c>
      <c r="B3132">
        <v>58</v>
      </c>
      <c r="C3132" t="s">
        <v>4802</v>
      </c>
      <c r="D3132" t="s">
        <v>13</v>
      </c>
      <c r="E3132">
        <v>68</v>
      </c>
      <c r="F3132">
        <v>0</v>
      </c>
      <c r="G3132" t="s">
        <v>4798</v>
      </c>
      <c r="H3132" t="s">
        <v>4805</v>
      </c>
      <c r="I3132">
        <v>13.99</v>
      </c>
      <c r="J3132">
        <v>2</v>
      </c>
      <c r="K3132">
        <v>2.27</v>
      </c>
      <c r="L3132">
        <v>0</v>
      </c>
      <c r="M3132" t="s">
        <v>4812</v>
      </c>
      <c r="N3132" t="s">
        <v>4900</v>
      </c>
      <c r="O3132" t="s">
        <v>4911</v>
      </c>
    </row>
    <row r="3133" spans="1:15" x14ac:dyDescent="0.35">
      <c r="A3133" t="s">
        <v>3088</v>
      </c>
      <c r="B3133">
        <v>59</v>
      </c>
      <c r="C3133" t="s">
        <v>4803</v>
      </c>
      <c r="D3133" t="s">
        <v>13</v>
      </c>
      <c r="E3133">
        <v>54</v>
      </c>
      <c r="F3133">
        <v>58</v>
      </c>
      <c r="G3133" t="s">
        <v>4797</v>
      </c>
      <c r="H3133" t="s">
        <v>4805</v>
      </c>
      <c r="I3133">
        <v>13.99</v>
      </c>
      <c r="J3133">
        <v>4</v>
      </c>
      <c r="K3133">
        <v>1.8</v>
      </c>
      <c r="L3133">
        <v>0</v>
      </c>
      <c r="M3133" t="s">
        <v>4809</v>
      </c>
      <c r="N3133" t="s">
        <v>4900</v>
      </c>
      <c r="O3133" t="s">
        <v>4911</v>
      </c>
    </row>
    <row r="3134" spans="1:15" x14ac:dyDescent="0.35">
      <c r="A3134" t="s">
        <v>3089</v>
      </c>
      <c r="B3134">
        <v>32</v>
      </c>
      <c r="C3134" t="s">
        <v>4803</v>
      </c>
      <c r="D3134" t="s">
        <v>13</v>
      </c>
      <c r="E3134">
        <v>39</v>
      </c>
      <c r="F3134">
        <v>52</v>
      </c>
      <c r="G3134" t="s">
        <v>4798</v>
      </c>
      <c r="H3134" t="s">
        <v>4806</v>
      </c>
      <c r="I3134">
        <v>13.99</v>
      </c>
      <c r="J3134">
        <v>1</v>
      </c>
      <c r="K3134">
        <v>1.3</v>
      </c>
      <c r="L3134">
        <v>0</v>
      </c>
      <c r="M3134" t="s">
        <v>4809</v>
      </c>
      <c r="N3134" t="s">
        <v>4900</v>
      </c>
      <c r="O3134" t="s">
        <v>4912</v>
      </c>
    </row>
    <row r="3135" spans="1:15" x14ac:dyDescent="0.35">
      <c r="A3135" t="s">
        <v>3090</v>
      </c>
      <c r="B3135">
        <v>43</v>
      </c>
      <c r="C3135" t="s">
        <v>4802</v>
      </c>
      <c r="D3135" t="s">
        <v>14</v>
      </c>
      <c r="E3135">
        <v>35</v>
      </c>
      <c r="F3135">
        <v>50</v>
      </c>
      <c r="G3135" t="s">
        <v>4799</v>
      </c>
      <c r="H3135" t="s">
        <v>4806</v>
      </c>
      <c r="I3135">
        <v>8.99</v>
      </c>
      <c r="J3135">
        <v>1</v>
      </c>
      <c r="K3135">
        <v>1.17</v>
      </c>
      <c r="L3135">
        <v>0</v>
      </c>
      <c r="M3135" t="s">
        <v>4809</v>
      </c>
      <c r="N3135" t="s">
        <v>4900</v>
      </c>
      <c r="O3135" t="s">
        <v>4910</v>
      </c>
    </row>
    <row r="3136" spans="1:15" x14ac:dyDescent="0.35">
      <c r="A3136" t="s">
        <v>3091</v>
      </c>
      <c r="B3136">
        <v>59</v>
      </c>
      <c r="C3136" t="s">
        <v>4803</v>
      </c>
      <c r="D3136" t="s">
        <v>13</v>
      </c>
      <c r="E3136">
        <v>49</v>
      </c>
      <c r="F3136">
        <v>37</v>
      </c>
      <c r="G3136" t="s">
        <v>4797</v>
      </c>
      <c r="H3136" t="s">
        <v>4804</v>
      </c>
      <c r="I3136">
        <v>13.99</v>
      </c>
      <c r="J3136">
        <v>4</v>
      </c>
      <c r="K3136">
        <v>1.63</v>
      </c>
      <c r="L3136">
        <v>0</v>
      </c>
      <c r="M3136" t="s">
        <v>4812</v>
      </c>
      <c r="N3136" t="s">
        <v>4900</v>
      </c>
      <c r="O3136" t="s">
        <v>4911</v>
      </c>
    </row>
    <row r="3137" spans="1:15" x14ac:dyDescent="0.35">
      <c r="A3137" t="s">
        <v>3092</v>
      </c>
      <c r="B3137">
        <v>64</v>
      </c>
      <c r="C3137" t="s">
        <v>4803</v>
      </c>
      <c r="D3137" t="s">
        <v>14</v>
      </c>
      <c r="E3137">
        <v>29</v>
      </c>
      <c r="F3137">
        <v>29</v>
      </c>
      <c r="G3137" t="s">
        <v>4797</v>
      </c>
      <c r="H3137" t="s">
        <v>4805</v>
      </c>
      <c r="I3137">
        <v>8.99</v>
      </c>
      <c r="J3137">
        <v>2</v>
      </c>
      <c r="K3137">
        <v>0.97</v>
      </c>
      <c r="L3137">
        <v>0</v>
      </c>
      <c r="M3137" t="s">
        <v>4809</v>
      </c>
      <c r="N3137" t="s">
        <v>4900</v>
      </c>
      <c r="O3137" t="s">
        <v>4911</v>
      </c>
    </row>
    <row r="3138" spans="1:15" x14ac:dyDescent="0.35">
      <c r="A3138" t="s">
        <v>3093</v>
      </c>
      <c r="B3138">
        <v>56</v>
      </c>
      <c r="C3138" t="s">
        <v>4802</v>
      </c>
      <c r="D3138" t="s">
        <v>13</v>
      </c>
      <c r="E3138">
        <v>78</v>
      </c>
      <c r="F3138">
        <v>52</v>
      </c>
      <c r="G3138" t="s">
        <v>4798</v>
      </c>
      <c r="H3138" t="s">
        <v>4805</v>
      </c>
      <c r="I3138">
        <v>13.99</v>
      </c>
      <c r="J3138">
        <v>2</v>
      </c>
      <c r="K3138">
        <v>5</v>
      </c>
      <c r="L3138">
        <v>0</v>
      </c>
      <c r="M3138" t="s">
        <v>4812</v>
      </c>
      <c r="N3138" t="s">
        <v>4900</v>
      </c>
      <c r="O3138" t="s">
        <v>4911</v>
      </c>
    </row>
    <row r="3139" spans="1:15" x14ac:dyDescent="0.35">
      <c r="A3139" t="s">
        <v>3094</v>
      </c>
      <c r="B3139">
        <v>43</v>
      </c>
      <c r="C3139" t="s">
        <v>4802</v>
      </c>
      <c r="D3139" t="s">
        <v>13</v>
      </c>
      <c r="E3139">
        <v>36</v>
      </c>
      <c r="F3139">
        <v>0</v>
      </c>
      <c r="G3139" t="s">
        <v>4797</v>
      </c>
      <c r="H3139" t="s">
        <v>4805</v>
      </c>
      <c r="I3139">
        <v>13.99</v>
      </c>
      <c r="J3139">
        <v>4</v>
      </c>
      <c r="K3139">
        <v>1.2</v>
      </c>
      <c r="L3139">
        <v>0</v>
      </c>
      <c r="M3139" t="s">
        <v>4812</v>
      </c>
      <c r="N3139" t="s">
        <v>4900</v>
      </c>
      <c r="O3139" t="s">
        <v>4910</v>
      </c>
    </row>
    <row r="3140" spans="1:15" x14ac:dyDescent="0.35">
      <c r="A3140" t="s">
        <v>3095</v>
      </c>
      <c r="B3140">
        <v>52</v>
      </c>
      <c r="C3140" t="s">
        <v>4802</v>
      </c>
      <c r="D3140" t="s">
        <v>13</v>
      </c>
      <c r="E3140">
        <v>55</v>
      </c>
      <c r="F3140">
        <v>18</v>
      </c>
      <c r="G3140" t="s">
        <v>4799</v>
      </c>
      <c r="H3140" t="s">
        <v>4805</v>
      </c>
      <c r="I3140">
        <v>13.99</v>
      </c>
      <c r="J3140">
        <v>3</v>
      </c>
      <c r="K3140">
        <v>1.83</v>
      </c>
      <c r="L3140">
        <v>0</v>
      </c>
      <c r="M3140" t="s">
        <v>4809</v>
      </c>
      <c r="N3140" t="s">
        <v>4900</v>
      </c>
      <c r="O3140" t="s">
        <v>4910</v>
      </c>
    </row>
    <row r="3141" spans="1:15" x14ac:dyDescent="0.35">
      <c r="A3141" t="s">
        <v>3096</v>
      </c>
      <c r="B3141">
        <v>51</v>
      </c>
      <c r="C3141" t="s">
        <v>4802</v>
      </c>
      <c r="D3141" t="s">
        <v>15</v>
      </c>
      <c r="E3141">
        <v>76</v>
      </c>
      <c r="F3141">
        <v>28</v>
      </c>
      <c r="G3141" t="s">
        <v>4799</v>
      </c>
      <c r="H3141" t="s">
        <v>4805</v>
      </c>
      <c r="I3141">
        <v>17.989999999999998</v>
      </c>
      <c r="J3141">
        <v>2</v>
      </c>
      <c r="K3141">
        <v>5</v>
      </c>
      <c r="L3141">
        <v>0</v>
      </c>
      <c r="M3141" t="s">
        <v>4810</v>
      </c>
      <c r="N3141" t="s">
        <v>4900</v>
      </c>
      <c r="O3141" t="s">
        <v>4910</v>
      </c>
    </row>
    <row r="3142" spans="1:15" x14ac:dyDescent="0.35">
      <c r="A3142" t="s">
        <v>3097</v>
      </c>
      <c r="B3142">
        <v>47</v>
      </c>
      <c r="C3142" t="s">
        <v>4802</v>
      </c>
      <c r="D3142" t="s">
        <v>15</v>
      </c>
      <c r="E3142">
        <v>98</v>
      </c>
      <c r="F3142" t="s">
        <v>4814</v>
      </c>
      <c r="G3142" t="s">
        <v>4799</v>
      </c>
      <c r="H3142" t="s">
        <v>4806</v>
      </c>
      <c r="I3142">
        <v>17.989999999999998</v>
      </c>
      <c r="J3142">
        <v>2</v>
      </c>
      <c r="K3142">
        <v>3.27</v>
      </c>
      <c r="L3142">
        <v>0</v>
      </c>
      <c r="M3142" t="s">
        <v>4808</v>
      </c>
      <c r="N3142" t="s">
        <v>4900</v>
      </c>
      <c r="O3142" t="s">
        <v>4910</v>
      </c>
    </row>
    <row r="3143" spans="1:15" x14ac:dyDescent="0.35">
      <c r="A3143" t="s">
        <v>3098</v>
      </c>
      <c r="B3143">
        <v>39</v>
      </c>
      <c r="C3143" t="s">
        <v>4803</v>
      </c>
      <c r="D3143" t="s">
        <v>15</v>
      </c>
      <c r="E3143">
        <v>110</v>
      </c>
      <c r="F3143">
        <v>14</v>
      </c>
      <c r="G3143" t="s">
        <v>4798</v>
      </c>
      <c r="H3143" t="s">
        <v>4806</v>
      </c>
      <c r="I3143">
        <v>17.989999999999998</v>
      </c>
      <c r="J3143">
        <v>5</v>
      </c>
      <c r="K3143">
        <v>3.67</v>
      </c>
      <c r="L3143">
        <v>0</v>
      </c>
      <c r="M3143" t="s">
        <v>4811</v>
      </c>
      <c r="N3143" t="s">
        <v>4900</v>
      </c>
      <c r="O3143" t="s">
        <v>4910</v>
      </c>
    </row>
    <row r="3144" spans="1:15" x14ac:dyDescent="0.35">
      <c r="A3144" t="s">
        <v>3099</v>
      </c>
      <c r="B3144">
        <v>52</v>
      </c>
      <c r="C3144" t="s">
        <v>4803</v>
      </c>
      <c r="D3144" t="s">
        <v>15</v>
      </c>
      <c r="E3144">
        <v>84</v>
      </c>
      <c r="F3144">
        <v>25</v>
      </c>
      <c r="G3144" t="s">
        <v>4798</v>
      </c>
      <c r="H3144" t="s">
        <v>4805</v>
      </c>
      <c r="I3144">
        <v>17.989999999999998</v>
      </c>
      <c r="J3144">
        <v>2</v>
      </c>
      <c r="K3144">
        <v>2.8</v>
      </c>
      <c r="L3144">
        <v>0</v>
      </c>
      <c r="M3144" t="s">
        <v>4808</v>
      </c>
      <c r="N3144" t="s">
        <v>4900</v>
      </c>
      <c r="O3144" t="s">
        <v>4910</v>
      </c>
    </row>
    <row r="3145" spans="1:15" x14ac:dyDescent="0.35">
      <c r="A3145" t="s">
        <v>3100</v>
      </c>
      <c r="B3145">
        <v>29</v>
      </c>
      <c r="C3145" t="s">
        <v>4803</v>
      </c>
      <c r="D3145" t="s">
        <v>13</v>
      </c>
      <c r="E3145">
        <v>77</v>
      </c>
      <c r="F3145" t="s">
        <v>4814</v>
      </c>
      <c r="G3145" t="s">
        <v>4798</v>
      </c>
      <c r="H3145" t="s">
        <v>4806</v>
      </c>
      <c r="I3145">
        <v>13.99</v>
      </c>
      <c r="J3145">
        <v>2</v>
      </c>
      <c r="K3145">
        <v>5</v>
      </c>
      <c r="L3145">
        <v>0</v>
      </c>
      <c r="M3145" t="s">
        <v>4811</v>
      </c>
      <c r="N3145" t="s">
        <v>4900</v>
      </c>
      <c r="O3145" t="s">
        <v>4912</v>
      </c>
    </row>
    <row r="3146" spans="1:15" x14ac:dyDescent="0.35">
      <c r="A3146" t="s">
        <v>3101</v>
      </c>
      <c r="B3146">
        <v>31</v>
      </c>
      <c r="C3146" t="s">
        <v>4803</v>
      </c>
      <c r="D3146" t="s">
        <v>13</v>
      </c>
      <c r="E3146">
        <v>52</v>
      </c>
      <c r="F3146">
        <v>23</v>
      </c>
      <c r="G3146" t="s">
        <v>4798</v>
      </c>
      <c r="H3146" t="s">
        <v>4804</v>
      </c>
      <c r="I3146">
        <v>13.99</v>
      </c>
      <c r="J3146">
        <v>3</v>
      </c>
      <c r="K3146">
        <v>2.0299999999999998</v>
      </c>
      <c r="L3146">
        <v>0</v>
      </c>
      <c r="M3146" t="s">
        <v>4811</v>
      </c>
      <c r="N3146" t="s">
        <v>4900</v>
      </c>
      <c r="O3146" t="s">
        <v>4912</v>
      </c>
    </row>
    <row r="3147" spans="1:15" x14ac:dyDescent="0.35">
      <c r="A3147" t="s">
        <v>3102</v>
      </c>
      <c r="B3147">
        <v>40</v>
      </c>
      <c r="C3147" t="s">
        <v>4802</v>
      </c>
      <c r="D3147" t="s">
        <v>13</v>
      </c>
      <c r="E3147">
        <v>47</v>
      </c>
      <c r="F3147">
        <v>16</v>
      </c>
      <c r="G3147" t="s">
        <v>4797</v>
      </c>
      <c r="H3147" t="s">
        <v>4804</v>
      </c>
      <c r="I3147">
        <v>13.99</v>
      </c>
      <c r="J3147">
        <v>4</v>
      </c>
      <c r="K3147">
        <v>1.57</v>
      </c>
      <c r="L3147">
        <v>0</v>
      </c>
      <c r="M3147" t="s">
        <v>4810</v>
      </c>
      <c r="N3147" t="s">
        <v>4900</v>
      </c>
      <c r="O3147" t="s">
        <v>4910</v>
      </c>
    </row>
    <row r="3148" spans="1:15" x14ac:dyDescent="0.35">
      <c r="A3148" t="s">
        <v>3103</v>
      </c>
      <c r="B3148">
        <v>56</v>
      </c>
      <c r="C3148" t="s">
        <v>4803</v>
      </c>
      <c r="D3148" t="s">
        <v>14</v>
      </c>
      <c r="E3148">
        <v>28</v>
      </c>
      <c r="F3148">
        <v>50</v>
      </c>
      <c r="G3148" t="s">
        <v>4798</v>
      </c>
      <c r="H3148" t="s">
        <v>4806</v>
      </c>
      <c r="I3148">
        <v>8.99</v>
      </c>
      <c r="J3148">
        <v>1</v>
      </c>
      <c r="K3148">
        <v>0.93</v>
      </c>
      <c r="L3148">
        <v>1</v>
      </c>
      <c r="M3148" t="s">
        <v>4808</v>
      </c>
      <c r="N3148" t="s">
        <v>4899</v>
      </c>
      <c r="O3148" t="s">
        <v>4911</v>
      </c>
    </row>
    <row r="3149" spans="1:15" x14ac:dyDescent="0.35">
      <c r="A3149" t="s">
        <v>3104</v>
      </c>
      <c r="B3149">
        <v>36</v>
      </c>
      <c r="C3149" t="s">
        <v>4802</v>
      </c>
      <c r="D3149" t="s">
        <v>13</v>
      </c>
      <c r="E3149">
        <v>52</v>
      </c>
      <c r="F3149">
        <v>43</v>
      </c>
      <c r="G3149" t="s">
        <v>4798</v>
      </c>
      <c r="H3149" t="s">
        <v>4805</v>
      </c>
      <c r="I3149">
        <v>13.99</v>
      </c>
      <c r="J3149">
        <v>3</v>
      </c>
      <c r="K3149">
        <v>2.0299999999999998</v>
      </c>
      <c r="L3149">
        <v>0</v>
      </c>
      <c r="M3149" t="s">
        <v>4811</v>
      </c>
      <c r="N3149" t="s">
        <v>4900</v>
      </c>
      <c r="O3149" t="s">
        <v>4910</v>
      </c>
    </row>
    <row r="3150" spans="1:15" x14ac:dyDescent="0.35">
      <c r="A3150" t="s">
        <v>3105</v>
      </c>
      <c r="B3150">
        <v>50</v>
      </c>
      <c r="C3150" t="s">
        <v>4803</v>
      </c>
      <c r="D3150" t="s">
        <v>14</v>
      </c>
      <c r="E3150">
        <v>48</v>
      </c>
      <c r="F3150">
        <v>35</v>
      </c>
      <c r="G3150" t="s">
        <v>4799</v>
      </c>
      <c r="H3150" t="s">
        <v>4805</v>
      </c>
      <c r="I3150">
        <v>8.99</v>
      </c>
      <c r="J3150">
        <v>1</v>
      </c>
      <c r="K3150">
        <v>2.0299999999999998</v>
      </c>
      <c r="L3150">
        <v>0</v>
      </c>
      <c r="M3150" t="s">
        <v>4812</v>
      </c>
      <c r="N3150" t="s">
        <v>4900</v>
      </c>
      <c r="O3150" t="s">
        <v>4910</v>
      </c>
    </row>
    <row r="3151" spans="1:15" x14ac:dyDescent="0.35">
      <c r="A3151" t="s">
        <v>3106</v>
      </c>
      <c r="B3151">
        <v>25</v>
      </c>
      <c r="C3151" t="s">
        <v>4803</v>
      </c>
      <c r="D3151" t="s">
        <v>13</v>
      </c>
      <c r="E3151">
        <v>35</v>
      </c>
      <c r="F3151">
        <v>60</v>
      </c>
      <c r="G3151" t="s">
        <v>4798</v>
      </c>
      <c r="H3151" t="s">
        <v>4805</v>
      </c>
      <c r="I3151">
        <v>13.99</v>
      </c>
      <c r="J3151">
        <v>4</v>
      </c>
      <c r="K3151">
        <v>1.17</v>
      </c>
      <c r="L3151">
        <v>1</v>
      </c>
      <c r="M3151" t="s">
        <v>4810</v>
      </c>
      <c r="N3151" t="s">
        <v>4899</v>
      </c>
      <c r="O3151" t="s">
        <v>4912</v>
      </c>
    </row>
    <row r="3152" spans="1:15" x14ac:dyDescent="0.35">
      <c r="A3152" t="s">
        <v>3107</v>
      </c>
      <c r="B3152">
        <v>30</v>
      </c>
      <c r="C3152" t="s">
        <v>4802</v>
      </c>
      <c r="D3152" t="s">
        <v>13</v>
      </c>
      <c r="E3152">
        <v>58</v>
      </c>
      <c r="F3152">
        <v>23</v>
      </c>
      <c r="G3152" t="s">
        <v>4799</v>
      </c>
      <c r="H3152" t="s">
        <v>4806</v>
      </c>
      <c r="I3152">
        <v>13.99</v>
      </c>
      <c r="J3152">
        <v>4</v>
      </c>
      <c r="K3152">
        <v>1.93</v>
      </c>
      <c r="L3152">
        <v>0</v>
      </c>
      <c r="M3152" t="s">
        <v>4812</v>
      </c>
      <c r="N3152" t="s">
        <v>4900</v>
      </c>
      <c r="O3152" t="s">
        <v>4912</v>
      </c>
    </row>
    <row r="3153" spans="1:15" x14ac:dyDescent="0.35">
      <c r="A3153" t="s">
        <v>3108</v>
      </c>
      <c r="B3153">
        <v>20</v>
      </c>
      <c r="C3153" t="s">
        <v>4803</v>
      </c>
      <c r="D3153" t="s">
        <v>14</v>
      </c>
      <c r="E3153">
        <v>49</v>
      </c>
      <c r="F3153">
        <v>38</v>
      </c>
      <c r="G3153" t="s">
        <v>4799</v>
      </c>
      <c r="H3153" t="s">
        <v>4805</v>
      </c>
      <c r="I3153">
        <v>8.99</v>
      </c>
      <c r="J3153">
        <v>1</v>
      </c>
      <c r="K3153">
        <v>1.63</v>
      </c>
      <c r="L3153">
        <v>1</v>
      </c>
      <c r="M3153" t="s">
        <v>4810</v>
      </c>
      <c r="N3153" t="s">
        <v>4899</v>
      </c>
      <c r="O3153" t="s">
        <v>4912</v>
      </c>
    </row>
    <row r="3154" spans="1:15" x14ac:dyDescent="0.35">
      <c r="A3154" t="s">
        <v>3109</v>
      </c>
      <c r="B3154">
        <v>34</v>
      </c>
      <c r="C3154" t="s">
        <v>4802</v>
      </c>
      <c r="D3154" t="s">
        <v>13</v>
      </c>
      <c r="E3154">
        <v>52</v>
      </c>
      <c r="F3154">
        <v>16</v>
      </c>
      <c r="G3154" t="s">
        <v>4798</v>
      </c>
      <c r="H3154" t="s">
        <v>4805</v>
      </c>
      <c r="I3154">
        <v>13.99</v>
      </c>
      <c r="J3154">
        <v>1</v>
      </c>
      <c r="K3154">
        <v>1.73</v>
      </c>
      <c r="L3154">
        <v>0</v>
      </c>
      <c r="M3154" t="s">
        <v>4808</v>
      </c>
      <c r="N3154" t="s">
        <v>4900</v>
      </c>
      <c r="O3154" t="s">
        <v>4912</v>
      </c>
    </row>
    <row r="3155" spans="1:15" x14ac:dyDescent="0.35">
      <c r="A3155" t="s">
        <v>3110</v>
      </c>
      <c r="B3155">
        <v>48</v>
      </c>
      <c r="C3155" t="s">
        <v>4802</v>
      </c>
      <c r="D3155" t="s">
        <v>14</v>
      </c>
      <c r="E3155">
        <v>44</v>
      </c>
      <c r="F3155">
        <v>55</v>
      </c>
      <c r="G3155" t="s">
        <v>4797</v>
      </c>
      <c r="H3155" t="s">
        <v>4804</v>
      </c>
      <c r="I3155">
        <v>8.99</v>
      </c>
      <c r="J3155">
        <v>1</v>
      </c>
      <c r="K3155">
        <v>1.47</v>
      </c>
      <c r="L3155">
        <v>0</v>
      </c>
      <c r="M3155" t="s">
        <v>4808</v>
      </c>
      <c r="N3155" t="s">
        <v>4900</v>
      </c>
      <c r="O3155" t="s">
        <v>4910</v>
      </c>
    </row>
    <row r="3156" spans="1:15" x14ac:dyDescent="0.35">
      <c r="A3156" t="s">
        <v>3111</v>
      </c>
      <c r="B3156">
        <v>49</v>
      </c>
      <c r="C3156" t="s">
        <v>4803</v>
      </c>
      <c r="D3156" t="s">
        <v>14</v>
      </c>
      <c r="E3156">
        <v>62</v>
      </c>
      <c r="F3156">
        <v>26</v>
      </c>
      <c r="G3156" t="s">
        <v>4797</v>
      </c>
      <c r="H3156" t="s">
        <v>4806</v>
      </c>
      <c r="I3156">
        <v>8.99</v>
      </c>
      <c r="J3156">
        <v>2</v>
      </c>
      <c r="K3156">
        <v>2.0699999999999998</v>
      </c>
      <c r="L3156">
        <v>0</v>
      </c>
      <c r="M3156" t="s">
        <v>4808</v>
      </c>
      <c r="N3156" t="s">
        <v>4900</v>
      </c>
      <c r="O3156" t="s">
        <v>4910</v>
      </c>
    </row>
    <row r="3157" spans="1:15" x14ac:dyDescent="0.35">
      <c r="A3157" t="s">
        <v>3112</v>
      </c>
      <c r="B3157">
        <v>46</v>
      </c>
      <c r="C3157" t="s">
        <v>4802</v>
      </c>
      <c r="D3157" t="s">
        <v>13</v>
      </c>
      <c r="E3157">
        <v>51</v>
      </c>
      <c r="F3157">
        <v>44</v>
      </c>
      <c r="G3157" t="s">
        <v>4800</v>
      </c>
      <c r="H3157" t="s">
        <v>4804</v>
      </c>
      <c r="I3157">
        <v>13.99</v>
      </c>
      <c r="J3157">
        <v>4</v>
      </c>
      <c r="K3157">
        <v>1.7</v>
      </c>
      <c r="L3157">
        <v>0</v>
      </c>
      <c r="M3157" t="s">
        <v>4811</v>
      </c>
      <c r="N3157" t="s">
        <v>4900</v>
      </c>
      <c r="O3157" t="s">
        <v>4910</v>
      </c>
    </row>
    <row r="3158" spans="1:15" x14ac:dyDescent="0.35">
      <c r="A3158" t="s">
        <v>3113</v>
      </c>
      <c r="B3158">
        <v>29</v>
      </c>
      <c r="C3158" t="s">
        <v>4802</v>
      </c>
      <c r="D3158" t="s">
        <v>13</v>
      </c>
      <c r="E3158">
        <v>47</v>
      </c>
      <c r="F3158">
        <v>40</v>
      </c>
      <c r="G3158" t="s">
        <v>4798</v>
      </c>
      <c r="H3158" t="s">
        <v>4806</v>
      </c>
      <c r="I3158">
        <v>13.99</v>
      </c>
      <c r="J3158">
        <v>2</v>
      </c>
      <c r="K3158">
        <v>1.57</v>
      </c>
      <c r="L3158">
        <v>0</v>
      </c>
      <c r="M3158" t="s">
        <v>4812</v>
      </c>
      <c r="N3158" t="s">
        <v>4900</v>
      </c>
      <c r="O3158" t="s">
        <v>4912</v>
      </c>
    </row>
    <row r="3159" spans="1:15" x14ac:dyDescent="0.35">
      <c r="A3159" t="s">
        <v>3114</v>
      </c>
      <c r="B3159">
        <v>56</v>
      </c>
      <c r="C3159" t="s">
        <v>4803</v>
      </c>
      <c r="D3159" t="s">
        <v>13</v>
      </c>
      <c r="E3159">
        <v>38</v>
      </c>
      <c r="F3159">
        <v>18</v>
      </c>
      <c r="G3159" t="s">
        <v>4797</v>
      </c>
      <c r="H3159" t="s">
        <v>4807</v>
      </c>
      <c r="I3159">
        <v>13.99</v>
      </c>
      <c r="J3159">
        <v>4</v>
      </c>
      <c r="K3159">
        <v>1.27</v>
      </c>
      <c r="L3159">
        <v>0</v>
      </c>
      <c r="M3159" t="s">
        <v>4810</v>
      </c>
      <c r="N3159" t="s">
        <v>4900</v>
      </c>
      <c r="O3159" t="s">
        <v>4911</v>
      </c>
    </row>
    <row r="3160" spans="1:15" x14ac:dyDescent="0.35">
      <c r="A3160" t="s">
        <v>3115</v>
      </c>
      <c r="B3160">
        <v>22</v>
      </c>
      <c r="C3160" t="s">
        <v>4803</v>
      </c>
      <c r="D3160" t="s">
        <v>13</v>
      </c>
      <c r="E3160">
        <v>52</v>
      </c>
      <c r="F3160">
        <v>57</v>
      </c>
      <c r="G3160" t="s">
        <v>4798</v>
      </c>
      <c r="H3160" t="s">
        <v>4804</v>
      </c>
      <c r="I3160">
        <v>13.99</v>
      </c>
      <c r="J3160">
        <v>3</v>
      </c>
      <c r="K3160">
        <v>1.73</v>
      </c>
      <c r="L3160">
        <v>0</v>
      </c>
      <c r="M3160" t="s">
        <v>4809</v>
      </c>
      <c r="N3160" t="s">
        <v>4900</v>
      </c>
      <c r="O3160" t="s">
        <v>4912</v>
      </c>
    </row>
    <row r="3161" spans="1:15" x14ac:dyDescent="0.35">
      <c r="A3161" t="s">
        <v>3116</v>
      </c>
      <c r="B3161">
        <v>35</v>
      </c>
      <c r="C3161" t="s">
        <v>4803</v>
      </c>
      <c r="D3161" t="s">
        <v>13</v>
      </c>
      <c r="E3161">
        <v>56</v>
      </c>
      <c r="F3161">
        <v>28</v>
      </c>
      <c r="G3161" t="s">
        <v>4798</v>
      </c>
      <c r="H3161" t="s">
        <v>4805</v>
      </c>
      <c r="I3161">
        <v>13.99</v>
      </c>
      <c r="J3161">
        <v>4</v>
      </c>
      <c r="K3161">
        <v>1.87</v>
      </c>
      <c r="L3161">
        <v>0</v>
      </c>
      <c r="M3161" t="s">
        <v>4809</v>
      </c>
      <c r="N3161" t="s">
        <v>4900</v>
      </c>
      <c r="O3161" t="s">
        <v>4910</v>
      </c>
    </row>
    <row r="3162" spans="1:15" x14ac:dyDescent="0.35">
      <c r="A3162" t="s">
        <v>3117</v>
      </c>
      <c r="B3162">
        <v>61</v>
      </c>
      <c r="C3162" t="s">
        <v>4803</v>
      </c>
      <c r="D3162" t="s">
        <v>13</v>
      </c>
      <c r="E3162">
        <v>43</v>
      </c>
      <c r="F3162">
        <v>19</v>
      </c>
      <c r="G3162" t="s">
        <v>4798</v>
      </c>
      <c r="H3162" t="s">
        <v>4805</v>
      </c>
      <c r="I3162">
        <v>13.99</v>
      </c>
      <c r="J3162">
        <v>1</v>
      </c>
      <c r="K3162">
        <v>1.43</v>
      </c>
      <c r="L3162">
        <v>0</v>
      </c>
      <c r="M3162" t="s">
        <v>4812</v>
      </c>
      <c r="N3162" t="s">
        <v>4900</v>
      </c>
      <c r="O3162" t="s">
        <v>4911</v>
      </c>
    </row>
    <row r="3163" spans="1:15" x14ac:dyDescent="0.35">
      <c r="A3163" t="s">
        <v>3118</v>
      </c>
      <c r="B3163">
        <v>20</v>
      </c>
      <c r="C3163" t="s">
        <v>4803</v>
      </c>
      <c r="D3163" t="s">
        <v>14</v>
      </c>
      <c r="E3163">
        <v>49</v>
      </c>
      <c r="F3163">
        <v>16</v>
      </c>
      <c r="G3163" t="s">
        <v>4799</v>
      </c>
      <c r="H3163" t="s">
        <v>4806</v>
      </c>
      <c r="I3163">
        <v>8.99</v>
      </c>
      <c r="J3163">
        <v>1</v>
      </c>
      <c r="K3163">
        <v>1.63</v>
      </c>
      <c r="L3163">
        <v>0</v>
      </c>
      <c r="M3163" t="s">
        <v>4808</v>
      </c>
      <c r="N3163" t="s">
        <v>4900</v>
      </c>
      <c r="O3163" t="s">
        <v>4912</v>
      </c>
    </row>
    <row r="3164" spans="1:15" x14ac:dyDescent="0.35">
      <c r="A3164" t="s">
        <v>3119</v>
      </c>
      <c r="B3164">
        <v>55</v>
      </c>
      <c r="C3164" t="s">
        <v>4803</v>
      </c>
      <c r="D3164" t="s">
        <v>15</v>
      </c>
      <c r="E3164">
        <v>82</v>
      </c>
      <c r="F3164">
        <v>48</v>
      </c>
      <c r="G3164" t="s">
        <v>4798</v>
      </c>
      <c r="H3164" t="s">
        <v>4804</v>
      </c>
      <c r="I3164">
        <v>17.989999999999998</v>
      </c>
      <c r="J3164">
        <v>2</v>
      </c>
      <c r="K3164">
        <v>2.73</v>
      </c>
      <c r="L3164">
        <v>1</v>
      </c>
      <c r="M3164" t="s">
        <v>4810</v>
      </c>
      <c r="N3164" t="s">
        <v>4899</v>
      </c>
      <c r="O3164" t="s">
        <v>4911</v>
      </c>
    </row>
    <row r="3165" spans="1:15" x14ac:dyDescent="0.35">
      <c r="A3165" t="s">
        <v>3120</v>
      </c>
      <c r="B3165">
        <v>40</v>
      </c>
      <c r="C3165" t="s">
        <v>4802</v>
      </c>
      <c r="D3165" t="s">
        <v>13</v>
      </c>
      <c r="E3165">
        <v>68</v>
      </c>
      <c r="F3165">
        <v>38</v>
      </c>
      <c r="G3165" t="s">
        <v>4799</v>
      </c>
      <c r="H3165" t="s">
        <v>4804</v>
      </c>
      <c r="I3165">
        <v>13.99</v>
      </c>
      <c r="J3165">
        <v>1</v>
      </c>
      <c r="K3165">
        <v>2.27</v>
      </c>
      <c r="L3165">
        <v>1</v>
      </c>
      <c r="M3165" t="s">
        <v>4808</v>
      </c>
      <c r="N3165" t="s">
        <v>4899</v>
      </c>
      <c r="O3165" t="s">
        <v>4910</v>
      </c>
    </row>
    <row r="3166" spans="1:15" x14ac:dyDescent="0.35">
      <c r="A3166" t="s">
        <v>4844</v>
      </c>
      <c r="B3166">
        <v>51</v>
      </c>
      <c r="C3166" t="s">
        <v>4803</v>
      </c>
      <c r="D3166" t="s">
        <v>13</v>
      </c>
      <c r="E3166">
        <v>46</v>
      </c>
      <c r="F3166">
        <v>10</v>
      </c>
      <c r="G3166" t="s">
        <v>4798</v>
      </c>
      <c r="H3166" t="s">
        <v>4805</v>
      </c>
      <c r="I3166">
        <v>13.99</v>
      </c>
      <c r="J3166">
        <v>4</v>
      </c>
      <c r="K3166">
        <v>1.53</v>
      </c>
      <c r="L3166">
        <v>0</v>
      </c>
      <c r="M3166" t="s">
        <v>4811</v>
      </c>
      <c r="N3166" t="s">
        <v>4900</v>
      </c>
      <c r="O3166" t="s">
        <v>4910</v>
      </c>
    </row>
    <row r="3167" spans="1:15" x14ac:dyDescent="0.35">
      <c r="A3167" t="s">
        <v>3121</v>
      </c>
      <c r="B3167">
        <v>25</v>
      </c>
      <c r="C3167" t="s">
        <v>4803</v>
      </c>
      <c r="D3167" t="s">
        <v>13</v>
      </c>
      <c r="E3167">
        <v>63</v>
      </c>
      <c r="F3167">
        <v>4</v>
      </c>
      <c r="G3167" t="s">
        <v>4798</v>
      </c>
      <c r="H3167" t="s">
        <v>4805</v>
      </c>
      <c r="I3167">
        <v>13.99</v>
      </c>
      <c r="J3167">
        <v>2</v>
      </c>
      <c r="K3167">
        <v>2.1</v>
      </c>
      <c r="L3167">
        <v>0</v>
      </c>
      <c r="M3167" t="s">
        <v>4808</v>
      </c>
      <c r="N3167" t="s">
        <v>4900</v>
      </c>
      <c r="O3167" t="s">
        <v>4912</v>
      </c>
    </row>
    <row r="3168" spans="1:15" x14ac:dyDescent="0.35">
      <c r="A3168" t="s">
        <v>3122</v>
      </c>
      <c r="B3168">
        <v>24</v>
      </c>
      <c r="C3168" t="s">
        <v>4803</v>
      </c>
      <c r="D3168" t="s">
        <v>13</v>
      </c>
      <c r="E3168">
        <v>74</v>
      </c>
      <c r="F3168">
        <v>43</v>
      </c>
      <c r="G3168" t="s">
        <v>4797</v>
      </c>
      <c r="H3168" t="s">
        <v>4806</v>
      </c>
      <c r="I3168">
        <v>13.99</v>
      </c>
      <c r="J3168">
        <v>2</v>
      </c>
      <c r="K3168">
        <v>2.4700000000000002</v>
      </c>
      <c r="L3168">
        <v>0</v>
      </c>
      <c r="M3168" t="s">
        <v>4810</v>
      </c>
      <c r="N3168" t="s">
        <v>4900</v>
      </c>
      <c r="O3168" t="s">
        <v>4912</v>
      </c>
    </row>
    <row r="3169" spans="1:15" x14ac:dyDescent="0.35">
      <c r="A3169" t="s">
        <v>3123</v>
      </c>
      <c r="B3169">
        <v>50</v>
      </c>
      <c r="C3169" t="s">
        <v>4802</v>
      </c>
      <c r="D3169" t="s">
        <v>13</v>
      </c>
      <c r="E3169">
        <v>63</v>
      </c>
      <c r="F3169">
        <v>19</v>
      </c>
      <c r="G3169" t="s">
        <v>4797</v>
      </c>
      <c r="H3169" t="s">
        <v>4805</v>
      </c>
      <c r="I3169">
        <v>13.99</v>
      </c>
      <c r="J3169">
        <v>2</v>
      </c>
      <c r="K3169">
        <v>2.0299999999999998</v>
      </c>
      <c r="L3169">
        <v>0</v>
      </c>
      <c r="M3169" t="s">
        <v>4812</v>
      </c>
      <c r="N3169" t="s">
        <v>4900</v>
      </c>
      <c r="O3169" t="s">
        <v>4910</v>
      </c>
    </row>
    <row r="3170" spans="1:15" x14ac:dyDescent="0.35">
      <c r="A3170" t="s">
        <v>3124</v>
      </c>
      <c r="B3170">
        <v>52</v>
      </c>
      <c r="C3170" t="s">
        <v>4803</v>
      </c>
      <c r="D3170" t="s">
        <v>13</v>
      </c>
      <c r="E3170">
        <v>60</v>
      </c>
      <c r="F3170">
        <v>27</v>
      </c>
      <c r="G3170" t="s">
        <v>4799</v>
      </c>
      <c r="H3170" t="s">
        <v>4804</v>
      </c>
      <c r="I3170">
        <v>13.99</v>
      </c>
      <c r="J3170">
        <v>3</v>
      </c>
      <c r="K3170">
        <v>2</v>
      </c>
      <c r="L3170">
        <v>0</v>
      </c>
      <c r="M3170" t="s">
        <v>4808</v>
      </c>
      <c r="N3170" t="s">
        <v>4900</v>
      </c>
      <c r="O3170" t="s">
        <v>4910</v>
      </c>
    </row>
    <row r="3171" spans="1:15" x14ac:dyDescent="0.35">
      <c r="A3171" t="s">
        <v>3125</v>
      </c>
      <c r="B3171">
        <v>34</v>
      </c>
      <c r="C3171" t="s">
        <v>4802</v>
      </c>
      <c r="D3171" t="s">
        <v>13</v>
      </c>
      <c r="E3171">
        <v>42</v>
      </c>
      <c r="F3171">
        <v>54</v>
      </c>
      <c r="G3171" t="s">
        <v>4798</v>
      </c>
      <c r="H3171" t="s">
        <v>4805</v>
      </c>
      <c r="I3171">
        <v>13.99</v>
      </c>
      <c r="J3171">
        <v>2</v>
      </c>
      <c r="K3171">
        <v>5</v>
      </c>
      <c r="L3171">
        <v>0</v>
      </c>
      <c r="M3171" t="s">
        <v>4810</v>
      </c>
      <c r="N3171" t="s">
        <v>4900</v>
      </c>
      <c r="O3171" t="s">
        <v>4912</v>
      </c>
    </row>
    <row r="3172" spans="1:15" x14ac:dyDescent="0.35">
      <c r="A3172" t="s">
        <v>3126</v>
      </c>
      <c r="B3172">
        <v>64</v>
      </c>
      <c r="C3172" t="s">
        <v>4802</v>
      </c>
      <c r="D3172" t="s">
        <v>13</v>
      </c>
      <c r="E3172">
        <v>53</v>
      </c>
      <c r="F3172">
        <v>56</v>
      </c>
      <c r="G3172" t="s">
        <v>4797</v>
      </c>
      <c r="H3172" t="s">
        <v>4805</v>
      </c>
      <c r="I3172">
        <v>13.99</v>
      </c>
      <c r="J3172">
        <v>1</v>
      </c>
      <c r="K3172">
        <v>1.77</v>
      </c>
      <c r="L3172">
        <v>1</v>
      </c>
      <c r="M3172" t="s">
        <v>4812</v>
      </c>
      <c r="N3172" t="s">
        <v>4899</v>
      </c>
      <c r="O3172" t="s">
        <v>4911</v>
      </c>
    </row>
    <row r="3173" spans="1:15" x14ac:dyDescent="0.35">
      <c r="A3173" t="s">
        <v>3127</v>
      </c>
      <c r="B3173">
        <v>31</v>
      </c>
      <c r="C3173" t="s">
        <v>4803</v>
      </c>
      <c r="D3173" t="s">
        <v>13</v>
      </c>
      <c r="E3173">
        <v>64</v>
      </c>
      <c r="F3173">
        <v>39</v>
      </c>
      <c r="G3173" t="s">
        <v>4799</v>
      </c>
      <c r="H3173" t="s">
        <v>4805</v>
      </c>
      <c r="I3173">
        <v>13.99</v>
      </c>
      <c r="J3173">
        <v>2</v>
      </c>
      <c r="K3173">
        <v>2.13</v>
      </c>
      <c r="L3173">
        <v>0</v>
      </c>
      <c r="M3173" t="s">
        <v>4808</v>
      </c>
      <c r="N3173" t="s">
        <v>4900</v>
      </c>
      <c r="O3173" t="s">
        <v>4912</v>
      </c>
    </row>
    <row r="3174" spans="1:15" x14ac:dyDescent="0.35">
      <c r="A3174" t="s">
        <v>3128</v>
      </c>
      <c r="B3174">
        <v>49</v>
      </c>
      <c r="C3174" t="s">
        <v>4802</v>
      </c>
      <c r="D3174" t="s">
        <v>15</v>
      </c>
      <c r="E3174">
        <v>63</v>
      </c>
      <c r="F3174">
        <v>44</v>
      </c>
      <c r="G3174" t="s">
        <v>4799</v>
      </c>
      <c r="H3174" t="s">
        <v>4805</v>
      </c>
      <c r="I3174">
        <v>17.989999999999998</v>
      </c>
      <c r="J3174">
        <v>3</v>
      </c>
      <c r="K3174">
        <v>2.1</v>
      </c>
      <c r="L3174">
        <v>1</v>
      </c>
      <c r="M3174" t="s">
        <v>4811</v>
      </c>
      <c r="N3174" t="s">
        <v>4899</v>
      </c>
      <c r="O3174" t="s">
        <v>4910</v>
      </c>
    </row>
    <row r="3175" spans="1:15" x14ac:dyDescent="0.35">
      <c r="A3175" t="s">
        <v>3129</v>
      </c>
      <c r="B3175">
        <v>47</v>
      </c>
      <c r="C3175" t="s">
        <v>4802</v>
      </c>
      <c r="D3175" t="s">
        <v>13</v>
      </c>
      <c r="E3175">
        <v>40</v>
      </c>
      <c r="F3175">
        <v>36</v>
      </c>
      <c r="G3175" t="s">
        <v>4798</v>
      </c>
      <c r="H3175" t="s">
        <v>4804</v>
      </c>
      <c r="I3175">
        <v>13.99</v>
      </c>
      <c r="J3175">
        <v>4</v>
      </c>
      <c r="K3175">
        <v>1.33</v>
      </c>
      <c r="L3175">
        <v>1</v>
      </c>
      <c r="M3175" t="s">
        <v>4810</v>
      </c>
      <c r="N3175" t="s">
        <v>4899</v>
      </c>
      <c r="O3175" t="s">
        <v>4910</v>
      </c>
    </row>
    <row r="3176" spans="1:15" x14ac:dyDescent="0.35">
      <c r="A3176" t="s">
        <v>3130</v>
      </c>
      <c r="B3176">
        <v>23</v>
      </c>
      <c r="C3176" t="s">
        <v>4803</v>
      </c>
      <c r="D3176" t="s">
        <v>15</v>
      </c>
      <c r="E3176">
        <v>65</v>
      </c>
      <c r="F3176">
        <v>12</v>
      </c>
      <c r="G3176" t="s">
        <v>4799</v>
      </c>
      <c r="H3176" t="s">
        <v>4805</v>
      </c>
      <c r="I3176">
        <v>17.989999999999998</v>
      </c>
      <c r="J3176">
        <v>2</v>
      </c>
      <c r="K3176">
        <v>2.17</v>
      </c>
      <c r="L3176">
        <v>1</v>
      </c>
      <c r="M3176" t="s">
        <v>4808</v>
      </c>
      <c r="N3176" t="s">
        <v>4899</v>
      </c>
      <c r="O3176" t="s">
        <v>4912</v>
      </c>
    </row>
    <row r="3177" spans="1:15" x14ac:dyDescent="0.35">
      <c r="A3177" t="s">
        <v>3131</v>
      </c>
      <c r="B3177">
        <v>44</v>
      </c>
      <c r="C3177" t="s">
        <v>4802</v>
      </c>
      <c r="D3177" t="s">
        <v>13</v>
      </c>
      <c r="E3177">
        <v>75</v>
      </c>
      <c r="F3177">
        <v>10</v>
      </c>
      <c r="G3177" t="s">
        <v>4798</v>
      </c>
      <c r="H3177" t="s">
        <v>4805</v>
      </c>
      <c r="I3177">
        <v>13.99</v>
      </c>
      <c r="J3177">
        <v>4</v>
      </c>
      <c r="K3177">
        <v>2.5</v>
      </c>
      <c r="L3177">
        <v>0</v>
      </c>
      <c r="M3177" t="s">
        <v>4811</v>
      </c>
      <c r="N3177" t="s">
        <v>4900</v>
      </c>
      <c r="O3177" t="s">
        <v>4910</v>
      </c>
    </row>
    <row r="3178" spans="1:15" x14ac:dyDescent="0.35">
      <c r="A3178" t="s">
        <v>3132</v>
      </c>
      <c r="B3178">
        <v>28</v>
      </c>
      <c r="C3178" t="s">
        <v>4803</v>
      </c>
      <c r="D3178" t="s">
        <v>13</v>
      </c>
      <c r="E3178">
        <v>31</v>
      </c>
      <c r="F3178">
        <v>0</v>
      </c>
      <c r="G3178" t="s">
        <v>4797</v>
      </c>
      <c r="H3178" t="s">
        <v>4805</v>
      </c>
      <c r="I3178">
        <v>13.99</v>
      </c>
      <c r="J3178">
        <v>3</v>
      </c>
      <c r="K3178">
        <v>1.03</v>
      </c>
      <c r="L3178">
        <v>0</v>
      </c>
      <c r="M3178" t="s">
        <v>4812</v>
      </c>
      <c r="N3178" t="s">
        <v>4900</v>
      </c>
      <c r="O3178" t="s">
        <v>4912</v>
      </c>
    </row>
    <row r="3179" spans="1:15" x14ac:dyDescent="0.35">
      <c r="A3179" t="s">
        <v>3133</v>
      </c>
      <c r="B3179">
        <v>61</v>
      </c>
      <c r="C3179" t="s">
        <v>4802</v>
      </c>
      <c r="D3179" t="s">
        <v>15</v>
      </c>
      <c r="E3179">
        <v>54</v>
      </c>
      <c r="F3179">
        <v>30</v>
      </c>
      <c r="G3179" t="s">
        <v>4799</v>
      </c>
      <c r="H3179" t="s">
        <v>4806</v>
      </c>
      <c r="I3179">
        <v>17.989999999999998</v>
      </c>
      <c r="J3179">
        <v>3</v>
      </c>
      <c r="K3179">
        <v>1.8</v>
      </c>
      <c r="L3179">
        <v>0</v>
      </c>
      <c r="M3179" t="s">
        <v>4812</v>
      </c>
      <c r="N3179" t="s">
        <v>4900</v>
      </c>
      <c r="O3179" t="s">
        <v>4911</v>
      </c>
    </row>
    <row r="3180" spans="1:15" x14ac:dyDescent="0.35">
      <c r="A3180" t="s">
        <v>3134</v>
      </c>
      <c r="B3180">
        <v>53</v>
      </c>
      <c r="C3180" t="s">
        <v>4802</v>
      </c>
      <c r="D3180" t="s">
        <v>13</v>
      </c>
      <c r="E3180">
        <v>50</v>
      </c>
      <c r="F3180">
        <v>17</v>
      </c>
      <c r="G3180" t="s">
        <v>4798</v>
      </c>
      <c r="H3180" t="s">
        <v>4806</v>
      </c>
      <c r="I3180">
        <v>13.99</v>
      </c>
      <c r="J3180">
        <v>1</v>
      </c>
      <c r="K3180">
        <v>1.67</v>
      </c>
      <c r="L3180">
        <v>0</v>
      </c>
      <c r="M3180" t="s">
        <v>4809</v>
      </c>
      <c r="N3180" t="s">
        <v>4900</v>
      </c>
      <c r="O3180" t="s">
        <v>4910</v>
      </c>
    </row>
    <row r="3181" spans="1:15" x14ac:dyDescent="0.35">
      <c r="A3181" t="s">
        <v>3135</v>
      </c>
      <c r="B3181">
        <v>58</v>
      </c>
      <c r="C3181" t="s">
        <v>4802</v>
      </c>
      <c r="D3181" t="s">
        <v>15</v>
      </c>
      <c r="E3181">
        <v>53</v>
      </c>
      <c r="F3181">
        <v>45</v>
      </c>
      <c r="G3181" t="s">
        <v>4797</v>
      </c>
      <c r="H3181" t="s">
        <v>4805</v>
      </c>
      <c r="I3181">
        <v>17.989999999999998</v>
      </c>
      <c r="J3181">
        <v>5</v>
      </c>
      <c r="K3181">
        <v>1.77</v>
      </c>
      <c r="L3181">
        <v>0</v>
      </c>
      <c r="M3181" t="s">
        <v>4808</v>
      </c>
      <c r="N3181" t="s">
        <v>4900</v>
      </c>
      <c r="O3181" t="s">
        <v>4911</v>
      </c>
    </row>
    <row r="3182" spans="1:15" x14ac:dyDescent="0.35">
      <c r="A3182" t="s">
        <v>3136</v>
      </c>
      <c r="B3182">
        <v>44</v>
      </c>
      <c r="C3182" t="s">
        <v>4802</v>
      </c>
      <c r="D3182" t="s">
        <v>13</v>
      </c>
      <c r="E3182">
        <v>77</v>
      </c>
      <c r="F3182">
        <v>58</v>
      </c>
      <c r="G3182" t="s">
        <v>4797</v>
      </c>
      <c r="H3182" t="s">
        <v>4804</v>
      </c>
      <c r="I3182">
        <v>13.99</v>
      </c>
      <c r="J3182">
        <v>1</v>
      </c>
      <c r="K3182">
        <v>2.57</v>
      </c>
      <c r="L3182">
        <v>1</v>
      </c>
      <c r="M3182" t="s">
        <v>4809</v>
      </c>
      <c r="N3182" t="s">
        <v>4899</v>
      </c>
      <c r="O3182" t="s">
        <v>4910</v>
      </c>
    </row>
    <row r="3183" spans="1:15" x14ac:dyDescent="0.35">
      <c r="A3183" t="s">
        <v>3137</v>
      </c>
      <c r="B3183">
        <v>21</v>
      </c>
      <c r="C3183" t="s">
        <v>4803</v>
      </c>
      <c r="D3183" t="s">
        <v>13</v>
      </c>
      <c r="E3183">
        <v>47</v>
      </c>
      <c r="F3183">
        <v>35</v>
      </c>
      <c r="G3183" t="s">
        <v>4798</v>
      </c>
      <c r="H3183" t="s">
        <v>4805</v>
      </c>
      <c r="I3183">
        <v>13.99</v>
      </c>
      <c r="J3183">
        <v>3</v>
      </c>
      <c r="K3183">
        <v>1.57</v>
      </c>
      <c r="L3183">
        <v>0</v>
      </c>
      <c r="M3183" t="s">
        <v>4810</v>
      </c>
      <c r="N3183" t="s">
        <v>4900</v>
      </c>
      <c r="O3183" t="s">
        <v>4912</v>
      </c>
    </row>
    <row r="3184" spans="1:15" x14ac:dyDescent="0.35">
      <c r="A3184" t="s">
        <v>3138</v>
      </c>
      <c r="B3184">
        <v>52</v>
      </c>
      <c r="C3184" t="s">
        <v>4803</v>
      </c>
      <c r="D3184" t="s">
        <v>13</v>
      </c>
      <c r="E3184">
        <v>69</v>
      </c>
      <c r="F3184">
        <v>47</v>
      </c>
      <c r="G3184" t="s">
        <v>4800</v>
      </c>
      <c r="H3184" t="s">
        <v>4804</v>
      </c>
      <c r="I3184">
        <v>13.99</v>
      </c>
      <c r="J3184">
        <v>4</v>
      </c>
      <c r="K3184">
        <v>2.2999999999999998</v>
      </c>
      <c r="L3184">
        <v>0</v>
      </c>
      <c r="M3184" t="s">
        <v>4809</v>
      </c>
      <c r="N3184" t="s">
        <v>4900</v>
      </c>
      <c r="O3184" t="s">
        <v>4910</v>
      </c>
    </row>
    <row r="3185" spans="1:15" x14ac:dyDescent="0.35">
      <c r="A3185" t="s">
        <v>3139</v>
      </c>
      <c r="B3185">
        <v>49</v>
      </c>
      <c r="C3185" t="s">
        <v>4803</v>
      </c>
      <c r="D3185" t="s">
        <v>13</v>
      </c>
      <c r="E3185">
        <v>61</v>
      </c>
      <c r="F3185">
        <v>39</v>
      </c>
      <c r="G3185" t="s">
        <v>4799</v>
      </c>
      <c r="H3185" t="s">
        <v>4805</v>
      </c>
      <c r="I3185">
        <v>13.99</v>
      </c>
      <c r="J3185">
        <v>4</v>
      </c>
      <c r="K3185">
        <v>2.0299999999999998</v>
      </c>
      <c r="L3185">
        <v>1</v>
      </c>
      <c r="M3185" t="s">
        <v>4810</v>
      </c>
      <c r="N3185" t="s">
        <v>4899</v>
      </c>
      <c r="O3185" t="s">
        <v>4910</v>
      </c>
    </row>
    <row r="3186" spans="1:15" x14ac:dyDescent="0.35">
      <c r="A3186" t="s">
        <v>3140</v>
      </c>
      <c r="B3186">
        <v>45</v>
      </c>
      <c r="C3186" t="s">
        <v>4803</v>
      </c>
      <c r="D3186" t="s">
        <v>13</v>
      </c>
      <c r="E3186">
        <v>58</v>
      </c>
      <c r="F3186">
        <v>30</v>
      </c>
      <c r="G3186" t="s">
        <v>4798</v>
      </c>
      <c r="H3186" t="s">
        <v>4807</v>
      </c>
      <c r="I3186">
        <v>13.99</v>
      </c>
      <c r="J3186">
        <v>1</v>
      </c>
      <c r="K3186">
        <v>1.93</v>
      </c>
      <c r="L3186">
        <v>0</v>
      </c>
      <c r="M3186" t="s">
        <v>4812</v>
      </c>
      <c r="N3186" t="s">
        <v>4900</v>
      </c>
      <c r="O3186" t="s">
        <v>4910</v>
      </c>
    </row>
    <row r="3187" spans="1:15" x14ac:dyDescent="0.35">
      <c r="A3187" t="s">
        <v>3141</v>
      </c>
      <c r="B3187">
        <v>18</v>
      </c>
      <c r="C3187" t="s">
        <v>4803</v>
      </c>
      <c r="D3187" t="s">
        <v>13</v>
      </c>
      <c r="E3187">
        <v>54</v>
      </c>
      <c r="F3187">
        <v>30</v>
      </c>
      <c r="G3187" t="s">
        <v>4798</v>
      </c>
      <c r="H3187" t="s">
        <v>4806</v>
      </c>
      <c r="I3187">
        <v>13.99</v>
      </c>
      <c r="J3187">
        <v>3</v>
      </c>
      <c r="K3187">
        <v>1.8</v>
      </c>
      <c r="L3187">
        <v>0</v>
      </c>
      <c r="M3187" t="s">
        <v>4812</v>
      </c>
      <c r="N3187" t="s">
        <v>4900</v>
      </c>
      <c r="O3187" t="s">
        <v>4912</v>
      </c>
    </row>
    <row r="3188" spans="1:15" x14ac:dyDescent="0.35">
      <c r="A3188" t="s">
        <v>3142</v>
      </c>
      <c r="B3188">
        <v>61</v>
      </c>
      <c r="C3188" t="s">
        <v>4803</v>
      </c>
      <c r="D3188" t="s">
        <v>14</v>
      </c>
      <c r="E3188">
        <v>37</v>
      </c>
      <c r="F3188">
        <v>42</v>
      </c>
      <c r="G3188" t="s">
        <v>4799</v>
      </c>
      <c r="H3188" t="s">
        <v>4805</v>
      </c>
      <c r="I3188">
        <v>8.99</v>
      </c>
      <c r="J3188">
        <v>2</v>
      </c>
      <c r="K3188">
        <v>1.23</v>
      </c>
      <c r="L3188">
        <v>0</v>
      </c>
      <c r="M3188" t="s">
        <v>4809</v>
      </c>
      <c r="N3188" t="s">
        <v>4900</v>
      </c>
      <c r="O3188" t="s">
        <v>4911</v>
      </c>
    </row>
    <row r="3189" spans="1:15" x14ac:dyDescent="0.35">
      <c r="A3189" t="s">
        <v>3143</v>
      </c>
      <c r="B3189">
        <v>36</v>
      </c>
      <c r="C3189" t="s">
        <v>4803</v>
      </c>
      <c r="D3189" t="s">
        <v>13</v>
      </c>
      <c r="E3189">
        <v>80</v>
      </c>
      <c r="F3189">
        <v>35</v>
      </c>
      <c r="G3189" t="s">
        <v>4798</v>
      </c>
      <c r="H3189" t="s">
        <v>4804</v>
      </c>
      <c r="I3189">
        <v>13.99</v>
      </c>
      <c r="J3189">
        <v>3</v>
      </c>
      <c r="K3189">
        <v>2.67</v>
      </c>
      <c r="L3189">
        <v>1</v>
      </c>
      <c r="M3189" t="s">
        <v>4809</v>
      </c>
      <c r="N3189" t="s">
        <v>4899</v>
      </c>
      <c r="O3189" t="s">
        <v>4910</v>
      </c>
    </row>
    <row r="3190" spans="1:15" x14ac:dyDescent="0.35">
      <c r="A3190" t="s">
        <v>3144</v>
      </c>
      <c r="B3190">
        <v>61</v>
      </c>
      <c r="C3190" t="s">
        <v>4803</v>
      </c>
      <c r="D3190" t="s">
        <v>15</v>
      </c>
      <c r="E3190">
        <v>113</v>
      </c>
      <c r="F3190">
        <v>42</v>
      </c>
      <c r="G3190" t="s">
        <v>4798</v>
      </c>
      <c r="H3190" t="s">
        <v>4805</v>
      </c>
      <c r="I3190">
        <v>17.989999999999998</v>
      </c>
      <c r="J3190">
        <v>2</v>
      </c>
      <c r="K3190">
        <v>3.77</v>
      </c>
      <c r="L3190">
        <v>0</v>
      </c>
      <c r="M3190" t="s">
        <v>4811</v>
      </c>
      <c r="N3190" t="s">
        <v>4900</v>
      </c>
      <c r="O3190" t="s">
        <v>4911</v>
      </c>
    </row>
    <row r="3191" spans="1:15" x14ac:dyDescent="0.35">
      <c r="A3191" t="s">
        <v>3145</v>
      </c>
      <c r="B3191">
        <v>24</v>
      </c>
      <c r="C3191" t="s">
        <v>4803</v>
      </c>
      <c r="D3191" t="s">
        <v>15</v>
      </c>
      <c r="E3191">
        <v>92</v>
      </c>
      <c r="F3191">
        <v>8</v>
      </c>
      <c r="G3191" t="s">
        <v>4798</v>
      </c>
      <c r="H3191" t="s">
        <v>4806</v>
      </c>
      <c r="I3191">
        <v>17.989999999999998</v>
      </c>
      <c r="J3191">
        <v>2</v>
      </c>
      <c r="K3191">
        <v>5</v>
      </c>
      <c r="L3191">
        <v>0</v>
      </c>
      <c r="M3191" t="s">
        <v>4810</v>
      </c>
      <c r="N3191" t="s">
        <v>4900</v>
      </c>
      <c r="O3191" t="s">
        <v>4912</v>
      </c>
    </row>
    <row r="3192" spans="1:15" x14ac:dyDescent="0.35">
      <c r="A3192" t="s">
        <v>3146</v>
      </c>
      <c r="B3192">
        <v>22</v>
      </c>
      <c r="C3192" t="s">
        <v>4803</v>
      </c>
      <c r="D3192" t="s">
        <v>13</v>
      </c>
      <c r="E3192">
        <v>34</v>
      </c>
      <c r="F3192">
        <v>21</v>
      </c>
      <c r="G3192" t="s">
        <v>4798</v>
      </c>
      <c r="H3192" t="s">
        <v>4806</v>
      </c>
      <c r="I3192">
        <v>13.99</v>
      </c>
      <c r="J3192">
        <v>1</v>
      </c>
      <c r="K3192">
        <v>1.1299999999999999</v>
      </c>
      <c r="L3192">
        <v>0</v>
      </c>
      <c r="M3192" t="s">
        <v>4812</v>
      </c>
      <c r="N3192" t="s">
        <v>4900</v>
      </c>
      <c r="O3192" t="s">
        <v>4912</v>
      </c>
    </row>
    <row r="3193" spans="1:15" x14ac:dyDescent="0.35">
      <c r="A3193" t="s">
        <v>3147</v>
      </c>
      <c r="B3193">
        <v>29</v>
      </c>
      <c r="C3193" t="s">
        <v>4802</v>
      </c>
      <c r="D3193" t="s">
        <v>13</v>
      </c>
      <c r="E3193">
        <v>73</v>
      </c>
      <c r="F3193">
        <v>21</v>
      </c>
      <c r="G3193" t="s">
        <v>4798</v>
      </c>
      <c r="H3193" t="s">
        <v>4805</v>
      </c>
      <c r="I3193">
        <v>13.99</v>
      </c>
      <c r="J3193">
        <v>1</v>
      </c>
      <c r="K3193">
        <v>2.4300000000000002</v>
      </c>
      <c r="L3193">
        <v>0</v>
      </c>
      <c r="M3193" t="s">
        <v>4808</v>
      </c>
      <c r="N3193" t="s">
        <v>4900</v>
      </c>
      <c r="O3193" t="s">
        <v>4912</v>
      </c>
    </row>
    <row r="3194" spans="1:15" x14ac:dyDescent="0.35">
      <c r="A3194" t="s">
        <v>3148</v>
      </c>
      <c r="B3194">
        <v>45</v>
      </c>
      <c r="C3194" t="s">
        <v>4803</v>
      </c>
      <c r="D3194" t="s">
        <v>15</v>
      </c>
      <c r="E3194">
        <v>112</v>
      </c>
      <c r="F3194">
        <v>25</v>
      </c>
      <c r="G3194" t="s">
        <v>4798</v>
      </c>
      <c r="H3194" t="s">
        <v>4805</v>
      </c>
      <c r="I3194">
        <v>17.989999999999998</v>
      </c>
      <c r="J3194">
        <v>5</v>
      </c>
      <c r="K3194">
        <v>3.73</v>
      </c>
      <c r="L3194">
        <v>0</v>
      </c>
      <c r="M3194" t="s">
        <v>4810</v>
      </c>
      <c r="N3194" t="s">
        <v>4900</v>
      </c>
      <c r="O3194" t="s">
        <v>4910</v>
      </c>
    </row>
    <row r="3195" spans="1:15" x14ac:dyDescent="0.35">
      <c r="A3195" t="s">
        <v>3149</v>
      </c>
      <c r="B3195">
        <v>44</v>
      </c>
      <c r="C3195" t="s">
        <v>4802</v>
      </c>
      <c r="D3195" t="s">
        <v>13</v>
      </c>
      <c r="E3195">
        <v>66</v>
      </c>
      <c r="F3195">
        <v>55</v>
      </c>
      <c r="G3195" t="s">
        <v>4797</v>
      </c>
      <c r="H3195" t="s">
        <v>4804</v>
      </c>
      <c r="I3195">
        <v>13.99</v>
      </c>
      <c r="J3195">
        <v>4</v>
      </c>
      <c r="K3195">
        <v>2.2000000000000002</v>
      </c>
      <c r="L3195">
        <v>0</v>
      </c>
      <c r="M3195" t="s">
        <v>4808</v>
      </c>
      <c r="N3195" t="s">
        <v>4900</v>
      </c>
      <c r="O3195" t="s">
        <v>4910</v>
      </c>
    </row>
    <row r="3196" spans="1:15" x14ac:dyDescent="0.35">
      <c r="A3196" t="s">
        <v>3150</v>
      </c>
      <c r="B3196">
        <v>21</v>
      </c>
      <c r="C3196" t="s">
        <v>4803</v>
      </c>
      <c r="D3196" t="s">
        <v>15</v>
      </c>
      <c r="E3196">
        <v>100</v>
      </c>
      <c r="F3196">
        <v>51</v>
      </c>
      <c r="G3196" t="s">
        <v>4798</v>
      </c>
      <c r="H3196" t="s">
        <v>4804</v>
      </c>
      <c r="I3196">
        <v>17.989999999999998</v>
      </c>
      <c r="J3196">
        <v>3</v>
      </c>
      <c r="K3196">
        <v>3.33</v>
      </c>
      <c r="L3196">
        <v>0</v>
      </c>
      <c r="M3196" t="s">
        <v>4812</v>
      </c>
      <c r="N3196" t="s">
        <v>4900</v>
      </c>
      <c r="O3196" t="s">
        <v>4912</v>
      </c>
    </row>
    <row r="3197" spans="1:15" x14ac:dyDescent="0.35">
      <c r="A3197" t="s">
        <v>3151</v>
      </c>
      <c r="B3197">
        <v>46</v>
      </c>
      <c r="C3197" t="s">
        <v>4803</v>
      </c>
      <c r="D3197" t="s">
        <v>13</v>
      </c>
      <c r="E3197">
        <v>38</v>
      </c>
      <c r="F3197">
        <v>57</v>
      </c>
      <c r="G3197" t="s">
        <v>4798</v>
      </c>
      <c r="H3197" t="s">
        <v>4806</v>
      </c>
      <c r="I3197">
        <v>13.99</v>
      </c>
      <c r="J3197">
        <v>1</v>
      </c>
      <c r="K3197">
        <v>2.0299999999999998</v>
      </c>
      <c r="L3197">
        <v>0</v>
      </c>
      <c r="M3197" t="s">
        <v>4809</v>
      </c>
      <c r="N3197" t="s">
        <v>4900</v>
      </c>
      <c r="O3197" t="s">
        <v>4910</v>
      </c>
    </row>
    <row r="3198" spans="1:15" x14ac:dyDescent="0.35">
      <c r="A3198" t="s">
        <v>3152</v>
      </c>
      <c r="B3198">
        <v>60</v>
      </c>
      <c r="C3198" t="s">
        <v>4803</v>
      </c>
      <c r="D3198" t="s">
        <v>13</v>
      </c>
      <c r="E3198">
        <v>47</v>
      </c>
      <c r="F3198">
        <v>13</v>
      </c>
      <c r="G3198" t="s">
        <v>4799</v>
      </c>
      <c r="H3198" t="s">
        <v>4805</v>
      </c>
      <c r="I3198">
        <v>13.99</v>
      </c>
      <c r="J3198">
        <v>1</v>
      </c>
      <c r="K3198">
        <v>1.57</v>
      </c>
      <c r="L3198">
        <v>0</v>
      </c>
      <c r="M3198" t="s">
        <v>4808</v>
      </c>
      <c r="N3198" t="s">
        <v>4900</v>
      </c>
      <c r="O3198" t="s">
        <v>4911</v>
      </c>
    </row>
    <row r="3199" spans="1:15" x14ac:dyDescent="0.35">
      <c r="A3199" t="s">
        <v>3153</v>
      </c>
      <c r="B3199">
        <v>40</v>
      </c>
      <c r="C3199" t="s">
        <v>4803</v>
      </c>
      <c r="D3199" t="s">
        <v>13</v>
      </c>
      <c r="E3199">
        <v>65</v>
      </c>
      <c r="F3199">
        <v>45</v>
      </c>
      <c r="G3199" t="s">
        <v>4799</v>
      </c>
      <c r="H3199" t="s">
        <v>4804</v>
      </c>
      <c r="I3199">
        <v>13.99</v>
      </c>
      <c r="J3199">
        <v>2</v>
      </c>
      <c r="K3199">
        <v>2.17</v>
      </c>
      <c r="L3199">
        <v>0</v>
      </c>
      <c r="M3199" t="s">
        <v>4811</v>
      </c>
      <c r="N3199" t="s">
        <v>4900</v>
      </c>
      <c r="O3199" t="s">
        <v>4910</v>
      </c>
    </row>
    <row r="3200" spans="1:15" x14ac:dyDescent="0.35">
      <c r="A3200" t="s">
        <v>3154</v>
      </c>
      <c r="B3200">
        <v>40</v>
      </c>
      <c r="C3200" t="s">
        <v>4802</v>
      </c>
      <c r="D3200" t="s">
        <v>13</v>
      </c>
      <c r="E3200">
        <v>52</v>
      </c>
      <c r="F3200">
        <v>10</v>
      </c>
      <c r="G3200" t="s">
        <v>4798</v>
      </c>
      <c r="H3200" t="s">
        <v>4804</v>
      </c>
      <c r="I3200">
        <v>13.99</v>
      </c>
      <c r="J3200">
        <v>4</v>
      </c>
      <c r="K3200">
        <v>1.73</v>
      </c>
      <c r="L3200">
        <v>0</v>
      </c>
      <c r="M3200" t="s">
        <v>4809</v>
      </c>
      <c r="N3200" t="s">
        <v>4900</v>
      </c>
      <c r="O3200" t="s">
        <v>4910</v>
      </c>
    </row>
    <row r="3201" spans="1:15" x14ac:dyDescent="0.35">
      <c r="A3201" t="s">
        <v>3155</v>
      </c>
      <c r="B3201">
        <v>32</v>
      </c>
      <c r="C3201" t="s">
        <v>4803</v>
      </c>
      <c r="D3201" t="s">
        <v>15</v>
      </c>
      <c r="E3201">
        <v>14</v>
      </c>
      <c r="F3201">
        <v>31</v>
      </c>
      <c r="G3201" t="s">
        <v>4798</v>
      </c>
      <c r="H3201" t="s">
        <v>4804</v>
      </c>
      <c r="I3201">
        <v>17.989999999999998</v>
      </c>
      <c r="J3201">
        <v>2</v>
      </c>
      <c r="K3201">
        <v>0.47</v>
      </c>
      <c r="L3201">
        <v>0</v>
      </c>
      <c r="M3201" t="s">
        <v>4812</v>
      </c>
      <c r="N3201" t="s">
        <v>4900</v>
      </c>
      <c r="O3201" t="s">
        <v>4912</v>
      </c>
    </row>
    <row r="3202" spans="1:15" x14ac:dyDescent="0.35">
      <c r="A3202" t="s">
        <v>3156</v>
      </c>
      <c r="B3202">
        <v>42</v>
      </c>
      <c r="C3202" t="s">
        <v>4803</v>
      </c>
      <c r="D3202" t="s">
        <v>13</v>
      </c>
      <c r="E3202">
        <v>51</v>
      </c>
      <c r="F3202">
        <v>21</v>
      </c>
      <c r="G3202" t="s">
        <v>4799</v>
      </c>
      <c r="H3202" t="s">
        <v>4805</v>
      </c>
      <c r="I3202">
        <v>13.99</v>
      </c>
      <c r="J3202">
        <v>2</v>
      </c>
      <c r="K3202">
        <v>1.7</v>
      </c>
      <c r="L3202">
        <v>0</v>
      </c>
      <c r="M3202" t="s">
        <v>4812</v>
      </c>
      <c r="N3202" t="s">
        <v>4900</v>
      </c>
      <c r="O3202" t="s">
        <v>4910</v>
      </c>
    </row>
    <row r="3203" spans="1:15" x14ac:dyDescent="0.35">
      <c r="A3203" t="s">
        <v>3157</v>
      </c>
      <c r="B3203">
        <v>43</v>
      </c>
      <c r="C3203" t="s">
        <v>4802</v>
      </c>
      <c r="D3203" t="s">
        <v>13</v>
      </c>
      <c r="E3203">
        <v>48</v>
      </c>
      <c r="F3203">
        <v>38</v>
      </c>
      <c r="G3203" t="s">
        <v>4797</v>
      </c>
      <c r="H3203" t="s">
        <v>4806</v>
      </c>
      <c r="I3203">
        <v>13.99</v>
      </c>
      <c r="J3203">
        <v>3</v>
      </c>
      <c r="K3203">
        <v>1.6</v>
      </c>
      <c r="L3203">
        <v>0</v>
      </c>
      <c r="M3203" t="s">
        <v>4809</v>
      </c>
      <c r="N3203" t="s">
        <v>4900</v>
      </c>
      <c r="O3203" t="s">
        <v>4910</v>
      </c>
    </row>
    <row r="3204" spans="1:15" x14ac:dyDescent="0.35">
      <c r="A3204" t="s">
        <v>3158</v>
      </c>
      <c r="B3204">
        <v>52</v>
      </c>
      <c r="C3204" t="s">
        <v>4802</v>
      </c>
      <c r="D3204" t="s">
        <v>13</v>
      </c>
      <c r="E3204">
        <v>52</v>
      </c>
      <c r="F3204">
        <v>47</v>
      </c>
      <c r="G3204" t="s">
        <v>4798</v>
      </c>
      <c r="H3204" t="s">
        <v>4805</v>
      </c>
      <c r="I3204">
        <v>13.99</v>
      </c>
      <c r="J3204">
        <v>3</v>
      </c>
      <c r="K3204">
        <v>1.73</v>
      </c>
      <c r="L3204">
        <v>0</v>
      </c>
      <c r="M3204" t="s">
        <v>4809</v>
      </c>
      <c r="N3204" t="s">
        <v>4900</v>
      </c>
      <c r="O3204" t="s">
        <v>4910</v>
      </c>
    </row>
    <row r="3205" spans="1:15" x14ac:dyDescent="0.35">
      <c r="A3205" t="s">
        <v>3159</v>
      </c>
      <c r="B3205">
        <v>59</v>
      </c>
      <c r="C3205" t="s">
        <v>4803</v>
      </c>
      <c r="D3205" t="s">
        <v>13</v>
      </c>
      <c r="E3205">
        <v>70</v>
      </c>
      <c r="F3205">
        <v>13</v>
      </c>
      <c r="G3205" t="s">
        <v>4799</v>
      </c>
      <c r="H3205" t="s">
        <v>4804</v>
      </c>
      <c r="I3205">
        <v>13.99</v>
      </c>
      <c r="J3205">
        <v>3</v>
      </c>
      <c r="K3205">
        <v>2.33</v>
      </c>
      <c r="L3205">
        <v>0</v>
      </c>
      <c r="M3205" t="s">
        <v>4811</v>
      </c>
      <c r="N3205" t="s">
        <v>4900</v>
      </c>
      <c r="O3205" t="s">
        <v>4911</v>
      </c>
    </row>
    <row r="3206" spans="1:15" x14ac:dyDescent="0.35">
      <c r="A3206" t="s">
        <v>3160</v>
      </c>
      <c r="B3206">
        <v>57</v>
      </c>
      <c r="C3206" t="s">
        <v>4802</v>
      </c>
      <c r="D3206" t="s">
        <v>13</v>
      </c>
      <c r="E3206">
        <v>39</v>
      </c>
      <c r="F3206">
        <v>12</v>
      </c>
      <c r="G3206" t="s">
        <v>4799</v>
      </c>
      <c r="H3206" t="s">
        <v>4805</v>
      </c>
      <c r="I3206">
        <v>13.99</v>
      </c>
      <c r="J3206">
        <v>4</v>
      </c>
      <c r="K3206">
        <v>1.3</v>
      </c>
      <c r="L3206">
        <v>0</v>
      </c>
      <c r="M3206" t="s">
        <v>4810</v>
      </c>
      <c r="N3206" t="s">
        <v>4900</v>
      </c>
      <c r="O3206" t="s">
        <v>4911</v>
      </c>
    </row>
    <row r="3207" spans="1:15" x14ac:dyDescent="0.35">
      <c r="A3207" t="s">
        <v>3161</v>
      </c>
      <c r="B3207">
        <v>54</v>
      </c>
      <c r="C3207" t="s">
        <v>4803</v>
      </c>
      <c r="D3207" t="s">
        <v>13</v>
      </c>
      <c r="E3207">
        <v>31</v>
      </c>
      <c r="F3207">
        <v>58</v>
      </c>
      <c r="G3207" t="s">
        <v>4798</v>
      </c>
      <c r="H3207" t="s">
        <v>4805</v>
      </c>
      <c r="I3207">
        <v>13.99</v>
      </c>
      <c r="J3207">
        <v>2</v>
      </c>
      <c r="K3207">
        <v>2.0299999999999998</v>
      </c>
      <c r="L3207">
        <v>1</v>
      </c>
      <c r="M3207" t="s">
        <v>4810</v>
      </c>
      <c r="N3207" t="s">
        <v>4899</v>
      </c>
      <c r="O3207" t="s">
        <v>4910</v>
      </c>
    </row>
    <row r="3208" spans="1:15" x14ac:dyDescent="0.35">
      <c r="A3208" t="s">
        <v>3162</v>
      </c>
      <c r="B3208">
        <v>36</v>
      </c>
      <c r="C3208" t="s">
        <v>4803</v>
      </c>
      <c r="D3208" t="s">
        <v>13</v>
      </c>
      <c r="E3208">
        <v>80</v>
      </c>
      <c r="F3208" t="s">
        <v>4814</v>
      </c>
      <c r="G3208" t="s">
        <v>4799</v>
      </c>
      <c r="H3208" t="s">
        <v>4805</v>
      </c>
      <c r="I3208">
        <v>13.99</v>
      </c>
      <c r="J3208">
        <v>4</v>
      </c>
      <c r="K3208">
        <v>2.67</v>
      </c>
      <c r="L3208">
        <v>0</v>
      </c>
      <c r="M3208" t="s">
        <v>4809</v>
      </c>
      <c r="N3208" t="s">
        <v>4900</v>
      </c>
      <c r="O3208" t="s">
        <v>4910</v>
      </c>
    </row>
    <row r="3209" spans="1:15" x14ac:dyDescent="0.35">
      <c r="A3209" t="s">
        <v>3163</v>
      </c>
      <c r="B3209">
        <v>51</v>
      </c>
      <c r="C3209" t="s">
        <v>4803</v>
      </c>
      <c r="D3209" t="s">
        <v>14</v>
      </c>
      <c r="E3209">
        <v>25</v>
      </c>
      <c r="F3209">
        <v>42</v>
      </c>
      <c r="G3209" t="s">
        <v>4798</v>
      </c>
      <c r="H3209" t="s">
        <v>4804</v>
      </c>
      <c r="I3209">
        <v>8.99</v>
      </c>
      <c r="J3209">
        <v>1</v>
      </c>
      <c r="K3209">
        <v>0.83</v>
      </c>
      <c r="L3209">
        <v>0</v>
      </c>
      <c r="M3209" t="s">
        <v>4809</v>
      </c>
      <c r="N3209" t="s">
        <v>4900</v>
      </c>
      <c r="O3209" t="s">
        <v>4910</v>
      </c>
    </row>
    <row r="3210" spans="1:15" x14ac:dyDescent="0.35">
      <c r="A3210" t="s">
        <v>3164</v>
      </c>
      <c r="B3210">
        <v>58</v>
      </c>
      <c r="C3210" t="s">
        <v>4802</v>
      </c>
      <c r="D3210" t="s">
        <v>13</v>
      </c>
      <c r="E3210">
        <v>71</v>
      </c>
      <c r="F3210">
        <v>39</v>
      </c>
      <c r="G3210" t="s">
        <v>4797</v>
      </c>
      <c r="H3210" t="s">
        <v>4805</v>
      </c>
      <c r="I3210">
        <v>13.99</v>
      </c>
      <c r="J3210">
        <v>1</v>
      </c>
      <c r="K3210">
        <v>2.37</v>
      </c>
      <c r="L3210">
        <v>0</v>
      </c>
      <c r="M3210" t="s">
        <v>4810</v>
      </c>
      <c r="N3210" t="s">
        <v>4900</v>
      </c>
      <c r="O3210" t="s">
        <v>4911</v>
      </c>
    </row>
    <row r="3211" spans="1:15" x14ac:dyDescent="0.35">
      <c r="A3211" t="s">
        <v>3165</v>
      </c>
      <c r="B3211">
        <v>53</v>
      </c>
      <c r="C3211" t="s">
        <v>4802</v>
      </c>
      <c r="D3211" t="s">
        <v>13</v>
      </c>
      <c r="E3211">
        <v>50</v>
      </c>
      <c r="F3211">
        <v>28</v>
      </c>
      <c r="G3211" t="s">
        <v>4798</v>
      </c>
      <c r="H3211" t="s">
        <v>4806</v>
      </c>
      <c r="I3211">
        <v>13.99</v>
      </c>
      <c r="J3211">
        <v>4</v>
      </c>
      <c r="K3211">
        <v>5</v>
      </c>
      <c r="L3211">
        <v>1</v>
      </c>
      <c r="M3211" t="s">
        <v>4812</v>
      </c>
      <c r="N3211" t="s">
        <v>4899</v>
      </c>
      <c r="O3211" t="s">
        <v>4910</v>
      </c>
    </row>
    <row r="3212" spans="1:15" x14ac:dyDescent="0.35">
      <c r="A3212" t="s">
        <v>3166</v>
      </c>
      <c r="B3212">
        <v>43</v>
      </c>
      <c r="C3212" t="s">
        <v>4802</v>
      </c>
      <c r="D3212" t="s">
        <v>13</v>
      </c>
      <c r="E3212">
        <v>77</v>
      </c>
      <c r="F3212">
        <v>7</v>
      </c>
      <c r="G3212" t="s">
        <v>4798</v>
      </c>
      <c r="H3212" t="s">
        <v>4805</v>
      </c>
      <c r="I3212">
        <v>13.99</v>
      </c>
      <c r="J3212">
        <v>1</v>
      </c>
      <c r="K3212">
        <v>2.57</v>
      </c>
      <c r="L3212">
        <v>0</v>
      </c>
      <c r="M3212" t="s">
        <v>4811</v>
      </c>
      <c r="N3212" t="s">
        <v>4900</v>
      </c>
      <c r="O3212" t="s">
        <v>4910</v>
      </c>
    </row>
    <row r="3213" spans="1:15" x14ac:dyDescent="0.35">
      <c r="A3213" t="s">
        <v>3167</v>
      </c>
      <c r="B3213">
        <v>55</v>
      </c>
      <c r="C3213" t="s">
        <v>4803</v>
      </c>
      <c r="D3213" t="s">
        <v>15</v>
      </c>
      <c r="E3213">
        <v>97</v>
      </c>
      <c r="F3213">
        <v>36</v>
      </c>
      <c r="G3213" t="s">
        <v>4798</v>
      </c>
      <c r="H3213" t="s">
        <v>4805</v>
      </c>
      <c r="I3213">
        <v>17.989999999999998</v>
      </c>
      <c r="J3213">
        <v>4</v>
      </c>
      <c r="K3213">
        <v>3.23</v>
      </c>
      <c r="L3213">
        <v>1</v>
      </c>
      <c r="M3213" t="s">
        <v>4812</v>
      </c>
      <c r="N3213" t="s">
        <v>4899</v>
      </c>
      <c r="O3213" t="s">
        <v>4911</v>
      </c>
    </row>
    <row r="3214" spans="1:15" x14ac:dyDescent="0.35">
      <c r="A3214" t="s">
        <v>3168</v>
      </c>
      <c r="B3214">
        <v>52</v>
      </c>
      <c r="C3214" t="s">
        <v>4803</v>
      </c>
      <c r="D3214" t="s">
        <v>13</v>
      </c>
      <c r="E3214">
        <v>58</v>
      </c>
      <c r="F3214">
        <v>6</v>
      </c>
      <c r="G3214" t="s">
        <v>4797</v>
      </c>
      <c r="H3214" t="s">
        <v>4804</v>
      </c>
      <c r="I3214">
        <v>13.99</v>
      </c>
      <c r="J3214">
        <v>3</v>
      </c>
      <c r="K3214">
        <v>1.93</v>
      </c>
      <c r="L3214">
        <v>1</v>
      </c>
      <c r="M3214" t="s">
        <v>4812</v>
      </c>
      <c r="N3214" t="s">
        <v>4899</v>
      </c>
      <c r="O3214" t="s">
        <v>4910</v>
      </c>
    </row>
    <row r="3215" spans="1:15" x14ac:dyDescent="0.35">
      <c r="A3215" t="s">
        <v>3169</v>
      </c>
      <c r="B3215">
        <v>28</v>
      </c>
      <c r="C3215" t="s">
        <v>4803</v>
      </c>
      <c r="D3215" t="s">
        <v>14</v>
      </c>
      <c r="E3215">
        <v>17</v>
      </c>
      <c r="F3215">
        <v>19</v>
      </c>
      <c r="G3215" t="s">
        <v>4797</v>
      </c>
      <c r="H3215" t="s">
        <v>4805</v>
      </c>
      <c r="I3215">
        <v>8.99</v>
      </c>
      <c r="J3215">
        <v>2</v>
      </c>
      <c r="K3215">
        <v>0.56999999999999995</v>
      </c>
      <c r="L3215">
        <v>1</v>
      </c>
      <c r="M3215" t="s">
        <v>4810</v>
      </c>
      <c r="N3215" t="s">
        <v>4899</v>
      </c>
      <c r="O3215" t="s">
        <v>4912</v>
      </c>
    </row>
    <row r="3216" spans="1:15" x14ac:dyDescent="0.35">
      <c r="A3216" t="s">
        <v>3170</v>
      </c>
      <c r="B3216">
        <v>28</v>
      </c>
      <c r="C3216" t="s">
        <v>4802</v>
      </c>
      <c r="D3216" t="s">
        <v>13</v>
      </c>
      <c r="E3216">
        <v>58</v>
      </c>
      <c r="F3216">
        <v>24</v>
      </c>
      <c r="G3216" t="s">
        <v>4799</v>
      </c>
      <c r="H3216" t="s">
        <v>4804</v>
      </c>
      <c r="I3216">
        <v>13.99</v>
      </c>
      <c r="J3216">
        <v>2</v>
      </c>
      <c r="K3216">
        <v>1.93</v>
      </c>
      <c r="L3216">
        <v>0</v>
      </c>
      <c r="M3216" t="s">
        <v>4810</v>
      </c>
      <c r="N3216" t="s">
        <v>4900</v>
      </c>
      <c r="O3216" t="s">
        <v>4912</v>
      </c>
    </row>
    <row r="3217" spans="1:15" x14ac:dyDescent="0.35">
      <c r="A3217" t="s">
        <v>3171</v>
      </c>
      <c r="B3217">
        <v>21</v>
      </c>
      <c r="C3217" t="s">
        <v>4802</v>
      </c>
      <c r="D3217" t="s">
        <v>13</v>
      </c>
      <c r="E3217">
        <v>31</v>
      </c>
      <c r="F3217">
        <v>9</v>
      </c>
      <c r="G3217" t="s">
        <v>4797</v>
      </c>
      <c r="H3217" t="s">
        <v>4804</v>
      </c>
      <c r="I3217">
        <v>13.99</v>
      </c>
      <c r="J3217">
        <v>1</v>
      </c>
      <c r="K3217">
        <v>1.03</v>
      </c>
      <c r="L3217">
        <v>0</v>
      </c>
      <c r="M3217" t="s">
        <v>4811</v>
      </c>
      <c r="N3217" t="s">
        <v>4900</v>
      </c>
      <c r="O3217" t="s">
        <v>4912</v>
      </c>
    </row>
    <row r="3218" spans="1:15" x14ac:dyDescent="0.35">
      <c r="A3218" t="s">
        <v>3172</v>
      </c>
      <c r="B3218">
        <v>30</v>
      </c>
      <c r="C3218" t="s">
        <v>4802</v>
      </c>
      <c r="D3218" t="s">
        <v>15</v>
      </c>
      <c r="E3218">
        <v>79</v>
      </c>
      <c r="F3218">
        <v>3</v>
      </c>
      <c r="G3218" t="s">
        <v>4797</v>
      </c>
      <c r="H3218" t="s">
        <v>4805</v>
      </c>
      <c r="I3218">
        <v>17.989999999999998</v>
      </c>
      <c r="J3218">
        <v>3</v>
      </c>
      <c r="K3218">
        <v>2.63</v>
      </c>
      <c r="L3218">
        <v>0</v>
      </c>
      <c r="M3218" t="s">
        <v>4812</v>
      </c>
      <c r="N3218" t="s">
        <v>4900</v>
      </c>
      <c r="O3218" t="s">
        <v>4912</v>
      </c>
    </row>
    <row r="3219" spans="1:15" x14ac:dyDescent="0.35">
      <c r="A3219" t="s">
        <v>3173</v>
      </c>
      <c r="B3219">
        <v>49</v>
      </c>
      <c r="C3219" t="s">
        <v>4802</v>
      </c>
      <c r="D3219" t="s">
        <v>15</v>
      </c>
      <c r="E3219">
        <v>85</v>
      </c>
      <c r="F3219">
        <v>58</v>
      </c>
      <c r="G3219" t="s">
        <v>4797</v>
      </c>
      <c r="H3219" t="s">
        <v>4804</v>
      </c>
      <c r="I3219">
        <v>17.989999999999998</v>
      </c>
      <c r="J3219">
        <v>5</v>
      </c>
      <c r="K3219">
        <v>2.83</v>
      </c>
      <c r="L3219">
        <v>0</v>
      </c>
      <c r="M3219" t="s">
        <v>4812</v>
      </c>
      <c r="N3219" t="s">
        <v>4900</v>
      </c>
      <c r="O3219" t="s">
        <v>4910</v>
      </c>
    </row>
    <row r="3220" spans="1:15" x14ac:dyDescent="0.35">
      <c r="A3220" t="s">
        <v>3174</v>
      </c>
      <c r="B3220">
        <v>45</v>
      </c>
      <c r="C3220" t="s">
        <v>4803</v>
      </c>
      <c r="D3220" t="s">
        <v>13</v>
      </c>
      <c r="E3220">
        <v>51</v>
      </c>
      <c r="F3220">
        <v>59</v>
      </c>
      <c r="G3220" t="s">
        <v>4799</v>
      </c>
      <c r="H3220" t="s">
        <v>4804</v>
      </c>
      <c r="I3220">
        <v>13.99</v>
      </c>
      <c r="J3220">
        <v>4</v>
      </c>
      <c r="K3220">
        <v>1.7</v>
      </c>
      <c r="L3220">
        <v>0</v>
      </c>
      <c r="M3220" t="s">
        <v>4810</v>
      </c>
      <c r="N3220" t="s">
        <v>4900</v>
      </c>
      <c r="O3220" t="s">
        <v>4910</v>
      </c>
    </row>
    <row r="3221" spans="1:15" x14ac:dyDescent="0.35">
      <c r="A3221" t="s">
        <v>3175</v>
      </c>
      <c r="B3221">
        <v>61</v>
      </c>
      <c r="C3221" t="s">
        <v>4803</v>
      </c>
      <c r="D3221" t="s">
        <v>13</v>
      </c>
      <c r="E3221">
        <v>44</v>
      </c>
      <c r="F3221">
        <v>27</v>
      </c>
      <c r="G3221" t="s">
        <v>4799</v>
      </c>
      <c r="H3221" t="s">
        <v>4807</v>
      </c>
      <c r="I3221">
        <v>13.99</v>
      </c>
      <c r="J3221">
        <v>1</v>
      </c>
      <c r="K3221">
        <v>1.47</v>
      </c>
      <c r="L3221">
        <v>0</v>
      </c>
      <c r="M3221" t="s">
        <v>4811</v>
      </c>
      <c r="N3221" t="s">
        <v>4900</v>
      </c>
      <c r="O3221" t="s">
        <v>4911</v>
      </c>
    </row>
    <row r="3222" spans="1:15" x14ac:dyDescent="0.35">
      <c r="A3222" t="s">
        <v>3176</v>
      </c>
      <c r="B3222">
        <v>61</v>
      </c>
      <c r="C3222" t="s">
        <v>4802</v>
      </c>
      <c r="D3222" t="s">
        <v>13</v>
      </c>
      <c r="E3222">
        <v>66</v>
      </c>
      <c r="F3222">
        <v>54</v>
      </c>
      <c r="G3222" t="s">
        <v>4799</v>
      </c>
      <c r="H3222" t="s">
        <v>4804</v>
      </c>
      <c r="I3222">
        <v>13.99</v>
      </c>
      <c r="J3222">
        <v>1</v>
      </c>
      <c r="K3222">
        <v>2.2000000000000002</v>
      </c>
      <c r="L3222">
        <v>0</v>
      </c>
      <c r="M3222" t="s">
        <v>4812</v>
      </c>
      <c r="N3222" t="s">
        <v>4900</v>
      </c>
      <c r="O3222" t="s">
        <v>4911</v>
      </c>
    </row>
    <row r="3223" spans="1:15" x14ac:dyDescent="0.35">
      <c r="A3223" t="s">
        <v>3177</v>
      </c>
      <c r="B3223">
        <v>54</v>
      </c>
      <c r="C3223" t="s">
        <v>4803</v>
      </c>
      <c r="D3223" t="s">
        <v>15</v>
      </c>
      <c r="E3223">
        <v>103</v>
      </c>
      <c r="F3223">
        <v>14</v>
      </c>
      <c r="G3223" t="s">
        <v>4799</v>
      </c>
      <c r="H3223" t="s">
        <v>4804</v>
      </c>
      <c r="I3223">
        <v>17.989999999999998</v>
      </c>
      <c r="J3223">
        <v>4</v>
      </c>
      <c r="K3223">
        <v>3.43</v>
      </c>
      <c r="L3223">
        <v>0</v>
      </c>
      <c r="M3223" t="s">
        <v>4811</v>
      </c>
      <c r="N3223" t="s">
        <v>4900</v>
      </c>
      <c r="O3223" t="s">
        <v>4910</v>
      </c>
    </row>
    <row r="3224" spans="1:15" x14ac:dyDescent="0.35">
      <c r="A3224" t="s">
        <v>3178</v>
      </c>
      <c r="B3224">
        <v>43</v>
      </c>
      <c r="C3224" t="s">
        <v>4803</v>
      </c>
      <c r="D3224" t="s">
        <v>13</v>
      </c>
      <c r="E3224">
        <v>34</v>
      </c>
      <c r="F3224">
        <v>16</v>
      </c>
      <c r="G3224" t="s">
        <v>4799</v>
      </c>
      <c r="H3224" t="s">
        <v>4804</v>
      </c>
      <c r="I3224">
        <v>13.99</v>
      </c>
      <c r="J3224">
        <v>2</v>
      </c>
      <c r="K3224">
        <v>5</v>
      </c>
      <c r="L3224">
        <v>0</v>
      </c>
      <c r="M3224" t="s">
        <v>4808</v>
      </c>
      <c r="N3224" t="s">
        <v>4900</v>
      </c>
      <c r="O3224" t="s">
        <v>4910</v>
      </c>
    </row>
    <row r="3225" spans="1:15" x14ac:dyDescent="0.35">
      <c r="A3225" t="s">
        <v>3179</v>
      </c>
      <c r="B3225">
        <v>26</v>
      </c>
      <c r="C3225" t="s">
        <v>4803</v>
      </c>
      <c r="D3225" t="s">
        <v>13</v>
      </c>
      <c r="E3225">
        <v>43</v>
      </c>
      <c r="F3225">
        <v>51</v>
      </c>
      <c r="G3225" t="s">
        <v>4798</v>
      </c>
      <c r="H3225" t="s">
        <v>4804</v>
      </c>
      <c r="I3225">
        <v>13.99</v>
      </c>
      <c r="J3225">
        <v>2</v>
      </c>
      <c r="K3225">
        <v>1.43</v>
      </c>
      <c r="L3225">
        <v>1</v>
      </c>
      <c r="M3225" t="s">
        <v>4811</v>
      </c>
      <c r="N3225" t="s">
        <v>4899</v>
      </c>
      <c r="O3225" t="s">
        <v>4912</v>
      </c>
    </row>
    <row r="3226" spans="1:15" x14ac:dyDescent="0.35">
      <c r="A3226" t="s">
        <v>3180</v>
      </c>
      <c r="B3226">
        <v>50</v>
      </c>
      <c r="C3226" t="s">
        <v>4802</v>
      </c>
      <c r="D3226" t="s">
        <v>15</v>
      </c>
      <c r="E3226">
        <v>69</v>
      </c>
      <c r="F3226">
        <v>19</v>
      </c>
      <c r="G3226" t="s">
        <v>4798</v>
      </c>
      <c r="H3226" t="s">
        <v>4805</v>
      </c>
      <c r="I3226">
        <v>17.989999999999998</v>
      </c>
      <c r="J3226">
        <v>3</v>
      </c>
      <c r="K3226">
        <v>2.2999999999999998</v>
      </c>
      <c r="L3226">
        <v>0</v>
      </c>
      <c r="M3226" t="s">
        <v>4812</v>
      </c>
      <c r="N3226" t="s">
        <v>4900</v>
      </c>
      <c r="O3226" t="s">
        <v>4910</v>
      </c>
    </row>
    <row r="3227" spans="1:15" x14ac:dyDescent="0.35">
      <c r="A3227" t="s">
        <v>3181</v>
      </c>
      <c r="B3227">
        <v>35</v>
      </c>
      <c r="C3227" t="s">
        <v>4803</v>
      </c>
      <c r="D3227" t="s">
        <v>13</v>
      </c>
      <c r="E3227">
        <v>80</v>
      </c>
      <c r="F3227">
        <v>21</v>
      </c>
      <c r="G3227" t="s">
        <v>4799</v>
      </c>
      <c r="H3227" t="s">
        <v>4805</v>
      </c>
      <c r="I3227">
        <v>13.99</v>
      </c>
      <c r="J3227">
        <v>1</v>
      </c>
      <c r="K3227">
        <v>2.67</v>
      </c>
      <c r="L3227">
        <v>0</v>
      </c>
      <c r="M3227" t="s">
        <v>4811</v>
      </c>
      <c r="N3227" t="s">
        <v>4900</v>
      </c>
      <c r="O3227" t="s">
        <v>4910</v>
      </c>
    </row>
    <row r="3228" spans="1:15" x14ac:dyDescent="0.35">
      <c r="A3228" t="s">
        <v>3182</v>
      </c>
      <c r="B3228">
        <v>23</v>
      </c>
      <c r="C3228" t="s">
        <v>4803</v>
      </c>
      <c r="D3228" t="s">
        <v>14</v>
      </c>
      <c r="E3228">
        <v>34</v>
      </c>
      <c r="F3228">
        <v>32</v>
      </c>
      <c r="G3228" t="s">
        <v>4799</v>
      </c>
      <c r="H3228" t="s">
        <v>4804</v>
      </c>
      <c r="I3228">
        <v>8.99</v>
      </c>
      <c r="J3228">
        <v>2</v>
      </c>
      <c r="K3228">
        <v>1.1299999999999999</v>
      </c>
      <c r="L3228">
        <v>0</v>
      </c>
      <c r="M3228" t="s">
        <v>4810</v>
      </c>
      <c r="N3228" t="s">
        <v>4900</v>
      </c>
      <c r="O3228" t="s">
        <v>4912</v>
      </c>
    </row>
    <row r="3229" spans="1:15" x14ac:dyDescent="0.35">
      <c r="A3229" t="s">
        <v>3183</v>
      </c>
      <c r="B3229">
        <v>20</v>
      </c>
      <c r="C3229" t="s">
        <v>4803</v>
      </c>
      <c r="D3229" t="s">
        <v>13</v>
      </c>
      <c r="E3229">
        <v>60</v>
      </c>
      <c r="F3229">
        <v>49</v>
      </c>
      <c r="G3229" t="s">
        <v>4800</v>
      </c>
      <c r="H3229" t="s">
        <v>4804</v>
      </c>
      <c r="I3229">
        <v>13.99</v>
      </c>
      <c r="J3229">
        <v>4</v>
      </c>
      <c r="K3229">
        <v>2</v>
      </c>
      <c r="L3229">
        <v>0</v>
      </c>
      <c r="M3229" t="s">
        <v>4810</v>
      </c>
      <c r="N3229" t="s">
        <v>4900</v>
      </c>
      <c r="O3229" t="s">
        <v>4912</v>
      </c>
    </row>
    <row r="3230" spans="1:15" x14ac:dyDescent="0.35">
      <c r="A3230" t="s">
        <v>3184</v>
      </c>
      <c r="B3230">
        <v>39</v>
      </c>
      <c r="C3230" t="s">
        <v>4803</v>
      </c>
      <c r="D3230" t="s">
        <v>13</v>
      </c>
      <c r="E3230">
        <v>62</v>
      </c>
      <c r="F3230">
        <v>60</v>
      </c>
      <c r="G3230" t="s">
        <v>4797</v>
      </c>
      <c r="H3230" t="s">
        <v>4804</v>
      </c>
      <c r="I3230">
        <v>13.99</v>
      </c>
      <c r="J3230">
        <v>1</v>
      </c>
      <c r="K3230">
        <v>2.0699999999999998</v>
      </c>
      <c r="L3230">
        <v>0</v>
      </c>
      <c r="M3230" t="s">
        <v>4810</v>
      </c>
      <c r="N3230" t="s">
        <v>4900</v>
      </c>
      <c r="O3230" t="s">
        <v>4910</v>
      </c>
    </row>
    <row r="3231" spans="1:15" x14ac:dyDescent="0.35">
      <c r="A3231" t="s">
        <v>3185</v>
      </c>
      <c r="B3231">
        <v>54</v>
      </c>
      <c r="C3231" t="s">
        <v>4802</v>
      </c>
      <c r="D3231" t="s">
        <v>13</v>
      </c>
      <c r="E3231">
        <v>51</v>
      </c>
      <c r="F3231">
        <v>59</v>
      </c>
      <c r="G3231" t="s">
        <v>4798</v>
      </c>
      <c r="H3231" t="s">
        <v>4805</v>
      </c>
      <c r="I3231">
        <v>13.99</v>
      </c>
      <c r="J3231">
        <v>2</v>
      </c>
      <c r="K3231">
        <v>2.0299999999999998</v>
      </c>
      <c r="L3231">
        <v>0</v>
      </c>
      <c r="M3231" t="s">
        <v>4812</v>
      </c>
      <c r="N3231" t="s">
        <v>4900</v>
      </c>
      <c r="O3231" t="s">
        <v>4910</v>
      </c>
    </row>
    <row r="3232" spans="1:15" x14ac:dyDescent="0.35">
      <c r="A3232" t="s">
        <v>3186</v>
      </c>
      <c r="B3232">
        <v>54</v>
      </c>
      <c r="C3232" t="s">
        <v>4803</v>
      </c>
      <c r="D3232" t="s">
        <v>13</v>
      </c>
      <c r="E3232">
        <v>73</v>
      </c>
      <c r="F3232">
        <v>38</v>
      </c>
      <c r="G3232" t="s">
        <v>4799</v>
      </c>
      <c r="H3232" t="s">
        <v>4806</v>
      </c>
      <c r="I3232">
        <v>13.99</v>
      </c>
      <c r="J3232">
        <v>4</v>
      </c>
      <c r="K3232">
        <v>2.4300000000000002</v>
      </c>
      <c r="L3232">
        <v>1</v>
      </c>
      <c r="M3232" t="s">
        <v>4812</v>
      </c>
      <c r="N3232" t="s">
        <v>4899</v>
      </c>
      <c r="O3232" t="s">
        <v>4910</v>
      </c>
    </row>
    <row r="3233" spans="1:15" x14ac:dyDescent="0.35">
      <c r="A3233" t="s">
        <v>3187</v>
      </c>
      <c r="B3233">
        <v>41</v>
      </c>
      <c r="C3233" t="s">
        <v>4803</v>
      </c>
      <c r="D3233" t="s">
        <v>13</v>
      </c>
      <c r="E3233">
        <v>42</v>
      </c>
      <c r="F3233">
        <v>4</v>
      </c>
      <c r="G3233" t="s">
        <v>4798</v>
      </c>
      <c r="H3233" t="s">
        <v>4804</v>
      </c>
      <c r="I3233">
        <v>13.99</v>
      </c>
      <c r="J3233">
        <v>3</v>
      </c>
      <c r="K3233">
        <v>1.4</v>
      </c>
      <c r="L3233">
        <v>0</v>
      </c>
      <c r="M3233" t="s">
        <v>4810</v>
      </c>
      <c r="N3233" t="s">
        <v>4900</v>
      </c>
      <c r="O3233" t="s">
        <v>4910</v>
      </c>
    </row>
    <row r="3234" spans="1:15" x14ac:dyDescent="0.35">
      <c r="A3234" t="s">
        <v>3188</v>
      </c>
      <c r="B3234">
        <v>32</v>
      </c>
      <c r="C3234" t="s">
        <v>4802</v>
      </c>
      <c r="D3234" t="s">
        <v>13</v>
      </c>
      <c r="E3234">
        <v>74</v>
      </c>
      <c r="F3234">
        <v>52</v>
      </c>
      <c r="G3234" t="s">
        <v>4797</v>
      </c>
      <c r="H3234" t="s">
        <v>4806</v>
      </c>
      <c r="I3234">
        <v>13.99</v>
      </c>
      <c r="J3234">
        <v>4</v>
      </c>
      <c r="K3234">
        <v>2.4700000000000002</v>
      </c>
      <c r="L3234">
        <v>0</v>
      </c>
      <c r="M3234" t="s">
        <v>4811</v>
      </c>
      <c r="N3234" t="s">
        <v>4900</v>
      </c>
      <c r="O3234" t="s">
        <v>4912</v>
      </c>
    </row>
    <row r="3235" spans="1:15" x14ac:dyDescent="0.35">
      <c r="A3235" t="s">
        <v>3189</v>
      </c>
      <c r="B3235">
        <v>21</v>
      </c>
      <c r="C3235" t="s">
        <v>4802</v>
      </c>
      <c r="D3235" t="s">
        <v>15</v>
      </c>
      <c r="E3235">
        <v>53</v>
      </c>
      <c r="F3235">
        <v>0</v>
      </c>
      <c r="G3235" t="s">
        <v>4798</v>
      </c>
      <c r="H3235" t="s">
        <v>4804</v>
      </c>
      <c r="I3235">
        <v>17.989999999999998</v>
      </c>
      <c r="J3235">
        <v>4</v>
      </c>
      <c r="K3235">
        <v>1.77</v>
      </c>
      <c r="L3235">
        <v>0</v>
      </c>
      <c r="M3235" t="s">
        <v>4812</v>
      </c>
      <c r="N3235" t="s">
        <v>4900</v>
      </c>
      <c r="O3235" t="s">
        <v>4912</v>
      </c>
    </row>
    <row r="3236" spans="1:15" x14ac:dyDescent="0.35">
      <c r="A3236" t="s">
        <v>3190</v>
      </c>
      <c r="B3236">
        <v>48</v>
      </c>
      <c r="C3236" t="s">
        <v>4802</v>
      </c>
      <c r="D3236" t="s">
        <v>15</v>
      </c>
      <c r="E3236">
        <v>61</v>
      </c>
      <c r="F3236">
        <v>48</v>
      </c>
      <c r="G3236" t="s">
        <v>4799</v>
      </c>
      <c r="H3236" t="s">
        <v>4805</v>
      </c>
      <c r="I3236">
        <v>17.989999999999998</v>
      </c>
      <c r="J3236">
        <v>2</v>
      </c>
      <c r="K3236">
        <v>2.0299999999999998</v>
      </c>
      <c r="L3236">
        <v>0</v>
      </c>
      <c r="M3236" t="s">
        <v>4809</v>
      </c>
      <c r="N3236" t="s">
        <v>4900</v>
      </c>
      <c r="O3236" t="s">
        <v>4910</v>
      </c>
    </row>
    <row r="3237" spans="1:15" x14ac:dyDescent="0.35">
      <c r="A3237" t="s">
        <v>3191</v>
      </c>
      <c r="B3237">
        <v>29</v>
      </c>
      <c r="C3237" t="s">
        <v>4803</v>
      </c>
      <c r="D3237" t="s">
        <v>13</v>
      </c>
      <c r="E3237">
        <v>50</v>
      </c>
      <c r="F3237">
        <v>7</v>
      </c>
      <c r="G3237" t="s">
        <v>4797</v>
      </c>
      <c r="H3237" t="s">
        <v>4807</v>
      </c>
      <c r="I3237">
        <v>13.99</v>
      </c>
      <c r="J3237">
        <v>4</v>
      </c>
      <c r="K3237">
        <v>1.67</v>
      </c>
      <c r="L3237">
        <v>0</v>
      </c>
      <c r="M3237" t="s">
        <v>4810</v>
      </c>
      <c r="N3237" t="s">
        <v>4900</v>
      </c>
      <c r="O3237" t="s">
        <v>4912</v>
      </c>
    </row>
    <row r="3238" spans="1:15" x14ac:dyDescent="0.35">
      <c r="A3238" t="s">
        <v>3192</v>
      </c>
      <c r="B3238">
        <v>29</v>
      </c>
      <c r="C3238" t="s">
        <v>4803</v>
      </c>
      <c r="D3238" t="s">
        <v>13</v>
      </c>
      <c r="E3238">
        <v>42</v>
      </c>
      <c r="F3238">
        <v>9</v>
      </c>
      <c r="G3238" t="s">
        <v>4798</v>
      </c>
      <c r="H3238" t="s">
        <v>4806</v>
      </c>
      <c r="I3238">
        <v>13.99</v>
      </c>
      <c r="J3238">
        <v>2</v>
      </c>
      <c r="K3238">
        <v>1.4</v>
      </c>
      <c r="L3238">
        <v>0</v>
      </c>
      <c r="M3238" t="s">
        <v>4812</v>
      </c>
      <c r="N3238" t="s">
        <v>4900</v>
      </c>
      <c r="O3238" t="s">
        <v>4912</v>
      </c>
    </row>
    <row r="3239" spans="1:15" x14ac:dyDescent="0.35">
      <c r="A3239" t="s">
        <v>3193</v>
      </c>
      <c r="B3239">
        <v>26</v>
      </c>
      <c r="C3239" t="s">
        <v>4802</v>
      </c>
      <c r="D3239" t="s">
        <v>13</v>
      </c>
      <c r="E3239">
        <v>71</v>
      </c>
      <c r="F3239">
        <v>15</v>
      </c>
      <c r="G3239" t="s">
        <v>4798</v>
      </c>
      <c r="H3239" t="s">
        <v>4804</v>
      </c>
      <c r="I3239">
        <v>13.99</v>
      </c>
      <c r="J3239">
        <v>1</v>
      </c>
      <c r="K3239">
        <v>2.37</v>
      </c>
      <c r="L3239">
        <v>0</v>
      </c>
      <c r="M3239" t="s">
        <v>4809</v>
      </c>
      <c r="N3239" t="s">
        <v>4900</v>
      </c>
      <c r="O3239" t="s">
        <v>4912</v>
      </c>
    </row>
    <row r="3240" spans="1:15" x14ac:dyDescent="0.35">
      <c r="A3240" t="s">
        <v>3194</v>
      </c>
      <c r="B3240">
        <v>65</v>
      </c>
      <c r="C3240" t="s">
        <v>4803</v>
      </c>
      <c r="D3240" t="s">
        <v>13</v>
      </c>
      <c r="E3240">
        <v>31</v>
      </c>
      <c r="F3240">
        <v>49</v>
      </c>
      <c r="G3240" t="s">
        <v>4800</v>
      </c>
      <c r="H3240" t="s">
        <v>4804</v>
      </c>
      <c r="I3240">
        <v>13.99</v>
      </c>
      <c r="J3240">
        <v>1</v>
      </c>
      <c r="K3240">
        <v>2.0299999999999998</v>
      </c>
      <c r="L3240">
        <v>0</v>
      </c>
      <c r="M3240" t="s">
        <v>4808</v>
      </c>
      <c r="N3240" t="s">
        <v>4900</v>
      </c>
      <c r="O3240" t="s">
        <v>4911</v>
      </c>
    </row>
    <row r="3241" spans="1:15" x14ac:dyDescent="0.35">
      <c r="A3241" t="s">
        <v>3195</v>
      </c>
      <c r="B3241">
        <v>25</v>
      </c>
      <c r="C3241" t="s">
        <v>4802</v>
      </c>
      <c r="D3241" t="s">
        <v>13</v>
      </c>
      <c r="E3241">
        <v>74</v>
      </c>
      <c r="F3241">
        <v>58</v>
      </c>
      <c r="G3241" t="s">
        <v>4800</v>
      </c>
      <c r="H3241" t="s">
        <v>4806</v>
      </c>
      <c r="I3241">
        <v>13.99</v>
      </c>
      <c r="J3241">
        <v>4</v>
      </c>
      <c r="K3241">
        <v>2.4700000000000002</v>
      </c>
      <c r="L3241">
        <v>1</v>
      </c>
      <c r="M3241" t="s">
        <v>4808</v>
      </c>
      <c r="N3241" t="s">
        <v>4899</v>
      </c>
      <c r="O3241" t="s">
        <v>4912</v>
      </c>
    </row>
    <row r="3242" spans="1:15" x14ac:dyDescent="0.35">
      <c r="A3242" t="s">
        <v>3196</v>
      </c>
      <c r="B3242">
        <v>58</v>
      </c>
      <c r="C3242" t="s">
        <v>4803</v>
      </c>
      <c r="D3242" t="s">
        <v>13</v>
      </c>
      <c r="E3242">
        <v>67</v>
      </c>
      <c r="F3242">
        <v>21</v>
      </c>
      <c r="G3242" t="s">
        <v>4797</v>
      </c>
      <c r="H3242" t="s">
        <v>4804</v>
      </c>
      <c r="I3242">
        <v>13.99</v>
      </c>
      <c r="J3242">
        <v>2</v>
      </c>
      <c r="K3242">
        <v>2.23</v>
      </c>
      <c r="L3242">
        <v>1</v>
      </c>
      <c r="M3242" t="s">
        <v>4810</v>
      </c>
      <c r="N3242" t="s">
        <v>4899</v>
      </c>
      <c r="O3242" t="s">
        <v>4911</v>
      </c>
    </row>
    <row r="3243" spans="1:15" x14ac:dyDescent="0.35">
      <c r="A3243" t="s">
        <v>3197</v>
      </c>
      <c r="B3243">
        <v>65</v>
      </c>
      <c r="C3243" t="s">
        <v>4802</v>
      </c>
      <c r="D3243" t="s">
        <v>13</v>
      </c>
      <c r="E3243">
        <v>54</v>
      </c>
      <c r="F3243">
        <v>21</v>
      </c>
      <c r="G3243" t="s">
        <v>4799</v>
      </c>
      <c r="H3243" t="s">
        <v>4804</v>
      </c>
      <c r="I3243">
        <v>13.99</v>
      </c>
      <c r="J3243">
        <v>3</v>
      </c>
      <c r="K3243">
        <v>1.8</v>
      </c>
      <c r="L3243">
        <v>0</v>
      </c>
      <c r="M3243" t="s">
        <v>4812</v>
      </c>
      <c r="N3243" t="s">
        <v>4900</v>
      </c>
      <c r="O3243" t="s">
        <v>4911</v>
      </c>
    </row>
    <row r="3244" spans="1:15" x14ac:dyDescent="0.35">
      <c r="A3244" t="s">
        <v>3198</v>
      </c>
      <c r="B3244">
        <v>51</v>
      </c>
      <c r="C3244" t="s">
        <v>4802</v>
      </c>
      <c r="D3244" t="s">
        <v>13</v>
      </c>
      <c r="E3244">
        <v>47</v>
      </c>
      <c r="F3244">
        <v>22</v>
      </c>
      <c r="G3244" t="s">
        <v>4799</v>
      </c>
      <c r="H3244" t="s">
        <v>4805</v>
      </c>
      <c r="I3244">
        <v>13.99</v>
      </c>
      <c r="J3244">
        <v>1</v>
      </c>
      <c r="K3244">
        <v>1.57</v>
      </c>
      <c r="L3244">
        <v>1</v>
      </c>
      <c r="M3244" t="s">
        <v>4809</v>
      </c>
      <c r="N3244" t="s">
        <v>4899</v>
      </c>
      <c r="O3244" t="s">
        <v>4910</v>
      </c>
    </row>
    <row r="3245" spans="1:15" x14ac:dyDescent="0.35">
      <c r="A3245" t="s">
        <v>3199</v>
      </c>
      <c r="B3245">
        <v>49</v>
      </c>
      <c r="C3245" t="s">
        <v>4803</v>
      </c>
      <c r="D3245" t="s">
        <v>13</v>
      </c>
      <c r="E3245">
        <v>38</v>
      </c>
      <c r="F3245">
        <v>58</v>
      </c>
      <c r="G3245" t="s">
        <v>4799</v>
      </c>
      <c r="H3245" t="s">
        <v>4805</v>
      </c>
      <c r="I3245">
        <v>13.99</v>
      </c>
      <c r="J3245">
        <v>2</v>
      </c>
      <c r="K3245">
        <v>1.27</v>
      </c>
      <c r="L3245">
        <v>0</v>
      </c>
      <c r="M3245" t="s">
        <v>4808</v>
      </c>
      <c r="N3245" t="s">
        <v>4900</v>
      </c>
      <c r="O3245" t="s">
        <v>4910</v>
      </c>
    </row>
    <row r="3246" spans="1:15" x14ac:dyDescent="0.35">
      <c r="A3246" t="s">
        <v>3200</v>
      </c>
      <c r="B3246">
        <v>41</v>
      </c>
      <c r="C3246" t="s">
        <v>4802</v>
      </c>
      <c r="D3246" t="s">
        <v>13</v>
      </c>
      <c r="E3246">
        <v>52</v>
      </c>
      <c r="F3246">
        <v>50</v>
      </c>
      <c r="G3246" t="s">
        <v>4798</v>
      </c>
      <c r="H3246" t="s">
        <v>4806</v>
      </c>
      <c r="I3246">
        <v>13.99</v>
      </c>
      <c r="J3246">
        <v>2</v>
      </c>
      <c r="K3246">
        <v>1.73</v>
      </c>
      <c r="L3246">
        <v>1</v>
      </c>
      <c r="M3246" t="s">
        <v>4811</v>
      </c>
      <c r="N3246" t="s">
        <v>4899</v>
      </c>
      <c r="O3246" t="s">
        <v>4910</v>
      </c>
    </row>
    <row r="3247" spans="1:15" x14ac:dyDescent="0.35">
      <c r="A3247" t="s">
        <v>3201</v>
      </c>
      <c r="B3247">
        <v>20</v>
      </c>
      <c r="C3247" t="s">
        <v>4803</v>
      </c>
      <c r="D3247" t="s">
        <v>13</v>
      </c>
      <c r="E3247">
        <v>59</v>
      </c>
      <c r="F3247">
        <v>56</v>
      </c>
      <c r="G3247" t="s">
        <v>4798</v>
      </c>
      <c r="H3247" t="s">
        <v>4805</v>
      </c>
      <c r="I3247">
        <v>13.99</v>
      </c>
      <c r="J3247">
        <v>4</v>
      </c>
      <c r="K3247">
        <v>1.97</v>
      </c>
      <c r="L3247">
        <v>0</v>
      </c>
      <c r="M3247" t="s">
        <v>4810</v>
      </c>
      <c r="N3247" t="s">
        <v>4900</v>
      </c>
      <c r="O3247" t="s">
        <v>4912</v>
      </c>
    </row>
    <row r="3248" spans="1:15" x14ac:dyDescent="0.35">
      <c r="A3248" t="s">
        <v>3202</v>
      </c>
      <c r="B3248">
        <v>51</v>
      </c>
      <c r="C3248" t="s">
        <v>4802</v>
      </c>
      <c r="D3248" t="s">
        <v>13</v>
      </c>
      <c r="E3248">
        <v>36</v>
      </c>
      <c r="F3248">
        <v>28</v>
      </c>
      <c r="G3248" t="s">
        <v>4799</v>
      </c>
      <c r="H3248" t="s">
        <v>4804</v>
      </c>
      <c r="I3248">
        <v>13.99</v>
      </c>
      <c r="J3248">
        <v>4</v>
      </c>
      <c r="K3248">
        <v>1.2</v>
      </c>
      <c r="L3248">
        <v>0</v>
      </c>
      <c r="M3248" t="s">
        <v>4810</v>
      </c>
      <c r="N3248" t="s">
        <v>4900</v>
      </c>
      <c r="O3248" t="s">
        <v>4910</v>
      </c>
    </row>
    <row r="3249" spans="1:15" x14ac:dyDescent="0.35">
      <c r="A3249" t="s">
        <v>3203</v>
      </c>
      <c r="B3249">
        <v>32</v>
      </c>
      <c r="C3249" t="s">
        <v>4802</v>
      </c>
      <c r="D3249" t="s">
        <v>15</v>
      </c>
      <c r="E3249">
        <v>59</v>
      </c>
      <c r="F3249">
        <v>3</v>
      </c>
      <c r="G3249" t="s">
        <v>4800</v>
      </c>
      <c r="H3249" t="s">
        <v>4805</v>
      </c>
      <c r="I3249">
        <v>17.989999999999998</v>
      </c>
      <c r="J3249">
        <v>3</v>
      </c>
      <c r="K3249">
        <v>1.97</v>
      </c>
      <c r="L3249">
        <v>0</v>
      </c>
      <c r="M3249" t="s">
        <v>4810</v>
      </c>
      <c r="N3249" t="s">
        <v>4900</v>
      </c>
      <c r="O3249" t="s">
        <v>4912</v>
      </c>
    </row>
    <row r="3250" spans="1:15" x14ac:dyDescent="0.35">
      <c r="A3250" t="s">
        <v>3204</v>
      </c>
      <c r="B3250">
        <v>52</v>
      </c>
      <c r="C3250" t="s">
        <v>4802</v>
      </c>
      <c r="D3250" t="s">
        <v>13</v>
      </c>
      <c r="E3250">
        <v>76</v>
      </c>
      <c r="F3250">
        <v>52</v>
      </c>
      <c r="G3250" t="s">
        <v>4797</v>
      </c>
      <c r="H3250" t="s">
        <v>4804</v>
      </c>
      <c r="I3250">
        <v>13.99</v>
      </c>
      <c r="J3250">
        <v>1</v>
      </c>
      <c r="K3250">
        <v>2.5299999999999998</v>
      </c>
      <c r="L3250">
        <v>0</v>
      </c>
      <c r="M3250" t="s">
        <v>4808</v>
      </c>
      <c r="N3250" t="s">
        <v>4900</v>
      </c>
      <c r="O3250" t="s">
        <v>4910</v>
      </c>
    </row>
    <row r="3251" spans="1:15" x14ac:dyDescent="0.35">
      <c r="A3251" t="s">
        <v>3205</v>
      </c>
      <c r="B3251">
        <v>37</v>
      </c>
      <c r="C3251" t="s">
        <v>4802</v>
      </c>
      <c r="D3251" t="s">
        <v>14</v>
      </c>
      <c r="E3251">
        <v>21</v>
      </c>
      <c r="F3251">
        <v>41</v>
      </c>
      <c r="G3251" t="s">
        <v>4797</v>
      </c>
      <c r="H3251" t="s">
        <v>4805</v>
      </c>
      <c r="I3251">
        <v>8.99</v>
      </c>
      <c r="J3251">
        <v>1</v>
      </c>
      <c r="K3251">
        <v>0.7</v>
      </c>
      <c r="L3251">
        <v>1</v>
      </c>
      <c r="M3251" t="s">
        <v>4809</v>
      </c>
      <c r="N3251" t="s">
        <v>4899</v>
      </c>
      <c r="O3251" t="s">
        <v>4910</v>
      </c>
    </row>
    <row r="3252" spans="1:15" x14ac:dyDescent="0.35">
      <c r="A3252" t="s">
        <v>3206</v>
      </c>
      <c r="B3252">
        <v>29</v>
      </c>
      <c r="C3252" t="s">
        <v>4803</v>
      </c>
      <c r="D3252" t="s">
        <v>13</v>
      </c>
      <c r="E3252">
        <v>37</v>
      </c>
      <c r="F3252">
        <v>999</v>
      </c>
      <c r="G3252" t="s">
        <v>4798</v>
      </c>
      <c r="H3252" t="s">
        <v>4805</v>
      </c>
      <c r="I3252">
        <v>13.99</v>
      </c>
      <c r="J3252">
        <v>2</v>
      </c>
      <c r="K3252">
        <v>1.23</v>
      </c>
      <c r="L3252">
        <v>0</v>
      </c>
      <c r="M3252" t="s">
        <v>4808</v>
      </c>
      <c r="N3252" t="s">
        <v>4900</v>
      </c>
      <c r="O3252" t="s">
        <v>4912</v>
      </c>
    </row>
    <row r="3253" spans="1:15" x14ac:dyDescent="0.35">
      <c r="A3253" t="s">
        <v>3207</v>
      </c>
      <c r="B3253">
        <v>26</v>
      </c>
      <c r="C3253" t="s">
        <v>4802</v>
      </c>
      <c r="D3253" t="s">
        <v>13</v>
      </c>
      <c r="E3253">
        <v>45</v>
      </c>
      <c r="F3253">
        <v>41</v>
      </c>
      <c r="G3253" t="s">
        <v>4798</v>
      </c>
      <c r="H3253" t="s">
        <v>4804</v>
      </c>
      <c r="I3253">
        <v>13.99</v>
      </c>
      <c r="J3253">
        <v>3</v>
      </c>
      <c r="K3253">
        <v>2.0299999999999998</v>
      </c>
      <c r="L3253">
        <v>0</v>
      </c>
      <c r="M3253" t="s">
        <v>4809</v>
      </c>
      <c r="N3253" t="s">
        <v>4900</v>
      </c>
      <c r="O3253" t="s">
        <v>4912</v>
      </c>
    </row>
    <row r="3254" spans="1:15" x14ac:dyDescent="0.35">
      <c r="A3254" t="s">
        <v>3208</v>
      </c>
      <c r="B3254">
        <v>26</v>
      </c>
      <c r="C3254" t="s">
        <v>4803</v>
      </c>
      <c r="D3254" t="s">
        <v>13</v>
      </c>
      <c r="E3254">
        <v>47</v>
      </c>
      <c r="F3254">
        <v>52</v>
      </c>
      <c r="G3254" t="s">
        <v>4798</v>
      </c>
      <c r="H3254" t="s">
        <v>4805</v>
      </c>
      <c r="I3254">
        <v>13.99</v>
      </c>
      <c r="J3254">
        <v>1</v>
      </c>
      <c r="K3254">
        <v>1.57</v>
      </c>
      <c r="L3254">
        <v>0</v>
      </c>
      <c r="M3254" t="s">
        <v>4812</v>
      </c>
      <c r="N3254" t="s">
        <v>4900</v>
      </c>
      <c r="O3254" t="s">
        <v>4912</v>
      </c>
    </row>
    <row r="3255" spans="1:15" x14ac:dyDescent="0.35">
      <c r="A3255" t="s">
        <v>3209</v>
      </c>
      <c r="B3255">
        <v>57</v>
      </c>
      <c r="C3255" t="s">
        <v>4802</v>
      </c>
      <c r="D3255" t="s">
        <v>14</v>
      </c>
      <c r="E3255">
        <v>18</v>
      </c>
      <c r="F3255">
        <v>49</v>
      </c>
      <c r="G3255" t="s">
        <v>4799</v>
      </c>
      <c r="H3255" t="s">
        <v>4804</v>
      </c>
      <c r="I3255">
        <v>8.99</v>
      </c>
      <c r="J3255">
        <v>1</v>
      </c>
      <c r="K3255">
        <v>0.6</v>
      </c>
      <c r="L3255">
        <v>1</v>
      </c>
      <c r="M3255" t="s">
        <v>4811</v>
      </c>
      <c r="N3255" t="s">
        <v>4899</v>
      </c>
      <c r="O3255" t="s">
        <v>4911</v>
      </c>
    </row>
    <row r="3256" spans="1:15" x14ac:dyDescent="0.35">
      <c r="A3256" t="s">
        <v>3210</v>
      </c>
      <c r="B3256">
        <v>18</v>
      </c>
      <c r="C3256" t="s">
        <v>4802</v>
      </c>
      <c r="D3256" t="s">
        <v>13</v>
      </c>
      <c r="E3256">
        <v>32</v>
      </c>
      <c r="F3256">
        <v>30</v>
      </c>
      <c r="G3256" t="s">
        <v>4799</v>
      </c>
      <c r="H3256" t="s">
        <v>4804</v>
      </c>
      <c r="I3256">
        <v>13.99</v>
      </c>
      <c r="J3256">
        <v>1</v>
      </c>
      <c r="K3256">
        <v>1.07</v>
      </c>
      <c r="L3256">
        <v>0</v>
      </c>
      <c r="M3256" t="s">
        <v>4810</v>
      </c>
      <c r="N3256" t="s">
        <v>4900</v>
      </c>
      <c r="O3256" t="s">
        <v>4912</v>
      </c>
    </row>
    <row r="3257" spans="1:15" x14ac:dyDescent="0.35">
      <c r="A3257" t="s">
        <v>3211</v>
      </c>
      <c r="B3257">
        <v>25</v>
      </c>
      <c r="C3257" t="s">
        <v>4802</v>
      </c>
      <c r="D3257" t="s">
        <v>15</v>
      </c>
      <c r="E3257">
        <v>94</v>
      </c>
      <c r="F3257">
        <v>37</v>
      </c>
      <c r="G3257" t="s">
        <v>4797</v>
      </c>
      <c r="H3257" t="s">
        <v>4804</v>
      </c>
      <c r="I3257">
        <v>17.989999999999998</v>
      </c>
      <c r="J3257">
        <v>4</v>
      </c>
      <c r="K3257">
        <v>2.0299999999999998</v>
      </c>
      <c r="L3257">
        <v>0</v>
      </c>
      <c r="M3257" t="s">
        <v>4810</v>
      </c>
      <c r="N3257" t="s">
        <v>4900</v>
      </c>
      <c r="O3257" t="s">
        <v>4912</v>
      </c>
    </row>
    <row r="3258" spans="1:15" x14ac:dyDescent="0.35">
      <c r="A3258" t="s">
        <v>3212</v>
      </c>
      <c r="B3258">
        <v>26</v>
      </c>
      <c r="C3258" t="s">
        <v>4802</v>
      </c>
      <c r="D3258" t="s">
        <v>13</v>
      </c>
      <c r="E3258">
        <v>41</v>
      </c>
      <c r="F3258">
        <v>46</v>
      </c>
      <c r="G3258" t="s">
        <v>4798</v>
      </c>
      <c r="H3258" t="s">
        <v>4806</v>
      </c>
      <c r="I3258">
        <v>13.99</v>
      </c>
      <c r="J3258">
        <v>3</v>
      </c>
      <c r="K3258">
        <v>1.37</v>
      </c>
      <c r="L3258">
        <v>0</v>
      </c>
      <c r="M3258" t="s">
        <v>4812</v>
      </c>
      <c r="N3258" t="s">
        <v>4900</v>
      </c>
      <c r="O3258" t="s">
        <v>4912</v>
      </c>
    </row>
    <row r="3259" spans="1:15" x14ac:dyDescent="0.35">
      <c r="A3259" t="s">
        <v>3213</v>
      </c>
      <c r="B3259">
        <v>58</v>
      </c>
      <c r="C3259" t="s">
        <v>4803</v>
      </c>
      <c r="D3259" t="s">
        <v>13</v>
      </c>
      <c r="E3259">
        <v>32</v>
      </c>
      <c r="F3259">
        <v>51</v>
      </c>
      <c r="G3259" t="s">
        <v>4799</v>
      </c>
      <c r="H3259" t="s">
        <v>4805</v>
      </c>
      <c r="I3259">
        <v>13.99</v>
      </c>
      <c r="J3259">
        <v>3</v>
      </c>
      <c r="K3259">
        <v>1.07</v>
      </c>
      <c r="L3259">
        <v>1</v>
      </c>
      <c r="M3259" t="s">
        <v>4811</v>
      </c>
      <c r="N3259" t="s">
        <v>4899</v>
      </c>
      <c r="O3259" t="s">
        <v>4911</v>
      </c>
    </row>
    <row r="3260" spans="1:15" x14ac:dyDescent="0.35">
      <c r="A3260" t="s">
        <v>3214</v>
      </c>
      <c r="B3260">
        <v>54</v>
      </c>
      <c r="C3260" t="s">
        <v>4803</v>
      </c>
      <c r="D3260" t="s">
        <v>13</v>
      </c>
      <c r="E3260">
        <v>55</v>
      </c>
      <c r="F3260">
        <v>6</v>
      </c>
      <c r="G3260" t="s">
        <v>4798</v>
      </c>
      <c r="H3260" t="s">
        <v>4804</v>
      </c>
      <c r="I3260">
        <v>13.99</v>
      </c>
      <c r="J3260">
        <v>1</v>
      </c>
      <c r="K3260">
        <v>1.83</v>
      </c>
      <c r="L3260">
        <v>0</v>
      </c>
      <c r="M3260" t="s">
        <v>4811</v>
      </c>
      <c r="N3260" t="s">
        <v>4900</v>
      </c>
      <c r="O3260" t="s">
        <v>4910</v>
      </c>
    </row>
    <row r="3261" spans="1:15" x14ac:dyDescent="0.35">
      <c r="A3261" t="s">
        <v>3215</v>
      </c>
      <c r="B3261">
        <v>47</v>
      </c>
      <c r="C3261" t="s">
        <v>4803</v>
      </c>
      <c r="D3261" t="s">
        <v>13</v>
      </c>
      <c r="E3261">
        <v>76</v>
      </c>
      <c r="F3261">
        <v>39</v>
      </c>
      <c r="G3261" t="s">
        <v>4797</v>
      </c>
      <c r="H3261" t="s">
        <v>4805</v>
      </c>
      <c r="I3261">
        <v>13.99</v>
      </c>
      <c r="J3261">
        <v>3</v>
      </c>
      <c r="K3261">
        <v>2.5299999999999998</v>
      </c>
      <c r="L3261">
        <v>1</v>
      </c>
      <c r="M3261" t="s">
        <v>4809</v>
      </c>
      <c r="N3261" t="s">
        <v>4899</v>
      </c>
      <c r="O3261" t="s">
        <v>4910</v>
      </c>
    </row>
    <row r="3262" spans="1:15" x14ac:dyDescent="0.35">
      <c r="A3262" t="s">
        <v>3216</v>
      </c>
      <c r="B3262">
        <v>57</v>
      </c>
      <c r="C3262" t="s">
        <v>4802</v>
      </c>
      <c r="D3262" t="s">
        <v>13</v>
      </c>
      <c r="E3262">
        <v>57</v>
      </c>
      <c r="F3262">
        <v>45</v>
      </c>
      <c r="G3262" t="s">
        <v>4799</v>
      </c>
      <c r="H3262" t="s">
        <v>4804</v>
      </c>
      <c r="I3262">
        <v>13.99</v>
      </c>
      <c r="J3262">
        <v>3</v>
      </c>
      <c r="K3262">
        <v>1.9</v>
      </c>
      <c r="L3262">
        <v>0</v>
      </c>
      <c r="M3262" t="s">
        <v>4808</v>
      </c>
      <c r="N3262" t="s">
        <v>4900</v>
      </c>
      <c r="O3262" t="s">
        <v>4911</v>
      </c>
    </row>
    <row r="3263" spans="1:15" x14ac:dyDescent="0.35">
      <c r="A3263" t="s">
        <v>3217</v>
      </c>
      <c r="B3263">
        <v>27</v>
      </c>
      <c r="C3263" t="s">
        <v>4803</v>
      </c>
      <c r="D3263" t="s">
        <v>15</v>
      </c>
      <c r="E3263">
        <v>110</v>
      </c>
      <c r="F3263">
        <v>9</v>
      </c>
      <c r="G3263" t="s">
        <v>4798</v>
      </c>
      <c r="H3263" t="s">
        <v>4804</v>
      </c>
      <c r="I3263">
        <v>17.989999999999998</v>
      </c>
      <c r="J3263">
        <v>3</v>
      </c>
      <c r="K3263">
        <v>3.67</v>
      </c>
      <c r="L3263">
        <v>1</v>
      </c>
      <c r="M3263" t="s">
        <v>4810</v>
      </c>
      <c r="N3263" t="s">
        <v>4899</v>
      </c>
      <c r="O3263" t="s">
        <v>4912</v>
      </c>
    </row>
    <row r="3264" spans="1:15" x14ac:dyDescent="0.35">
      <c r="A3264" t="s">
        <v>3218</v>
      </c>
      <c r="B3264">
        <v>42</v>
      </c>
      <c r="C3264" t="s">
        <v>4802</v>
      </c>
      <c r="D3264" t="s">
        <v>15</v>
      </c>
      <c r="E3264">
        <v>96</v>
      </c>
      <c r="F3264">
        <v>36</v>
      </c>
      <c r="G3264" t="s">
        <v>4799</v>
      </c>
      <c r="H3264" t="s">
        <v>4805</v>
      </c>
      <c r="I3264">
        <v>17.989999999999998</v>
      </c>
      <c r="J3264">
        <v>3</v>
      </c>
      <c r="K3264">
        <v>3.2</v>
      </c>
      <c r="L3264">
        <v>0</v>
      </c>
      <c r="M3264" t="s">
        <v>4808</v>
      </c>
      <c r="N3264" t="s">
        <v>4900</v>
      </c>
      <c r="O3264" t="s">
        <v>4910</v>
      </c>
    </row>
    <row r="3265" spans="1:15" x14ac:dyDescent="0.35">
      <c r="A3265" t="s">
        <v>3219</v>
      </c>
      <c r="B3265">
        <v>23</v>
      </c>
      <c r="C3265" t="s">
        <v>4803</v>
      </c>
      <c r="D3265" t="s">
        <v>13</v>
      </c>
      <c r="E3265">
        <v>32</v>
      </c>
      <c r="F3265">
        <v>46</v>
      </c>
      <c r="G3265" t="s">
        <v>4799</v>
      </c>
      <c r="H3265" t="s">
        <v>4805</v>
      </c>
      <c r="I3265">
        <v>13.99</v>
      </c>
      <c r="J3265">
        <v>4</v>
      </c>
      <c r="K3265">
        <v>1.07</v>
      </c>
      <c r="L3265">
        <v>0</v>
      </c>
      <c r="M3265" t="s">
        <v>4809</v>
      </c>
      <c r="N3265" t="s">
        <v>4900</v>
      </c>
      <c r="O3265" t="s">
        <v>4912</v>
      </c>
    </row>
    <row r="3266" spans="1:15" x14ac:dyDescent="0.35">
      <c r="A3266" t="s">
        <v>3220</v>
      </c>
      <c r="B3266">
        <v>65</v>
      </c>
      <c r="C3266" t="s">
        <v>4802</v>
      </c>
      <c r="D3266" t="s">
        <v>13</v>
      </c>
      <c r="E3266">
        <v>71</v>
      </c>
      <c r="F3266">
        <v>38</v>
      </c>
      <c r="G3266" t="s">
        <v>4797</v>
      </c>
      <c r="H3266" t="s">
        <v>4805</v>
      </c>
      <c r="I3266">
        <v>13.99</v>
      </c>
      <c r="J3266">
        <v>3</v>
      </c>
      <c r="K3266">
        <v>2.37</v>
      </c>
      <c r="L3266">
        <v>0</v>
      </c>
      <c r="M3266" t="s">
        <v>4811</v>
      </c>
      <c r="N3266" t="s">
        <v>4900</v>
      </c>
      <c r="O3266" t="s">
        <v>4911</v>
      </c>
    </row>
    <row r="3267" spans="1:15" x14ac:dyDescent="0.35">
      <c r="A3267" t="s">
        <v>3221</v>
      </c>
      <c r="B3267">
        <v>30</v>
      </c>
      <c r="C3267" t="s">
        <v>4803</v>
      </c>
      <c r="D3267" t="s">
        <v>15</v>
      </c>
      <c r="E3267">
        <v>63</v>
      </c>
      <c r="F3267">
        <v>44</v>
      </c>
      <c r="G3267" t="s">
        <v>4797</v>
      </c>
      <c r="H3267" t="s">
        <v>4804</v>
      </c>
      <c r="I3267">
        <v>17.989999999999998</v>
      </c>
      <c r="J3267">
        <v>4</v>
      </c>
      <c r="K3267">
        <v>2.1</v>
      </c>
      <c r="L3267">
        <v>1</v>
      </c>
      <c r="M3267" t="s">
        <v>4808</v>
      </c>
      <c r="N3267" t="s">
        <v>4899</v>
      </c>
      <c r="O3267" t="s">
        <v>4912</v>
      </c>
    </row>
    <row r="3268" spans="1:15" x14ac:dyDescent="0.35">
      <c r="A3268" t="s">
        <v>3222</v>
      </c>
      <c r="B3268">
        <v>29</v>
      </c>
      <c r="C3268" t="s">
        <v>4802</v>
      </c>
      <c r="D3268" t="s">
        <v>13</v>
      </c>
      <c r="E3268">
        <v>58</v>
      </c>
      <c r="F3268">
        <v>22</v>
      </c>
      <c r="G3268" t="s">
        <v>4797</v>
      </c>
      <c r="H3268" t="s">
        <v>4807</v>
      </c>
      <c r="I3268">
        <v>13.99</v>
      </c>
      <c r="J3268">
        <v>2</v>
      </c>
      <c r="K3268">
        <v>5</v>
      </c>
      <c r="L3268">
        <v>0</v>
      </c>
      <c r="M3268" t="s">
        <v>4809</v>
      </c>
      <c r="N3268" t="s">
        <v>4900</v>
      </c>
      <c r="O3268" t="s">
        <v>4912</v>
      </c>
    </row>
    <row r="3269" spans="1:15" x14ac:dyDescent="0.35">
      <c r="A3269" t="s">
        <v>3223</v>
      </c>
      <c r="B3269">
        <v>57</v>
      </c>
      <c r="C3269" t="s">
        <v>4802</v>
      </c>
      <c r="D3269" t="s">
        <v>15</v>
      </c>
      <c r="E3269">
        <v>101</v>
      </c>
      <c r="F3269">
        <v>50</v>
      </c>
      <c r="G3269" t="s">
        <v>4799</v>
      </c>
      <c r="H3269" t="s">
        <v>4806</v>
      </c>
      <c r="I3269">
        <v>17.989999999999998</v>
      </c>
      <c r="J3269">
        <v>3</v>
      </c>
      <c r="K3269">
        <v>3.37</v>
      </c>
      <c r="L3269">
        <v>0</v>
      </c>
      <c r="M3269" t="s">
        <v>4808</v>
      </c>
      <c r="N3269" t="s">
        <v>4900</v>
      </c>
      <c r="O3269" t="s">
        <v>4911</v>
      </c>
    </row>
    <row r="3270" spans="1:15" x14ac:dyDescent="0.35">
      <c r="A3270" t="s">
        <v>3224</v>
      </c>
      <c r="B3270">
        <v>54</v>
      </c>
      <c r="C3270" t="s">
        <v>4802</v>
      </c>
      <c r="D3270" t="s">
        <v>13</v>
      </c>
      <c r="E3270">
        <v>62</v>
      </c>
      <c r="F3270">
        <v>24</v>
      </c>
      <c r="G3270" t="s">
        <v>4798</v>
      </c>
      <c r="H3270" t="s">
        <v>4804</v>
      </c>
      <c r="I3270">
        <v>13.99</v>
      </c>
      <c r="J3270">
        <v>1</v>
      </c>
      <c r="K3270">
        <v>2.0699999999999998</v>
      </c>
      <c r="L3270">
        <v>1</v>
      </c>
      <c r="M3270" t="s">
        <v>4808</v>
      </c>
      <c r="N3270" t="s">
        <v>4899</v>
      </c>
      <c r="O3270" t="s">
        <v>4910</v>
      </c>
    </row>
    <row r="3271" spans="1:15" x14ac:dyDescent="0.35">
      <c r="A3271" t="s">
        <v>3225</v>
      </c>
      <c r="B3271">
        <v>52</v>
      </c>
      <c r="C3271" t="s">
        <v>4802</v>
      </c>
      <c r="D3271" t="s">
        <v>15</v>
      </c>
      <c r="E3271">
        <v>104</v>
      </c>
      <c r="F3271">
        <v>47</v>
      </c>
      <c r="G3271" t="s">
        <v>4797</v>
      </c>
      <c r="H3271" t="s">
        <v>4804</v>
      </c>
      <c r="I3271">
        <v>17.989999999999998</v>
      </c>
      <c r="J3271">
        <v>4</v>
      </c>
      <c r="K3271">
        <v>3.47</v>
      </c>
      <c r="L3271">
        <v>0</v>
      </c>
      <c r="M3271" t="s">
        <v>4811</v>
      </c>
      <c r="N3271" t="s">
        <v>4900</v>
      </c>
      <c r="O3271" t="s">
        <v>4910</v>
      </c>
    </row>
    <row r="3272" spans="1:15" x14ac:dyDescent="0.35">
      <c r="A3272" t="s">
        <v>3226</v>
      </c>
      <c r="B3272">
        <v>40</v>
      </c>
      <c r="C3272" t="s">
        <v>4803</v>
      </c>
      <c r="D3272" t="s">
        <v>13</v>
      </c>
      <c r="E3272">
        <v>70</v>
      </c>
      <c r="F3272">
        <v>6</v>
      </c>
      <c r="G3272" t="s">
        <v>4798</v>
      </c>
      <c r="H3272" t="s">
        <v>4806</v>
      </c>
      <c r="I3272">
        <v>13.99</v>
      </c>
      <c r="J3272">
        <v>1</v>
      </c>
      <c r="K3272">
        <v>2.33</v>
      </c>
      <c r="L3272">
        <v>0</v>
      </c>
      <c r="M3272" t="s">
        <v>4809</v>
      </c>
      <c r="N3272" t="s">
        <v>4900</v>
      </c>
      <c r="O3272" t="s">
        <v>4910</v>
      </c>
    </row>
    <row r="3273" spans="1:15" x14ac:dyDescent="0.35">
      <c r="A3273" t="s">
        <v>3227</v>
      </c>
      <c r="B3273">
        <v>64</v>
      </c>
      <c r="C3273" t="s">
        <v>4802</v>
      </c>
      <c r="D3273" t="s">
        <v>13</v>
      </c>
      <c r="E3273">
        <v>66</v>
      </c>
      <c r="F3273">
        <v>51</v>
      </c>
      <c r="G3273" t="s">
        <v>4799</v>
      </c>
      <c r="H3273" t="s">
        <v>4804</v>
      </c>
      <c r="I3273">
        <v>13.99</v>
      </c>
      <c r="J3273">
        <v>1</v>
      </c>
      <c r="K3273">
        <v>2.0299999999999998</v>
      </c>
      <c r="L3273">
        <v>0</v>
      </c>
      <c r="M3273" t="s">
        <v>4810</v>
      </c>
      <c r="N3273" t="s">
        <v>4900</v>
      </c>
      <c r="O3273" t="s">
        <v>4911</v>
      </c>
    </row>
    <row r="3274" spans="1:15" x14ac:dyDescent="0.35">
      <c r="A3274" t="s">
        <v>3228</v>
      </c>
      <c r="B3274">
        <v>51</v>
      </c>
      <c r="C3274" t="s">
        <v>4802</v>
      </c>
      <c r="D3274" t="s">
        <v>13</v>
      </c>
      <c r="E3274">
        <v>59</v>
      </c>
      <c r="F3274">
        <v>36</v>
      </c>
      <c r="G3274" t="s">
        <v>4798</v>
      </c>
      <c r="H3274" t="s">
        <v>4807</v>
      </c>
      <c r="I3274">
        <v>13.99</v>
      </c>
      <c r="J3274">
        <v>3</v>
      </c>
      <c r="K3274">
        <v>1.97</v>
      </c>
      <c r="L3274">
        <v>0</v>
      </c>
      <c r="M3274" t="s">
        <v>4810</v>
      </c>
      <c r="N3274" t="s">
        <v>4900</v>
      </c>
      <c r="O3274" t="s">
        <v>4910</v>
      </c>
    </row>
    <row r="3275" spans="1:15" x14ac:dyDescent="0.35">
      <c r="A3275" t="s">
        <v>3229</v>
      </c>
      <c r="B3275">
        <v>48</v>
      </c>
      <c r="C3275" t="s">
        <v>4803</v>
      </c>
      <c r="D3275" t="s">
        <v>15</v>
      </c>
      <c r="E3275">
        <v>63</v>
      </c>
      <c r="F3275">
        <v>25</v>
      </c>
      <c r="G3275" t="s">
        <v>4798</v>
      </c>
      <c r="H3275" t="s">
        <v>4804</v>
      </c>
      <c r="I3275">
        <v>17.989999999999998</v>
      </c>
      <c r="J3275">
        <v>2</v>
      </c>
      <c r="K3275">
        <v>2.1</v>
      </c>
      <c r="L3275">
        <v>0</v>
      </c>
      <c r="M3275" t="s">
        <v>4808</v>
      </c>
      <c r="N3275" t="s">
        <v>4900</v>
      </c>
      <c r="O3275" t="s">
        <v>4910</v>
      </c>
    </row>
    <row r="3276" spans="1:15" x14ac:dyDescent="0.35">
      <c r="A3276" t="s">
        <v>3230</v>
      </c>
      <c r="B3276">
        <v>34</v>
      </c>
      <c r="C3276" t="s">
        <v>4803</v>
      </c>
      <c r="D3276" t="s">
        <v>14</v>
      </c>
      <c r="E3276">
        <v>18</v>
      </c>
      <c r="F3276">
        <v>37</v>
      </c>
      <c r="G3276" t="s">
        <v>4799</v>
      </c>
      <c r="H3276" t="s">
        <v>4804</v>
      </c>
      <c r="I3276">
        <v>8.99</v>
      </c>
      <c r="J3276">
        <v>2</v>
      </c>
      <c r="K3276">
        <v>0.6</v>
      </c>
      <c r="L3276">
        <v>0</v>
      </c>
      <c r="M3276" t="s">
        <v>4808</v>
      </c>
      <c r="N3276" t="s">
        <v>4900</v>
      </c>
      <c r="O3276" t="s">
        <v>4912</v>
      </c>
    </row>
    <row r="3277" spans="1:15" x14ac:dyDescent="0.35">
      <c r="A3277" t="s">
        <v>3231</v>
      </c>
      <c r="B3277">
        <v>24</v>
      </c>
      <c r="C3277" t="s">
        <v>4803</v>
      </c>
      <c r="D3277" t="s">
        <v>13</v>
      </c>
      <c r="E3277">
        <v>55</v>
      </c>
      <c r="F3277">
        <v>33</v>
      </c>
      <c r="G3277" t="s">
        <v>4799</v>
      </c>
      <c r="H3277" t="s">
        <v>4804</v>
      </c>
      <c r="I3277">
        <v>13.99</v>
      </c>
      <c r="J3277">
        <v>1</v>
      </c>
      <c r="K3277">
        <v>1.83</v>
      </c>
      <c r="L3277">
        <v>0</v>
      </c>
      <c r="M3277" t="s">
        <v>4812</v>
      </c>
      <c r="N3277" t="s">
        <v>4900</v>
      </c>
      <c r="O3277" t="s">
        <v>4912</v>
      </c>
    </row>
    <row r="3278" spans="1:15" x14ac:dyDescent="0.35">
      <c r="A3278" t="s">
        <v>3232</v>
      </c>
      <c r="B3278">
        <v>62</v>
      </c>
      <c r="C3278" t="s">
        <v>4803</v>
      </c>
      <c r="D3278" t="s">
        <v>14</v>
      </c>
      <c r="E3278">
        <v>55</v>
      </c>
      <c r="F3278">
        <v>1</v>
      </c>
      <c r="G3278" t="s">
        <v>4798</v>
      </c>
      <c r="H3278" t="s">
        <v>4805</v>
      </c>
      <c r="I3278">
        <v>8.99</v>
      </c>
      <c r="J3278">
        <v>3</v>
      </c>
      <c r="K3278">
        <v>1.83</v>
      </c>
      <c r="L3278">
        <v>0</v>
      </c>
      <c r="M3278" t="s">
        <v>4810</v>
      </c>
      <c r="N3278" t="s">
        <v>4900</v>
      </c>
      <c r="O3278" t="s">
        <v>4911</v>
      </c>
    </row>
    <row r="3279" spans="1:15" x14ac:dyDescent="0.35">
      <c r="A3279" t="s">
        <v>3233</v>
      </c>
      <c r="B3279">
        <v>64</v>
      </c>
      <c r="C3279" t="s">
        <v>4803</v>
      </c>
      <c r="D3279" t="s">
        <v>13</v>
      </c>
      <c r="E3279">
        <v>64</v>
      </c>
      <c r="F3279">
        <v>41</v>
      </c>
      <c r="G3279" t="s">
        <v>4798</v>
      </c>
      <c r="H3279" t="s">
        <v>4805</v>
      </c>
      <c r="I3279">
        <v>13.99</v>
      </c>
      <c r="J3279">
        <v>1</v>
      </c>
      <c r="K3279">
        <v>2.13</v>
      </c>
      <c r="L3279">
        <v>1</v>
      </c>
      <c r="M3279" t="s">
        <v>4811</v>
      </c>
      <c r="N3279" t="s">
        <v>4899</v>
      </c>
      <c r="O3279" t="s">
        <v>4911</v>
      </c>
    </row>
    <row r="3280" spans="1:15" x14ac:dyDescent="0.35">
      <c r="A3280" t="s">
        <v>3234</v>
      </c>
      <c r="B3280">
        <v>20</v>
      </c>
      <c r="C3280" t="s">
        <v>4803</v>
      </c>
      <c r="D3280" t="s">
        <v>15</v>
      </c>
      <c r="E3280">
        <v>95</v>
      </c>
      <c r="F3280">
        <v>28</v>
      </c>
      <c r="G3280" t="s">
        <v>4798</v>
      </c>
      <c r="H3280" t="s">
        <v>4804</v>
      </c>
      <c r="I3280">
        <v>17.989999999999998</v>
      </c>
      <c r="J3280">
        <v>2</v>
      </c>
      <c r="K3280">
        <v>3.17</v>
      </c>
      <c r="L3280">
        <v>1</v>
      </c>
      <c r="M3280" t="s">
        <v>4809</v>
      </c>
      <c r="N3280" t="s">
        <v>4899</v>
      </c>
      <c r="O3280" t="s">
        <v>4912</v>
      </c>
    </row>
    <row r="3281" spans="1:15" x14ac:dyDescent="0.35">
      <c r="A3281" t="s">
        <v>3235</v>
      </c>
      <c r="B3281">
        <v>21</v>
      </c>
      <c r="C3281" t="s">
        <v>4802</v>
      </c>
      <c r="D3281" t="s">
        <v>15</v>
      </c>
      <c r="E3281">
        <v>71</v>
      </c>
      <c r="F3281">
        <v>14</v>
      </c>
      <c r="G3281" t="s">
        <v>4799</v>
      </c>
      <c r="H3281" t="s">
        <v>4806</v>
      </c>
      <c r="I3281">
        <v>17.989999999999998</v>
      </c>
      <c r="J3281">
        <v>2</v>
      </c>
      <c r="K3281">
        <v>2.37</v>
      </c>
      <c r="L3281">
        <v>0</v>
      </c>
      <c r="M3281" t="s">
        <v>4811</v>
      </c>
      <c r="N3281" t="s">
        <v>4900</v>
      </c>
      <c r="O3281" t="s">
        <v>4912</v>
      </c>
    </row>
    <row r="3282" spans="1:15" x14ac:dyDescent="0.35">
      <c r="A3282" t="s">
        <v>3236</v>
      </c>
      <c r="B3282">
        <v>56</v>
      </c>
      <c r="C3282" t="s">
        <v>4803</v>
      </c>
      <c r="D3282" t="s">
        <v>13</v>
      </c>
      <c r="E3282">
        <v>72</v>
      </c>
      <c r="F3282">
        <v>0</v>
      </c>
      <c r="G3282" t="s">
        <v>4797</v>
      </c>
      <c r="H3282" t="s">
        <v>4805</v>
      </c>
      <c r="I3282">
        <v>13.99</v>
      </c>
      <c r="J3282">
        <v>4</v>
      </c>
      <c r="K3282">
        <v>2.4</v>
      </c>
      <c r="L3282">
        <v>0</v>
      </c>
      <c r="M3282" t="s">
        <v>4809</v>
      </c>
      <c r="N3282" t="s">
        <v>4900</v>
      </c>
      <c r="O3282" t="s">
        <v>4911</v>
      </c>
    </row>
    <row r="3283" spans="1:15" x14ac:dyDescent="0.35">
      <c r="A3283" t="s">
        <v>3237</v>
      </c>
      <c r="B3283">
        <v>57</v>
      </c>
      <c r="C3283" t="s">
        <v>4803</v>
      </c>
      <c r="D3283" t="s">
        <v>13</v>
      </c>
      <c r="E3283">
        <v>65</v>
      </c>
      <c r="F3283">
        <v>7</v>
      </c>
      <c r="G3283" t="s">
        <v>4797</v>
      </c>
      <c r="H3283" t="s">
        <v>4805</v>
      </c>
      <c r="I3283">
        <v>13.99</v>
      </c>
      <c r="J3283">
        <v>1</v>
      </c>
      <c r="K3283">
        <v>2.17</v>
      </c>
      <c r="L3283">
        <v>0</v>
      </c>
      <c r="M3283" t="s">
        <v>4808</v>
      </c>
      <c r="N3283" t="s">
        <v>4900</v>
      </c>
      <c r="O3283" t="s">
        <v>4911</v>
      </c>
    </row>
    <row r="3284" spans="1:15" x14ac:dyDescent="0.35">
      <c r="A3284" t="s">
        <v>3238</v>
      </c>
      <c r="B3284">
        <v>62</v>
      </c>
      <c r="C3284" t="s">
        <v>4802</v>
      </c>
      <c r="D3284" t="s">
        <v>15</v>
      </c>
      <c r="E3284">
        <v>56</v>
      </c>
      <c r="F3284">
        <v>11</v>
      </c>
      <c r="G3284" t="s">
        <v>4798</v>
      </c>
      <c r="H3284" t="s">
        <v>4804</v>
      </c>
      <c r="I3284">
        <v>17.989999999999998</v>
      </c>
      <c r="J3284">
        <v>4</v>
      </c>
      <c r="K3284">
        <v>1.87</v>
      </c>
      <c r="L3284">
        <v>0</v>
      </c>
      <c r="M3284" t="s">
        <v>4808</v>
      </c>
      <c r="N3284" t="s">
        <v>4900</v>
      </c>
      <c r="O3284" t="s">
        <v>4911</v>
      </c>
    </row>
    <row r="3285" spans="1:15" x14ac:dyDescent="0.35">
      <c r="A3285" t="s">
        <v>3239</v>
      </c>
      <c r="B3285">
        <v>26</v>
      </c>
      <c r="C3285" t="s">
        <v>4803</v>
      </c>
      <c r="D3285" t="s">
        <v>13</v>
      </c>
      <c r="E3285">
        <v>77</v>
      </c>
      <c r="F3285">
        <v>49</v>
      </c>
      <c r="G3285" t="s">
        <v>4799</v>
      </c>
      <c r="H3285" t="s">
        <v>4805</v>
      </c>
      <c r="I3285">
        <v>13.99</v>
      </c>
      <c r="J3285">
        <v>4</v>
      </c>
      <c r="K3285">
        <v>2.57</v>
      </c>
      <c r="L3285">
        <v>0</v>
      </c>
      <c r="M3285" t="s">
        <v>4809</v>
      </c>
      <c r="N3285" t="s">
        <v>4900</v>
      </c>
      <c r="O3285" t="s">
        <v>4912</v>
      </c>
    </row>
    <row r="3286" spans="1:15" x14ac:dyDescent="0.35">
      <c r="A3286" t="s">
        <v>3240</v>
      </c>
      <c r="B3286">
        <v>47</v>
      </c>
      <c r="C3286" t="s">
        <v>4803</v>
      </c>
      <c r="D3286" t="s">
        <v>15</v>
      </c>
      <c r="E3286">
        <v>109</v>
      </c>
      <c r="F3286">
        <v>8</v>
      </c>
      <c r="G3286" t="s">
        <v>4799</v>
      </c>
      <c r="H3286" t="s">
        <v>4805</v>
      </c>
      <c r="I3286">
        <v>17.989999999999998</v>
      </c>
      <c r="J3286">
        <v>3</v>
      </c>
      <c r="K3286">
        <v>3.63</v>
      </c>
      <c r="L3286">
        <v>1</v>
      </c>
      <c r="M3286" t="s">
        <v>4811</v>
      </c>
      <c r="N3286" t="s">
        <v>4899</v>
      </c>
      <c r="O3286" t="s">
        <v>4910</v>
      </c>
    </row>
    <row r="3287" spans="1:15" x14ac:dyDescent="0.35">
      <c r="A3287" t="s">
        <v>3241</v>
      </c>
      <c r="B3287">
        <v>32</v>
      </c>
      <c r="C3287" t="s">
        <v>4803</v>
      </c>
      <c r="D3287" t="s">
        <v>13</v>
      </c>
      <c r="E3287">
        <v>65</v>
      </c>
      <c r="F3287">
        <v>51</v>
      </c>
      <c r="G3287" t="s">
        <v>4799</v>
      </c>
      <c r="H3287" t="s">
        <v>4804</v>
      </c>
      <c r="I3287">
        <v>13.99</v>
      </c>
      <c r="J3287">
        <v>3</v>
      </c>
      <c r="K3287">
        <v>2.17</v>
      </c>
      <c r="L3287">
        <v>0</v>
      </c>
      <c r="M3287" t="s">
        <v>4811</v>
      </c>
      <c r="N3287" t="s">
        <v>4900</v>
      </c>
      <c r="O3287" t="s">
        <v>4912</v>
      </c>
    </row>
    <row r="3288" spans="1:15" x14ac:dyDescent="0.35">
      <c r="A3288" t="s">
        <v>3242</v>
      </c>
      <c r="B3288">
        <v>24</v>
      </c>
      <c r="C3288" t="s">
        <v>4802</v>
      </c>
      <c r="D3288" t="s">
        <v>15</v>
      </c>
      <c r="E3288">
        <v>109</v>
      </c>
      <c r="F3288">
        <v>39</v>
      </c>
      <c r="G3288" t="s">
        <v>4797</v>
      </c>
      <c r="H3288" t="s">
        <v>4804</v>
      </c>
      <c r="I3288">
        <v>17.989999999999998</v>
      </c>
      <c r="J3288">
        <v>3</v>
      </c>
      <c r="K3288">
        <v>3.63</v>
      </c>
      <c r="L3288">
        <v>0</v>
      </c>
      <c r="M3288" t="s">
        <v>4808</v>
      </c>
      <c r="N3288" t="s">
        <v>4900</v>
      </c>
      <c r="O3288" t="s">
        <v>4912</v>
      </c>
    </row>
    <row r="3289" spans="1:15" x14ac:dyDescent="0.35">
      <c r="A3289" t="s">
        <v>3243</v>
      </c>
      <c r="B3289">
        <v>35</v>
      </c>
      <c r="C3289" t="s">
        <v>4803</v>
      </c>
      <c r="D3289" t="s">
        <v>13</v>
      </c>
      <c r="E3289">
        <v>61</v>
      </c>
      <c r="F3289">
        <v>17</v>
      </c>
      <c r="G3289" t="s">
        <v>4799</v>
      </c>
      <c r="H3289" t="s">
        <v>4804</v>
      </c>
      <c r="I3289">
        <v>13.99</v>
      </c>
      <c r="J3289">
        <v>2</v>
      </c>
      <c r="K3289">
        <v>2.0299999999999998</v>
      </c>
      <c r="L3289">
        <v>0</v>
      </c>
      <c r="M3289" t="s">
        <v>4810</v>
      </c>
      <c r="N3289" t="s">
        <v>4900</v>
      </c>
      <c r="O3289" t="s">
        <v>4910</v>
      </c>
    </row>
    <row r="3290" spans="1:15" x14ac:dyDescent="0.35">
      <c r="A3290" t="s">
        <v>3244</v>
      </c>
      <c r="B3290">
        <v>60</v>
      </c>
      <c r="C3290" t="s">
        <v>4802</v>
      </c>
      <c r="D3290" t="s">
        <v>15</v>
      </c>
      <c r="E3290">
        <v>76</v>
      </c>
      <c r="F3290">
        <v>4</v>
      </c>
      <c r="G3290" t="s">
        <v>4799</v>
      </c>
      <c r="H3290" t="s">
        <v>4806</v>
      </c>
      <c r="I3290">
        <v>17.989999999999998</v>
      </c>
      <c r="J3290">
        <v>2</v>
      </c>
      <c r="K3290">
        <v>2.0299999999999998</v>
      </c>
      <c r="L3290">
        <v>0</v>
      </c>
      <c r="M3290" t="s">
        <v>4812</v>
      </c>
      <c r="N3290" t="s">
        <v>4900</v>
      </c>
      <c r="O3290" t="s">
        <v>4911</v>
      </c>
    </row>
    <row r="3291" spans="1:15" x14ac:dyDescent="0.35">
      <c r="A3291" t="s">
        <v>3245</v>
      </c>
      <c r="B3291">
        <v>23</v>
      </c>
      <c r="C3291" t="s">
        <v>4803</v>
      </c>
      <c r="D3291" t="s">
        <v>14</v>
      </c>
      <c r="E3291">
        <v>21</v>
      </c>
      <c r="F3291">
        <v>53</v>
      </c>
      <c r="G3291" t="s">
        <v>4798</v>
      </c>
      <c r="H3291" t="s">
        <v>4805</v>
      </c>
      <c r="I3291">
        <v>8.99</v>
      </c>
      <c r="J3291">
        <v>2</v>
      </c>
      <c r="K3291">
        <v>0.7</v>
      </c>
      <c r="L3291">
        <v>0</v>
      </c>
      <c r="M3291" t="s">
        <v>4808</v>
      </c>
      <c r="N3291" t="s">
        <v>4900</v>
      </c>
      <c r="O3291" t="s">
        <v>4912</v>
      </c>
    </row>
    <row r="3292" spans="1:15" x14ac:dyDescent="0.35">
      <c r="A3292" t="s">
        <v>3246</v>
      </c>
      <c r="B3292">
        <v>26</v>
      </c>
      <c r="C3292" t="s">
        <v>4803</v>
      </c>
      <c r="D3292" t="s">
        <v>13</v>
      </c>
      <c r="E3292">
        <v>72</v>
      </c>
      <c r="F3292">
        <v>0</v>
      </c>
      <c r="G3292" t="s">
        <v>4798</v>
      </c>
      <c r="H3292" t="s">
        <v>4804</v>
      </c>
      <c r="I3292">
        <v>13.99</v>
      </c>
      <c r="J3292">
        <v>4</v>
      </c>
      <c r="K3292">
        <v>2.4</v>
      </c>
      <c r="L3292">
        <v>0</v>
      </c>
      <c r="M3292" t="s">
        <v>4811</v>
      </c>
      <c r="N3292" t="s">
        <v>4900</v>
      </c>
      <c r="O3292" t="s">
        <v>4912</v>
      </c>
    </row>
    <row r="3293" spans="1:15" x14ac:dyDescent="0.35">
      <c r="A3293" t="s">
        <v>3247</v>
      </c>
      <c r="B3293">
        <v>27</v>
      </c>
      <c r="C3293" t="s">
        <v>4803</v>
      </c>
      <c r="D3293" t="s">
        <v>13</v>
      </c>
      <c r="E3293">
        <v>35</v>
      </c>
      <c r="F3293">
        <v>18</v>
      </c>
      <c r="G3293" t="s">
        <v>4799</v>
      </c>
      <c r="H3293" t="s">
        <v>4805</v>
      </c>
      <c r="I3293">
        <v>13.99</v>
      </c>
      <c r="J3293">
        <v>4</v>
      </c>
      <c r="K3293">
        <v>1.17</v>
      </c>
      <c r="L3293">
        <v>0</v>
      </c>
      <c r="M3293" t="s">
        <v>4810</v>
      </c>
      <c r="N3293" t="s">
        <v>4900</v>
      </c>
      <c r="O3293" t="s">
        <v>4912</v>
      </c>
    </row>
    <row r="3294" spans="1:15" x14ac:dyDescent="0.35">
      <c r="A3294" t="s">
        <v>3248</v>
      </c>
      <c r="B3294">
        <v>64</v>
      </c>
      <c r="C3294" t="s">
        <v>4802</v>
      </c>
      <c r="D3294" t="s">
        <v>13</v>
      </c>
      <c r="E3294">
        <v>64</v>
      </c>
      <c r="F3294">
        <v>52</v>
      </c>
      <c r="G3294" t="s">
        <v>4798</v>
      </c>
      <c r="H3294" t="s">
        <v>4805</v>
      </c>
      <c r="I3294">
        <v>13.99</v>
      </c>
      <c r="J3294">
        <v>1</v>
      </c>
      <c r="K3294">
        <v>2.13</v>
      </c>
      <c r="L3294">
        <v>0</v>
      </c>
      <c r="M3294" t="s">
        <v>4808</v>
      </c>
      <c r="N3294" t="s">
        <v>4900</v>
      </c>
      <c r="O3294" t="s">
        <v>4911</v>
      </c>
    </row>
    <row r="3295" spans="1:15" x14ac:dyDescent="0.35">
      <c r="A3295" t="s">
        <v>3249</v>
      </c>
      <c r="B3295">
        <v>35</v>
      </c>
      <c r="C3295" t="s">
        <v>4803</v>
      </c>
      <c r="D3295" t="s">
        <v>13</v>
      </c>
      <c r="E3295">
        <v>41</v>
      </c>
      <c r="F3295">
        <v>31</v>
      </c>
      <c r="G3295" t="s">
        <v>4797</v>
      </c>
      <c r="H3295" t="s">
        <v>4804</v>
      </c>
      <c r="I3295">
        <v>13.99</v>
      </c>
      <c r="J3295">
        <v>2</v>
      </c>
      <c r="K3295">
        <v>1.37</v>
      </c>
      <c r="L3295">
        <v>0</v>
      </c>
      <c r="M3295" t="s">
        <v>4810</v>
      </c>
      <c r="N3295" t="s">
        <v>4900</v>
      </c>
      <c r="O3295" t="s">
        <v>4910</v>
      </c>
    </row>
    <row r="3296" spans="1:15" x14ac:dyDescent="0.35">
      <c r="A3296" t="s">
        <v>4879</v>
      </c>
      <c r="B3296">
        <v>18</v>
      </c>
      <c r="C3296" t="s">
        <v>4802</v>
      </c>
      <c r="D3296" t="s">
        <v>13</v>
      </c>
      <c r="E3296">
        <v>33</v>
      </c>
      <c r="F3296">
        <v>3</v>
      </c>
      <c r="G3296" t="s">
        <v>4798</v>
      </c>
      <c r="H3296" t="s">
        <v>4804</v>
      </c>
      <c r="I3296">
        <v>13.99</v>
      </c>
      <c r="J3296">
        <v>3</v>
      </c>
      <c r="K3296">
        <v>1.1000000000000001</v>
      </c>
      <c r="L3296">
        <v>0</v>
      </c>
      <c r="M3296" t="s">
        <v>4809</v>
      </c>
      <c r="N3296" t="s">
        <v>4900</v>
      </c>
      <c r="O3296" t="s">
        <v>4912</v>
      </c>
    </row>
    <row r="3297" spans="1:15" x14ac:dyDescent="0.35">
      <c r="A3297" t="s">
        <v>3250</v>
      </c>
      <c r="B3297">
        <v>19</v>
      </c>
      <c r="C3297" t="s">
        <v>4803</v>
      </c>
      <c r="D3297" t="s">
        <v>14</v>
      </c>
      <c r="E3297">
        <v>46</v>
      </c>
      <c r="F3297">
        <v>31</v>
      </c>
      <c r="G3297" t="s">
        <v>4797</v>
      </c>
      <c r="H3297" t="s">
        <v>4805</v>
      </c>
      <c r="I3297">
        <v>8.99</v>
      </c>
      <c r="J3297">
        <v>1</v>
      </c>
      <c r="K3297">
        <v>1.53</v>
      </c>
      <c r="L3297">
        <v>0</v>
      </c>
      <c r="M3297" t="s">
        <v>4808</v>
      </c>
      <c r="N3297" t="s">
        <v>4900</v>
      </c>
      <c r="O3297" t="s">
        <v>4912</v>
      </c>
    </row>
    <row r="3298" spans="1:15" x14ac:dyDescent="0.35">
      <c r="A3298" t="s">
        <v>3251</v>
      </c>
      <c r="B3298">
        <v>50</v>
      </c>
      <c r="C3298" t="s">
        <v>4802</v>
      </c>
      <c r="D3298" t="s">
        <v>13</v>
      </c>
      <c r="E3298">
        <v>46</v>
      </c>
      <c r="F3298">
        <v>52</v>
      </c>
      <c r="G3298" t="s">
        <v>4799</v>
      </c>
      <c r="H3298" t="s">
        <v>4807</v>
      </c>
      <c r="I3298">
        <v>13.99</v>
      </c>
      <c r="J3298">
        <v>4</v>
      </c>
      <c r="K3298">
        <v>2.0299999999999998</v>
      </c>
      <c r="L3298">
        <v>0</v>
      </c>
      <c r="M3298" t="s">
        <v>4812</v>
      </c>
      <c r="N3298" t="s">
        <v>4900</v>
      </c>
      <c r="O3298" t="s">
        <v>4910</v>
      </c>
    </row>
    <row r="3299" spans="1:15" x14ac:dyDescent="0.35">
      <c r="A3299" t="s">
        <v>3252</v>
      </c>
      <c r="B3299">
        <v>31</v>
      </c>
      <c r="C3299" t="s">
        <v>4803</v>
      </c>
      <c r="D3299" t="s">
        <v>15</v>
      </c>
      <c r="E3299">
        <v>82</v>
      </c>
      <c r="F3299">
        <v>8</v>
      </c>
      <c r="G3299" t="s">
        <v>4798</v>
      </c>
      <c r="H3299" t="s">
        <v>4805</v>
      </c>
      <c r="I3299">
        <v>17.989999999999998</v>
      </c>
      <c r="J3299">
        <v>5</v>
      </c>
      <c r="K3299">
        <v>2.73</v>
      </c>
      <c r="L3299">
        <v>0</v>
      </c>
      <c r="M3299" t="s">
        <v>4812</v>
      </c>
      <c r="N3299" t="s">
        <v>4900</v>
      </c>
      <c r="O3299" t="s">
        <v>4912</v>
      </c>
    </row>
    <row r="3300" spans="1:15" x14ac:dyDescent="0.35">
      <c r="A3300" t="s">
        <v>3253</v>
      </c>
      <c r="B3300">
        <v>19</v>
      </c>
      <c r="C3300" t="s">
        <v>4802</v>
      </c>
      <c r="D3300" t="s">
        <v>13</v>
      </c>
      <c r="E3300">
        <v>67</v>
      </c>
      <c r="F3300">
        <v>13</v>
      </c>
      <c r="G3300" t="s">
        <v>4797</v>
      </c>
      <c r="H3300" t="s">
        <v>4804</v>
      </c>
      <c r="I3300">
        <v>13.99</v>
      </c>
      <c r="J3300">
        <v>2</v>
      </c>
      <c r="K3300">
        <v>2.23</v>
      </c>
      <c r="L3300">
        <v>0</v>
      </c>
      <c r="M3300" t="s">
        <v>4811</v>
      </c>
      <c r="N3300" t="s">
        <v>4900</v>
      </c>
      <c r="O3300" t="s">
        <v>4912</v>
      </c>
    </row>
    <row r="3301" spans="1:15" x14ac:dyDescent="0.35">
      <c r="A3301" t="s">
        <v>4880</v>
      </c>
      <c r="B3301">
        <v>42</v>
      </c>
      <c r="C3301" t="s">
        <v>4803</v>
      </c>
      <c r="D3301" t="s">
        <v>13</v>
      </c>
      <c r="E3301">
        <v>74</v>
      </c>
      <c r="F3301">
        <v>36</v>
      </c>
      <c r="G3301" t="s">
        <v>4799</v>
      </c>
      <c r="H3301" t="s">
        <v>4804</v>
      </c>
      <c r="I3301">
        <v>13.99</v>
      </c>
      <c r="J3301">
        <v>3</v>
      </c>
      <c r="K3301">
        <v>2.4700000000000002</v>
      </c>
      <c r="L3301">
        <v>0</v>
      </c>
      <c r="M3301" t="s">
        <v>4812</v>
      </c>
      <c r="N3301" t="s">
        <v>4900</v>
      </c>
      <c r="O3301" t="s">
        <v>4910</v>
      </c>
    </row>
    <row r="3302" spans="1:15" x14ac:dyDescent="0.35">
      <c r="A3302" t="s">
        <v>3254</v>
      </c>
      <c r="B3302">
        <v>65</v>
      </c>
      <c r="C3302" t="s">
        <v>4803</v>
      </c>
      <c r="D3302" t="s">
        <v>15</v>
      </c>
      <c r="E3302">
        <v>78</v>
      </c>
      <c r="F3302">
        <v>7</v>
      </c>
      <c r="G3302" t="s">
        <v>4798</v>
      </c>
      <c r="H3302" t="s">
        <v>4804</v>
      </c>
      <c r="I3302">
        <v>17.989999999999998</v>
      </c>
      <c r="J3302">
        <v>5</v>
      </c>
      <c r="K3302">
        <v>2.6</v>
      </c>
      <c r="L3302">
        <v>0</v>
      </c>
      <c r="M3302" t="s">
        <v>4809</v>
      </c>
      <c r="N3302" t="s">
        <v>4900</v>
      </c>
      <c r="O3302" t="s">
        <v>4911</v>
      </c>
    </row>
    <row r="3303" spans="1:15" x14ac:dyDescent="0.35">
      <c r="A3303" t="s">
        <v>3255</v>
      </c>
      <c r="B3303">
        <v>24</v>
      </c>
      <c r="C3303" t="s">
        <v>4803</v>
      </c>
      <c r="D3303" t="s">
        <v>13</v>
      </c>
      <c r="E3303">
        <v>45</v>
      </c>
      <c r="F3303">
        <v>47</v>
      </c>
      <c r="G3303" t="s">
        <v>4797</v>
      </c>
      <c r="H3303" t="s">
        <v>4805</v>
      </c>
      <c r="I3303">
        <v>13.99</v>
      </c>
      <c r="J3303">
        <v>3</v>
      </c>
      <c r="K3303">
        <v>1.5</v>
      </c>
      <c r="L3303">
        <v>0</v>
      </c>
      <c r="M3303" t="s">
        <v>4808</v>
      </c>
      <c r="N3303" t="s">
        <v>4900</v>
      </c>
      <c r="O3303" t="s">
        <v>4912</v>
      </c>
    </row>
    <row r="3304" spans="1:15" x14ac:dyDescent="0.35">
      <c r="A3304" t="s">
        <v>3256</v>
      </c>
      <c r="B3304">
        <v>38</v>
      </c>
      <c r="C3304" t="s">
        <v>4802</v>
      </c>
      <c r="D3304" t="s">
        <v>13</v>
      </c>
      <c r="E3304">
        <v>47</v>
      </c>
      <c r="F3304">
        <v>0</v>
      </c>
      <c r="G3304" t="s">
        <v>4798</v>
      </c>
      <c r="H3304" t="s">
        <v>4805</v>
      </c>
      <c r="I3304">
        <v>13.99</v>
      </c>
      <c r="J3304">
        <v>1</v>
      </c>
      <c r="K3304">
        <v>1.57</v>
      </c>
      <c r="L3304">
        <v>0</v>
      </c>
      <c r="M3304" t="s">
        <v>4808</v>
      </c>
      <c r="N3304" t="s">
        <v>4900</v>
      </c>
      <c r="O3304" t="s">
        <v>4910</v>
      </c>
    </row>
    <row r="3305" spans="1:15" x14ac:dyDescent="0.35">
      <c r="A3305" t="s">
        <v>3257</v>
      </c>
      <c r="B3305">
        <v>47</v>
      </c>
      <c r="C3305" t="s">
        <v>4802</v>
      </c>
      <c r="D3305" t="s">
        <v>13</v>
      </c>
      <c r="E3305">
        <v>76</v>
      </c>
      <c r="F3305">
        <v>7</v>
      </c>
      <c r="G3305" t="s">
        <v>4797</v>
      </c>
      <c r="H3305" t="s">
        <v>4804</v>
      </c>
      <c r="I3305">
        <v>13.99</v>
      </c>
      <c r="J3305">
        <v>1</v>
      </c>
      <c r="K3305">
        <v>2.5299999999999998</v>
      </c>
      <c r="L3305">
        <v>0</v>
      </c>
      <c r="M3305" t="s">
        <v>4808</v>
      </c>
      <c r="N3305" t="s">
        <v>4900</v>
      </c>
      <c r="O3305" t="s">
        <v>4910</v>
      </c>
    </row>
    <row r="3306" spans="1:15" x14ac:dyDescent="0.35">
      <c r="A3306" t="s">
        <v>3258</v>
      </c>
      <c r="B3306">
        <v>50</v>
      </c>
      <c r="C3306" t="s">
        <v>4803</v>
      </c>
      <c r="D3306" t="s">
        <v>15</v>
      </c>
      <c r="E3306">
        <v>56</v>
      </c>
      <c r="F3306">
        <v>20</v>
      </c>
      <c r="G3306" t="s">
        <v>4799</v>
      </c>
      <c r="H3306" t="s">
        <v>4804</v>
      </c>
      <c r="I3306">
        <v>17.989999999999998</v>
      </c>
      <c r="J3306">
        <v>5</v>
      </c>
      <c r="K3306">
        <v>1.87</v>
      </c>
      <c r="L3306">
        <v>0</v>
      </c>
      <c r="M3306" t="s">
        <v>4809</v>
      </c>
      <c r="N3306" t="s">
        <v>4900</v>
      </c>
      <c r="O3306" t="s">
        <v>4910</v>
      </c>
    </row>
    <row r="3307" spans="1:15" x14ac:dyDescent="0.35">
      <c r="A3307" t="s">
        <v>3259</v>
      </c>
      <c r="B3307">
        <v>33</v>
      </c>
      <c r="C3307" t="s">
        <v>4802</v>
      </c>
      <c r="D3307" t="s">
        <v>13</v>
      </c>
      <c r="E3307">
        <v>53</v>
      </c>
      <c r="F3307">
        <v>40</v>
      </c>
      <c r="G3307" t="s">
        <v>4799</v>
      </c>
      <c r="H3307" t="s">
        <v>4805</v>
      </c>
      <c r="I3307">
        <v>13.99</v>
      </c>
      <c r="J3307">
        <v>2</v>
      </c>
      <c r="K3307">
        <v>1.77</v>
      </c>
      <c r="L3307">
        <v>1</v>
      </c>
      <c r="M3307" t="s">
        <v>4812</v>
      </c>
      <c r="N3307" t="s">
        <v>4899</v>
      </c>
      <c r="O3307" t="s">
        <v>4912</v>
      </c>
    </row>
    <row r="3308" spans="1:15" x14ac:dyDescent="0.35">
      <c r="A3308" t="s">
        <v>3260</v>
      </c>
      <c r="B3308">
        <v>43</v>
      </c>
      <c r="C3308" t="s">
        <v>4802</v>
      </c>
      <c r="D3308" t="s">
        <v>13</v>
      </c>
      <c r="E3308">
        <v>41</v>
      </c>
      <c r="F3308">
        <v>42</v>
      </c>
      <c r="G3308" t="s">
        <v>4799</v>
      </c>
      <c r="H3308" t="s">
        <v>4804</v>
      </c>
      <c r="I3308">
        <v>13.99</v>
      </c>
      <c r="J3308">
        <v>1</v>
      </c>
      <c r="K3308">
        <v>1.37</v>
      </c>
      <c r="L3308">
        <v>0</v>
      </c>
      <c r="M3308" t="s">
        <v>4812</v>
      </c>
      <c r="N3308" t="s">
        <v>4900</v>
      </c>
      <c r="O3308" t="s">
        <v>4910</v>
      </c>
    </row>
    <row r="3309" spans="1:15" x14ac:dyDescent="0.35">
      <c r="A3309" t="s">
        <v>3261</v>
      </c>
      <c r="B3309">
        <v>36</v>
      </c>
      <c r="C3309" t="s">
        <v>4803</v>
      </c>
      <c r="D3309" t="s">
        <v>13</v>
      </c>
      <c r="E3309">
        <v>58</v>
      </c>
      <c r="F3309">
        <v>25</v>
      </c>
      <c r="G3309" t="s">
        <v>4799</v>
      </c>
      <c r="H3309" t="s">
        <v>4804</v>
      </c>
      <c r="I3309">
        <v>13.99</v>
      </c>
      <c r="J3309">
        <v>4</v>
      </c>
      <c r="K3309">
        <v>1.93</v>
      </c>
      <c r="L3309">
        <v>1</v>
      </c>
      <c r="M3309" t="s">
        <v>4809</v>
      </c>
      <c r="N3309" t="s">
        <v>4899</v>
      </c>
      <c r="O3309" t="s">
        <v>4910</v>
      </c>
    </row>
    <row r="3310" spans="1:15" x14ac:dyDescent="0.35">
      <c r="A3310" t="s">
        <v>3262</v>
      </c>
      <c r="B3310">
        <v>45</v>
      </c>
      <c r="C3310" t="s">
        <v>4802</v>
      </c>
      <c r="D3310" t="s">
        <v>15</v>
      </c>
      <c r="E3310">
        <v>113</v>
      </c>
      <c r="F3310">
        <v>5</v>
      </c>
      <c r="G3310" t="s">
        <v>4798</v>
      </c>
      <c r="H3310" t="s">
        <v>4805</v>
      </c>
      <c r="I3310">
        <v>17.989999999999998</v>
      </c>
      <c r="J3310">
        <v>5</v>
      </c>
      <c r="K3310">
        <v>3.77</v>
      </c>
      <c r="L3310">
        <v>0</v>
      </c>
      <c r="M3310" t="s">
        <v>4811</v>
      </c>
      <c r="N3310" t="s">
        <v>4900</v>
      </c>
      <c r="O3310" t="s">
        <v>4910</v>
      </c>
    </row>
    <row r="3311" spans="1:15" x14ac:dyDescent="0.35">
      <c r="A3311" t="s">
        <v>3263</v>
      </c>
      <c r="B3311">
        <v>37</v>
      </c>
      <c r="C3311" t="s">
        <v>4802</v>
      </c>
      <c r="D3311" t="s">
        <v>13</v>
      </c>
      <c r="E3311">
        <v>69</v>
      </c>
      <c r="F3311">
        <v>59</v>
      </c>
      <c r="G3311" t="s">
        <v>4798</v>
      </c>
      <c r="H3311" t="s">
        <v>4806</v>
      </c>
      <c r="I3311">
        <v>13.99</v>
      </c>
      <c r="J3311">
        <v>4</v>
      </c>
      <c r="K3311">
        <v>2.2999999999999998</v>
      </c>
      <c r="L3311">
        <v>0</v>
      </c>
      <c r="M3311" t="s">
        <v>4808</v>
      </c>
      <c r="N3311" t="s">
        <v>4900</v>
      </c>
      <c r="O3311" t="s">
        <v>4910</v>
      </c>
    </row>
    <row r="3312" spans="1:15" x14ac:dyDescent="0.35">
      <c r="A3312" t="s">
        <v>3264</v>
      </c>
      <c r="B3312">
        <v>49</v>
      </c>
      <c r="C3312" t="s">
        <v>4802</v>
      </c>
      <c r="D3312" t="s">
        <v>15</v>
      </c>
      <c r="E3312">
        <v>91</v>
      </c>
      <c r="F3312">
        <v>45</v>
      </c>
      <c r="G3312" t="s">
        <v>4798</v>
      </c>
      <c r="H3312" t="s">
        <v>4806</v>
      </c>
      <c r="I3312">
        <v>17.989999999999998</v>
      </c>
      <c r="J3312">
        <v>5</v>
      </c>
      <c r="K3312">
        <v>3.03</v>
      </c>
      <c r="L3312">
        <v>0</v>
      </c>
      <c r="M3312" t="s">
        <v>4808</v>
      </c>
      <c r="N3312" t="s">
        <v>4900</v>
      </c>
      <c r="O3312" t="s">
        <v>4910</v>
      </c>
    </row>
    <row r="3313" spans="1:15" x14ac:dyDescent="0.35">
      <c r="A3313" t="s">
        <v>3265</v>
      </c>
      <c r="B3313">
        <v>37</v>
      </c>
      <c r="C3313" t="s">
        <v>4802</v>
      </c>
      <c r="D3313" t="s">
        <v>13</v>
      </c>
      <c r="E3313">
        <v>54</v>
      </c>
      <c r="F3313">
        <v>9</v>
      </c>
      <c r="G3313" t="s">
        <v>4799</v>
      </c>
      <c r="H3313" t="s">
        <v>4804</v>
      </c>
      <c r="I3313">
        <v>13.99</v>
      </c>
      <c r="J3313">
        <v>1</v>
      </c>
      <c r="K3313">
        <v>1.8</v>
      </c>
      <c r="L3313">
        <v>0</v>
      </c>
      <c r="M3313" t="s">
        <v>4810</v>
      </c>
      <c r="N3313" t="s">
        <v>4900</v>
      </c>
      <c r="O3313" t="s">
        <v>4910</v>
      </c>
    </row>
    <row r="3314" spans="1:15" x14ac:dyDescent="0.35">
      <c r="A3314" t="s">
        <v>3266</v>
      </c>
      <c r="B3314">
        <v>57</v>
      </c>
      <c r="C3314" t="s">
        <v>4803</v>
      </c>
      <c r="D3314" t="s">
        <v>13</v>
      </c>
      <c r="E3314">
        <v>41</v>
      </c>
      <c r="F3314">
        <v>54</v>
      </c>
      <c r="G3314" t="s">
        <v>4799</v>
      </c>
      <c r="H3314" t="s">
        <v>4806</v>
      </c>
      <c r="I3314">
        <v>13.99</v>
      </c>
      <c r="J3314">
        <v>3</v>
      </c>
      <c r="K3314">
        <v>2.0299999999999998</v>
      </c>
      <c r="L3314">
        <v>0</v>
      </c>
      <c r="M3314" t="s">
        <v>4808</v>
      </c>
      <c r="N3314" t="s">
        <v>4900</v>
      </c>
      <c r="O3314" t="s">
        <v>4911</v>
      </c>
    </row>
    <row r="3315" spans="1:15" x14ac:dyDescent="0.35">
      <c r="A3315" t="s">
        <v>3267</v>
      </c>
      <c r="B3315">
        <v>65</v>
      </c>
      <c r="C3315" t="s">
        <v>4802</v>
      </c>
      <c r="D3315" t="s">
        <v>13</v>
      </c>
      <c r="E3315">
        <v>55</v>
      </c>
      <c r="F3315">
        <v>46</v>
      </c>
      <c r="G3315" t="s">
        <v>4798</v>
      </c>
      <c r="H3315" t="s">
        <v>4804</v>
      </c>
      <c r="I3315">
        <v>13.99</v>
      </c>
      <c r="J3315">
        <v>1</v>
      </c>
      <c r="K3315">
        <v>1.83</v>
      </c>
      <c r="L3315">
        <v>1</v>
      </c>
      <c r="M3315" t="s">
        <v>4810</v>
      </c>
      <c r="N3315" t="s">
        <v>4899</v>
      </c>
      <c r="O3315" t="s">
        <v>4911</v>
      </c>
    </row>
    <row r="3316" spans="1:15" x14ac:dyDescent="0.35">
      <c r="A3316" t="s">
        <v>3268</v>
      </c>
      <c r="B3316">
        <v>63</v>
      </c>
      <c r="C3316" t="s">
        <v>4802</v>
      </c>
      <c r="D3316" t="s">
        <v>13</v>
      </c>
      <c r="E3316">
        <v>77</v>
      </c>
      <c r="F3316" t="s">
        <v>4814</v>
      </c>
      <c r="G3316" t="s">
        <v>4797</v>
      </c>
      <c r="H3316" t="s">
        <v>4806</v>
      </c>
      <c r="I3316">
        <v>13.99</v>
      </c>
      <c r="J3316">
        <v>2</v>
      </c>
      <c r="K3316">
        <v>2.57</v>
      </c>
      <c r="L3316">
        <v>0</v>
      </c>
      <c r="M3316" t="s">
        <v>4809</v>
      </c>
      <c r="N3316" t="s">
        <v>4900</v>
      </c>
      <c r="O3316" t="s">
        <v>4911</v>
      </c>
    </row>
    <row r="3317" spans="1:15" x14ac:dyDescent="0.35">
      <c r="A3317" t="s">
        <v>3269</v>
      </c>
      <c r="B3317">
        <v>42</v>
      </c>
      <c r="C3317" t="s">
        <v>4803</v>
      </c>
      <c r="D3317" t="s">
        <v>13</v>
      </c>
      <c r="E3317">
        <v>34</v>
      </c>
      <c r="F3317">
        <v>2</v>
      </c>
      <c r="G3317" t="s">
        <v>4797</v>
      </c>
      <c r="H3317" t="s">
        <v>4805</v>
      </c>
      <c r="I3317">
        <v>13.99</v>
      </c>
      <c r="J3317">
        <v>4</v>
      </c>
      <c r="K3317">
        <v>1.1299999999999999</v>
      </c>
      <c r="L3317">
        <v>0</v>
      </c>
      <c r="M3317" t="s">
        <v>4810</v>
      </c>
      <c r="N3317" t="s">
        <v>4900</v>
      </c>
      <c r="O3317" t="s">
        <v>4910</v>
      </c>
    </row>
    <row r="3318" spans="1:15" x14ac:dyDescent="0.35">
      <c r="A3318" t="s">
        <v>3270</v>
      </c>
      <c r="B3318">
        <v>50</v>
      </c>
      <c r="C3318" t="s">
        <v>4802</v>
      </c>
      <c r="D3318" t="s">
        <v>13</v>
      </c>
      <c r="E3318">
        <v>71</v>
      </c>
      <c r="F3318">
        <v>19</v>
      </c>
      <c r="G3318" t="s">
        <v>4799</v>
      </c>
      <c r="H3318" t="s">
        <v>4805</v>
      </c>
      <c r="I3318">
        <v>13.99</v>
      </c>
      <c r="J3318">
        <v>4</v>
      </c>
      <c r="K3318">
        <v>2.37</v>
      </c>
      <c r="L3318">
        <v>1</v>
      </c>
      <c r="M3318" t="s">
        <v>4811</v>
      </c>
      <c r="N3318" t="s">
        <v>4899</v>
      </c>
      <c r="O3318" t="s">
        <v>4910</v>
      </c>
    </row>
    <row r="3319" spans="1:15" x14ac:dyDescent="0.35">
      <c r="A3319" t="s">
        <v>3271</v>
      </c>
      <c r="B3319">
        <v>62</v>
      </c>
      <c r="C3319" t="s">
        <v>4802</v>
      </c>
      <c r="D3319" t="s">
        <v>13</v>
      </c>
      <c r="E3319">
        <v>44</v>
      </c>
      <c r="F3319">
        <v>4</v>
      </c>
      <c r="G3319" t="s">
        <v>4798</v>
      </c>
      <c r="H3319" t="s">
        <v>4804</v>
      </c>
      <c r="I3319">
        <v>13.99</v>
      </c>
      <c r="J3319">
        <v>4</v>
      </c>
      <c r="K3319">
        <v>1.47</v>
      </c>
      <c r="L3319">
        <v>0</v>
      </c>
      <c r="M3319" t="s">
        <v>4808</v>
      </c>
      <c r="N3319" t="s">
        <v>4900</v>
      </c>
      <c r="O3319" t="s">
        <v>4911</v>
      </c>
    </row>
    <row r="3320" spans="1:15" x14ac:dyDescent="0.35">
      <c r="A3320" t="s">
        <v>3272</v>
      </c>
      <c r="B3320">
        <v>50</v>
      </c>
      <c r="C3320" t="s">
        <v>4802</v>
      </c>
      <c r="D3320" t="s">
        <v>15</v>
      </c>
      <c r="E3320">
        <v>52</v>
      </c>
      <c r="F3320">
        <v>42</v>
      </c>
      <c r="G3320" t="s">
        <v>4797</v>
      </c>
      <c r="H3320" t="s">
        <v>4804</v>
      </c>
      <c r="I3320">
        <v>17.989999999999998</v>
      </c>
      <c r="J3320">
        <v>5</v>
      </c>
      <c r="K3320">
        <v>1.73</v>
      </c>
      <c r="L3320">
        <v>0</v>
      </c>
      <c r="M3320" t="s">
        <v>4812</v>
      </c>
      <c r="N3320" t="s">
        <v>4900</v>
      </c>
      <c r="O3320" t="s">
        <v>4910</v>
      </c>
    </row>
    <row r="3321" spans="1:15" x14ac:dyDescent="0.35">
      <c r="A3321" t="s">
        <v>3273</v>
      </c>
      <c r="B3321">
        <v>22</v>
      </c>
      <c r="C3321" t="s">
        <v>4802</v>
      </c>
      <c r="D3321" t="s">
        <v>15</v>
      </c>
      <c r="E3321">
        <v>95</v>
      </c>
      <c r="F3321">
        <v>23</v>
      </c>
      <c r="G3321" t="s">
        <v>4797</v>
      </c>
      <c r="H3321" t="s">
        <v>4804</v>
      </c>
      <c r="I3321">
        <v>17.989999999999998</v>
      </c>
      <c r="J3321">
        <v>4</v>
      </c>
      <c r="K3321">
        <v>3.17</v>
      </c>
      <c r="L3321">
        <v>0</v>
      </c>
      <c r="M3321" t="s">
        <v>4808</v>
      </c>
      <c r="N3321" t="s">
        <v>4900</v>
      </c>
      <c r="O3321" t="s">
        <v>4912</v>
      </c>
    </row>
    <row r="3322" spans="1:15" x14ac:dyDescent="0.35">
      <c r="A3322" t="s">
        <v>3274</v>
      </c>
      <c r="B3322">
        <v>30</v>
      </c>
      <c r="C3322" t="s">
        <v>4802</v>
      </c>
      <c r="D3322" t="s">
        <v>13</v>
      </c>
      <c r="E3322">
        <v>59</v>
      </c>
      <c r="F3322">
        <v>19</v>
      </c>
      <c r="G3322" t="s">
        <v>4798</v>
      </c>
      <c r="H3322" t="s">
        <v>4807</v>
      </c>
      <c r="I3322">
        <v>13.99</v>
      </c>
      <c r="J3322">
        <v>4</v>
      </c>
      <c r="K3322">
        <v>1.97</v>
      </c>
      <c r="L3322">
        <v>0</v>
      </c>
      <c r="M3322" t="s">
        <v>4812</v>
      </c>
      <c r="N3322" t="s">
        <v>4900</v>
      </c>
      <c r="O3322" t="s">
        <v>4912</v>
      </c>
    </row>
    <row r="3323" spans="1:15" x14ac:dyDescent="0.35">
      <c r="A3323" t="s">
        <v>3275</v>
      </c>
      <c r="B3323">
        <v>48</v>
      </c>
      <c r="C3323" t="s">
        <v>4802</v>
      </c>
      <c r="D3323" t="s">
        <v>15</v>
      </c>
      <c r="E3323">
        <v>57</v>
      </c>
      <c r="F3323">
        <v>56</v>
      </c>
      <c r="G3323" t="s">
        <v>4798</v>
      </c>
      <c r="H3323" t="s">
        <v>4805</v>
      </c>
      <c r="I3323">
        <v>17.989999999999998</v>
      </c>
      <c r="J3323">
        <v>5</v>
      </c>
      <c r="K3323">
        <v>1.9</v>
      </c>
      <c r="L3323">
        <v>0</v>
      </c>
      <c r="M3323" t="s">
        <v>4811</v>
      </c>
      <c r="N3323" t="s">
        <v>4900</v>
      </c>
      <c r="O3323" t="s">
        <v>4910</v>
      </c>
    </row>
    <row r="3324" spans="1:15" x14ac:dyDescent="0.35">
      <c r="A3324" t="s">
        <v>3276</v>
      </c>
      <c r="B3324">
        <v>49</v>
      </c>
      <c r="C3324" t="s">
        <v>4802</v>
      </c>
      <c r="D3324" t="s">
        <v>14</v>
      </c>
      <c r="E3324">
        <v>30</v>
      </c>
      <c r="F3324">
        <v>54</v>
      </c>
      <c r="G3324" t="s">
        <v>4798</v>
      </c>
      <c r="H3324" t="s">
        <v>4804</v>
      </c>
      <c r="I3324">
        <v>8.99</v>
      </c>
      <c r="J3324">
        <v>1</v>
      </c>
      <c r="K3324">
        <v>1</v>
      </c>
      <c r="L3324">
        <v>0</v>
      </c>
      <c r="M3324" t="s">
        <v>4809</v>
      </c>
      <c r="N3324" t="s">
        <v>4900</v>
      </c>
      <c r="O3324" t="s">
        <v>4910</v>
      </c>
    </row>
    <row r="3325" spans="1:15" x14ac:dyDescent="0.35">
      <c r="A3325" t="s">
        <v>3277</v>
      </c>
      <c r="B3325">
        <v>29</v>
      </c>
      <c r="C3325" t="s">
        <v>4803</v>
      </c>
      <c r="D3325" t="s">
        <v>13</v>
      </c>
      <c r="E3325">
        <v>37</v>
      </c>
      <c r="F3325">
        <v>60</v>
      </c>
      <c r="G3325" t="s">
        <v>4799</v>
      </c>
      <c r="H3325" t="s">
        <v>4805</v>
      </c>
      <c r="I3325">
        <v>13.99</v>
      </c>
      <c r="J3325">
        <v>1</v>
      </c>
      <c r="K3325">
        <v>1.23</v>
      </c>
      <c r="L3325">
        <v>0</v>
      </c>
      <c r="M3325" t="s">
        <v>4811</v>
      </c>
      <c r="N3325" t="s">
        <v>4900</v>
      </c>
      <c r="O3325" t="s">
        <v>4912</v>
      </c>
    </row>
    <row r="3326" spans="1:15" x14ac:dyDescent="0.35">
      <c r="A3326" t="s">
        <v>3278</v>
      </c>
      <c r="B3326">
        <v>54</v>
      </c>
      <c r="C3326" t="s">
        <v>4803</v>
      </c>
      <c r="D3326" t="s">
        <v>15</v>
      </c>
      <c r="E3326">
        <v>69</v>
      </c>
      <c r="F3326">
        <v>14</v>
      </c>
      <c r="G3326" t="s">
        <v>4797</v>
      </c>
      <c r="H3326" t="s">
        <v>4804</v>
      </c>
      <c r="I3326">
        <v>17.989999999999998</v>
      </c>
      <c r="J3326">
        <v>3</v>
      </c>
      <c r="K3326">
        <v>2.0299999999999998</v>
      </c>
      <c r="L3326">
        <v>0</v>
      </c>
      <c r="M3326" t="s">
        <v>4810</v>
      </c>
      <c r="N3326" t="s">
        <v>4900</v>
      </c>
      <c r="O3326" t="s">
        <v>4910</v>
      </c>
    </row>
    <row r="3327" spans="1:15" x14ac:dyDescent="0.35">
      <c r="A3327" t="s">
        <v>3279</v>
      </c>
      <c r="B3327">
        <v>34</v>
      </c>
      <c r="C3327" t="s">
        <v>4803</v>
      </c>
      <c r="D3327" t="s">
        <v>13</v>
      </c>
      <c r="E3327">
        <v>47</v>
      </c>
      <c r="F3327">
        <v>19</v>
      </c>
      <c r="G3327" t="s">
        <v>4799</v>
      </c>
      <c r="H3327" t="s">
        <v>4804</v>
      </c>
      <c r="I3327">
        <v>13.99</v>
      </c>
      <c r="J3327">
        <v>2</v>
      </c>
      <c r="K3327">
        <v>1.57</v>
      </c>
      <c r="L3327">
        <v>0</v>
      </c>
      <c r="M3327" t="s">
        <v>4808</v>
      </c>
      <c r="N3327" t="s">
        <v>4900</v>
      </c>
      <c r="O3327" t="s">
        <v>4912</v>
      </c>
    </row>
    <row r="3328" spans="1:15" x14ac:dyDescent="0.35">
      <c r="A3328" t="s">
        <v>3280</v>
      </c>
      <c r="B3328">
        <v>56</v>
      </c>
      <c r="C3328" t="s">
        <v>4802</v>
      </c>
      <c r="D3328" t="s">
        <v>13</v>
      </c>
      <c r="E3328">
        <v>65</v>
      </c>
      <c r="F3328">
        <v>22</v>
      </c>
      <c r="G3328" t="s">
        <v>4799</v>
      </c>
      <c r="H3328" t="s">
        <v>4804</v>
      </c>
      <c r="I3328">
        <v>13.99</v>
      </c>
      <c r="J3328">
        <v>4</v>
      </c>
      <c r="K3328">
        <v>2.17</v>
      </c>
      <c r="L3328">
        <v>0</v>
      </c>
      <c r="M3328" t="s">
        <v>4810</v>
      </c>
      <c r="N3328" t="s">
        <v>4900</v>
      </c>
      <c r="O3328" t="s">
        <v>4911</v>
      </c>
    </row>
    <row r="3329" spans="1:15" x14ac:dyDescent="0.35">
      <c r="A3329" t="s">
        <v>3281</v>
      </c>
      <c r="B3329">
        <v>39</v>
      </c>
      <c r="C3329" t="s">
        <v>4803</v>
      </c>
      <c r="D3329" t="s">
        <v>13</v>
      </c>
      <c r="E3329">
        <v>42</v>
      </c>
      <c r="F3329">
        <v>41</v>
      </c>
      <c r="G3329" t="s">
        <v>4799</v>
      </c>
      <c r="H3329" t="s">
        <v>4805</v>
      </c>
      <c r="I3329">
        <v>13.99</v>
      </c>
      <c r="J3329">
        <v>3</v>
      </c>
      <c r="K3329">
        <v>2.0299999999999998</v>
      </c>
      <c r="L3329">
        <v>0</v>
      </c>
      <c r="M3329" t="s">
        <v>4812</v>
      </c>
      <c r="N3329" t="s">
        <v>4900</v>
      </c>
      <c r="O3329" t="s">
        <v>4910</v>
      </c>
    </row>
    <row r="3330" spans="1:15" x14ac:dyDescent="0.35">
      <c r="A3330" t="s">
        <v>3282</v>
      </c>
      <c r="B3330">
        <v>62</v>
      </c>
      <c r="C3330" t="s">
        <v>4803</v>
      </c>
      <c r="D3330" t="s">
        <v>13</v>
      </c>
      <c r="E3330">
        <v>47</v>
      </c>
      <c r="F3330">
        <v>50</v>
      </c>
      <c r="G3330" t="s">
        <v>4798</v>
      </c>
      <c r="H3330" t="s">
        <v>4804</v>
      </c>
      <c r="I3330">
        <v>13.99</v>
      </c>
      <c r="J3330">
        <v>3</v>
      </c>
      <c r="K3330">
        <v>1.57</v>
      </c>
      <c r="L3330">
        <v>1</v>
      </c>
      <c r="M3330" t="s">
        <v>4812</v>
      </c>
      <c r="N3330" t="s">
        <v>4899</v>
      </c>
      <c r="O3330" t="s">
        <v>4911</v>
      </c>
    </row>
    <row r="3331" spans="1:15" x14ac:dyDescent="0.35">
      <c r="A3331" t="s">
        <v>3283</v>
      </c>
      <c r="B3331">
        <v>33</v>
      </c>
      <c r="C3331" t="s">
        <v>4802</v>
      </c>
      <c r="D3331" t="s">
        <v>13</v>
      </c>
      <c r="E3331">
        <v>66</v>
      </c>
      <c r="F3331">
        <v>41</v>
      </c>
      <c r="G3331" t="s">
        <v>4798</v>
      </c>
      <c r="H3331" t="s">
        <v>4805</v>
      </c>
      <c r="I3331">
        <v>13.99</v>
      </c>
      <c r="J3331">
        <v>3</v>
      </c>
      <c r="K3331">
        <v>2.2000000000000002</v>
      </c>
      <c r="L3331">
        <v>0</v>
      </c>
      <c r="M3331" t="s">
        <v>4812</v>
      </c>
      <c r="N3331" t="s">
        <v>4900</v>
      </c>
      <c r="O3331" t="s">
        <v>4912</v>
      </c>
    </row>
    <row r="3332" spans="1:15" x14ac:dyDescent="0.35">
      <c r="A3332" t="s">
        <v>3284</v>
      </c>
      <c r="B3332">
        <v>61</v>
      </c>
      <c r="C3332" t="s">
        <v>4803</v>
      </c>
      <c r="D3332" t="s">
        <v>13</v>
      </c>
      <c r="E3332">
        <v>44</v>
      </c>
      <c r="F3332" t="s">
        <v>4814</v>
      </c>
      <c r="G3332" t="s">
        <v>4798</v>
      </c>
      <c r="H3332" t="s">
        <v>4807</v>
      </c>
      <c r="I3332">
        <v>13.99</v>
      </c>
      <c r="J3332">
        <v>4</v>
      </c>
      <c r="K3332">
        <v>1.47</v>
      </c>
      <c r="L3332">
        <v>0</v>
      </c>
      <c r="M3332" t="s">
        <v>4810</v>
      </c>
      <c r="N3332" t="s">
        <v>4900</v>
      </c>
      <c r="O3332" t="s">
        <v>4911</v>
      </c>
    </row>
    <row r="3333" spans="1:15" x14ac:dyDescent="0.35">
      <c r="A3333" t="s">
        <v>3285</v>
      </c>
      <c r="B3333">
        <v>29</v>
      </c>
      <c r="C3333" t="s">
        <v>4803</v>
      </c>
      <c r="D3333" t="s">
        <v>13</v>
      </c>
      <c r="E3333">
        <v>31</v>
      </c>
      <c r="F3333">
        <v>15</v>
      </c>
      <c r="G3333" t="s">
        <v>4799</v>
      </c>
      <c r="H3333" t="s">
        <v>4805</v>
      </c>
      <c r="I3333">
        <v>13.99</v>
      </c>
      <c r="J3333">
        <v>1</v>
      </c>
      <c r="K3333">
        <v>1.03</v>
      </c>
      <c r="L3333">
        <v>0</v>
      </c>
      <c r="M3333" t="s">
        <v>4809</v>
      </c>
      <c r="N3333" t="s">
        <v>4900</v>
      </c>
      <c r="O3333" t="s">
        <v>4912</v>
      </c>
    </row>
    <row r="3334" spans="1:15" x14ac:dyDescent="0.35">
      <c r="A3334" t="s">
        <v>3286</v>
      </c>
      <c r="B3334">
        <v>63</v>
      </c>
      <c r="C3334" t="s">
        <v>4803</v>
      </c>
      <c r="D3334" t="s">
        <v>13</v>
      </c>
      <c r="E3334">
        <v>57</v>
      </c>
      <c r="F3334">
        <v>31</v>
      </c>
      <c r="G3334" t="s">
        <v>4797</v>
      </c>
      <c r="H3334" t="s">
        <v>4805</v>
      </c>
      <c r="I3334">
        <v>13.99</v>
      </c>
      <c r="J3334">
        <v>1</v>
      </c>
      <c r="K3334">
        <v>1.9</v>
      </c>
      <c r="L3334">
        <v>0</v>
      </c>
      <c r="M3334" t="s">
        <v>4810</v>
      </c>
      <c r="N3334" t="s">
        <v>4900</v>
      </c>
      <c r="O3334" t="s">
        <v>4911</v>
      </c>
    </row>
    <row r="3335" spans="1:15" x14ac:dyDescent="0.35">
      <c r="A3335" t="s">
        <v>4845</v>
      </c>
      <c r="B3335">
        <v>61</v>
      </c>
      <c r="C3335" t="s">
        <v>4802</v>
      </c>
      <c r="D3335" t="s">
        <v>15</v>
      </c>
      <c r="E3335">
        <v>86</v>
      </c>
      <c r="F3335">
        <v>35</v>
      </c>
      <c r="G3335" t="s">
        <v>4798</v>
      </c>
      <c r="H3335" t="s">
        <v>4806</v>
      </c>
      <c r="I3335">
        <v>17.989999999999998</v>
      </c>
      <c r="J3335">
        <v>4</v>
      </c>
      <c r="K3335">
        <v>2.87</v>
      </c>
      <c r="L3335">
        <v>0</v>
      </c>
      <c r="M3335" t="s">
        <v>4812</v>
      </c>
      <c r="N3335" t="s">
        <v>4900</v>
      </c>
      <c r="O3335" t="s">
        <v>4911</v>
      </c>
    </row>
    <row r="3336" spans="1:15" x14ac:dyDescent="0.35">
      <c r="A3336" t="s">
        <v>3287</v>
      </c>
      <c r="B3336">
        <v>50</v>
      </c>
      <c r="C3336" t="s">
        <v>4803</v>
      </c>
      <c r="D3336" t="s">
        <v>15</v>
      </c>
      <c r="E3336">
        <v>107</v>
      </c>
      <c r="F3336">
        <v>57</v>
      </c>
      <c r="G3336" t="s">
        <v>4799</v>
      </c>
      <c r="H3336" t="s">
        <v>4805</v>
      </c>
      <c r="I3336">
        <v>17.989999999999998</v>
      </c>
      <c r="J3336">
        <v>5</v>
      </c>
      <c r="K3336">
        <v>3.57</v>
      </c>
      <c r="L3336">
        <v>0</v>
      </c>
      <c r="M3336" t="s">
        <v>4809</v>
      </c>
      <c r="N3336" t="s">
        <v>4900</v>
      </c>
      <c r="O3336" t="s">
        <v>4910</v>
      </c>
    </row>
    <row r="3337" spans="1:15" x14ac:dyDescent="0.35">
      <c r="A3337" t="s">
        <v>3288</v>
      </c>
      <c r="B3337">
        <v>22</v>
      </c>
      <c r="C3337" t="s">
        <v>4803</v>
      </c>
      <c r="D3337" t="s">
        <v>13</v>
      </c>
      <c r="E3337">
        <v>64</v>
      </c>
      <c r="F3337">
        <v>49</v>
      </c>
      <c r="G3337" t="s">
        <v>4798</v>
      </c>
      <c r="H3337" t="s">
        <v>4805</v>
      </c>
      <c r="I3337">
        <v>13.99</v>
      </c>
      <c r="J3337">
        <v>1</v>
      </c>
      <c r="K3337">
        <v>2.13</v>
      </c>
      <c r="L3337">
        <v>0</v>
      </c>
      <c r="M3337" t="s">
        <v>4811</v>
      </c>
      <c r="N3337" t="s">
        <v>4900</v>
      </c>
      <c r="O3337" t="s">
        <v>4912</v>
      </c>
    </row>
    <row r="3338" spans="1:15" x14ac:dyDescent="0.35">
      <c r="A3338" t="s">
        <v>3289</v>
      </c>
      <c r="B3338">
        <v>24</v>
      </c>
      <c r="C3338" t="s">
        <v>4803</v>
      </c>
      <c r="D3338" t="s">
        <v>15</v>
      </c>
      <c r="E3338">
        <v>87</v>
      </c>
      <c r="F3338">
        <v>40</v>
      </c>
      <c r="G3338" t="s">
        <v>4799</v>
      </c>
      <c r="H3338" t="s">
        <v>4806</v>
      </c>
      <c r="I3338">
        <v>17.989999999999998</v>
      </c>
      <c r="J3338">
        <v>3</v>
      </c>
      <c r="K3338">
        <v>2.9</v>
      </c>
      <c r="L3338">
        <v>0</v>
      </c>
      <c r="M3338" t="s">
        <v>4809</v>
      </c>
      <c r="N3338" t="s">
        <v>4900</v>
      </c>
      <c r="O3338" t="s">
        <v>4912</v>
      </c>
    </row>
    <row r="3339" spans="1:15" x14ac:dyDescent="0.35">
      <c r="A3339" t="s">
        <v>3290</v>
      </c>
      <c r="B3339">
        <v>23</v>
      </c>
      <c r="C3339" t="s">
        <v>4803</v>
      </c>
      <c r="D3339" t="s">
        <v>15</v>
      </c>
      <c r="E3339">
        <v>66</v>
      </c>
      <c r="F3339">
        <v>52</v>
      </c>
      <c r="G3339" t="s">
        <v>4797</v>
      </c>
      <c r="H3339" t="s">
        <v>4805</v>
      </c>
      <c r="I3339">
        <v>17.989999999999998</v>
      </c>
      <c r="J3339">
        <v>5</v>
      </c>
      <c r="K3339">
        <v>2.2000000000000002</v>
      </c>
      <c r="L3339">
        <v>0</v>
      </c>
      <c r="M3339" t="s">
        <v>4809</v>
      </c>
      <c r="N3339" t="s">
        <v>4900</v>
      </c>
      <c r="O3339" t="s">
        <v>4912</v>
      </c>
    </row>
    <row r="3340" spans="1:15" x14ac:dyDescent="0.35">
      <c r="A3340" t="s">
        <v>3291</v>
      </c>
      <c r="B3340">
        <v>64</v>
      </c>
      <c r="C3340" t="s">
        <v>4803</v>
      </c>
      <c r="D3340" t="s">
        <v>15</v>
      </c>
      <c r="E3340">
        <v>89</v>
      </c>
      <c r="F3340">
        <v>21</v>
      </c>
      <c r="G3340" t="s">
        <v>4797</v>
      </c>
      <c r="H3340" t="s">
        <v>4804</v>
      </c>
      <c r="I3340">
        <v>17.989999999999998</v>
      </c>
      <c r="J3340">
        <v>2</v>
      </c>
      <c r="K3340">
        <v>2.97</v>
      </c>
      <c r="L3340">
        <v>0</v>
      </c>
      <c r="M3340" t="s">
        <v>4808</v>
      </c>
      <c r="N3340" t="s">
        <v>4900</v>
      </c>
      <c r="O3340" t="s">
        <v>4911</v>
      </c>
    </row>
    <row r="3341" spans="1:15" x14ac:dyDescent="0.35">
      <c r="A3341" t="s">
        <v>3292</v>
      </c>
      <c r="B3341">
        <v>59</v>
      </c>
      <c r="C3341" t="s">
        <v>4803</v>
      </c>
      <c r="D3341" t="s">
        <v>15</v>
      </c>
      <c r="E3341">
        <v>82</v>
      </c>
      <c r="F3341">
        <v>40</v>
      </c>
      <c r="G3341" t="s">
        <v>4799</v>
      </c>
      <c r="H3341" t="s">
        <v>4805</v>
      </c>
      <c r="I3341">
        <v>17.989999999999998</v>
      </c>
      <c r="J3341">
        <v>5</v>
      </c>
      <c r="K3341">
        <v>2.73</v>
      </c>
      <c r="L3341">
        <v>0</v>
      </c>
      <c r="M3341" t="s">
        <v>4812</v>
      </c>
      <c r="N3341" t="s">
        <v>4900</v>
      </c>
      <c r="O3341" t="s">
        <v>4911</v>
      </c>
    </row>
    <row r="3342" spans="1:15" x14ac:dyDescent="0.35">
      <c r="A3342" t="s">
        <v>3293</v>
      </c>
      <c r="B3342">
        <v>59</v>
      </c>
      <c r="C3342" t="s">
        <v>4803</v>
      </c>
      <c r="D3342" t="s">
        <v>13</v>
      </c>
      <c r="E3342">
        <v>76</v>
      </c>
      <c r="F3342">
        <v>12</v>
      </c>
      <c r="G3342" t="s">
        <v>4797</v>
      </c>
      <c r="H3342" t="s">
        <v>4807</v>
      </c>
      <c r="I3342">
        <v>13.99</v>
      </c>
      <c r="J3342">
        <v>4</v>
      </c>
      <c r="K3342">
        <v>2.5299999999999998</v>
      </c>
      <c r="L3342">
        <v>0</v>
      </c>
      <c r="M3342" t="s">
        <v>4809</v>
      </c>
      <c r="N3342" t="s">
        <v>4900</v>
      </c>
      <c r="O3342" t="s">
        <v>4911</v>
      </c>
    </row>
    <row r="3343" spans="1:15" x14ac:dyDescent="0.35">
      <c r="A3343" t="s">
        <v>3294</v>
      </c>
      <c r="B3343">
        <v>49</v>
      </c>
      <c r="C3343" t="s">
        <v>4803</v>
      </c>
      <c r="D3343" t="s">
        <v>13</v>
      </c>
      <c r="E3343">
        <v>45</v>
      </c>
      <c r="F3343">
        <v>40</v>
      </c>
      <c r="G3343" t="s">
        <v>4801</v>
      </c>
      <c r="H3343" t="s">
        <v>4804</v>
      </c>
      <c r="I3343">
        <v>13.99</v>
      </c>
      <c r="J3343">
        <v>1</v>
      </c>
      <c r="K3343">
        <v>1.5</v>
      </c>
      <c r="L3343">
        <v>0</v>
      </c>
      <c r="M3343" t="s">
        <v>4811</v>
      </c>
      <c r="N3343" t="s">
        <v>4900</v>
      </c>
      <c r="O3343" t="s">
        <v>4910</v>
      </c>
    </row>
    <row r="3344" spans="1:15" x14ac:dyDescent="0.35">
      <c r="A3344" t="s">
        <v>3295</v>
      </c>
      <c r="B3344">
        <v>28</v>
      </c>
      <c r="C3344" t="s">
        <v>4802</v>
      </c>
      <c r="D3344" t="s">
        <v>15</v>
      </c>
      <c r="E3344">
        <v>115</v>
      </c>
      <c r="F3344">
        <v>9</v>
      </c>
      <c r="G3344" t="s">
        <v>4800</v>
      </c>
      <c r="H3344" t="s">
        <v>4805</v>
      </c>
      <c r="I3344">
        <v>17.989999999999998</v>
      </c>
      <c r="J3344">
        <v>5</v>
      </c>
      <c r="K3344">
        <v>3.83</v>
      </c>
      <c r="L3344">
        <v>0</v>
      </c>
      <c r="M3344" t="s">
        <v>4808</v>
      </c>
      <c r="N3344" t="s">
        <v>4900</v>
      </c>
      <c r="O3344" t="s">
        <v>4912</v>
      </c>
    </row>
    <row r="3345" spans="1:15" x14ac:dyDescent="0.35">
      <c r="A3345" t="s">
        <v>3296</v>
      </c>
      <c r="B3345">
        <v>34</v>
      </c>
      <c r="C3345" t="s">
        <v>4802</v>
      </c>
      <c r="D3345" t="s">
        <v>15</v>
      </c>
      <c r="E3345">
        <v>85</v>
      </c>
      <c r="F3345">
        <v>7</v>
      </c>
      <c r="G3345" t="s">
        <v>4797</v>
      </c>
      <c r="H3345" t="s">
        <v>4804</v>
      </c>
      <c r="I3345">
        <v>17.989999999999998</v>
      </c>
      <c r="J3345">
        <v>5</v>
      </c>
      <c r="K3345">
        <v>2.83</v>
      </c>
      <c r="L3345">
        <v>1</v>
      </c>
      <c r="M3345" t="s">
        <v>4811</v>
      </c>
      <c r="N3345" t="s">
        <v>4899</v>
      </c>
      <c r="O3345" t="s">
        <v>4912</v>
      </c>
    </row>
    <row r="3346" spans="1:15" x14ac:dyDescent="0.35">
      <c r="A3346" t="s">
        <v>3297</v>
      </c>
      <c r="B3346">
        <v>29</v>
      </c>
      <c r="C3346" t="s">
        <v>4802</v>
      </c>
      <c r="D3346" t="s">
        <v>13</v>
      </c>
      <c r="E3346">
        <v>65</v>
      </c>
      <c r="F3346">
        <v>5</v>
      </c>
      <c r="G3346" t="s">
        <v>4798</v>
      </c>
      <c r="H3346" t="s">
        <v>4806</v>
      </c>
      <c r="I3346">
        <v>13.99</v>
      </c>
      <c r="J3346">
        <v>2</v>
      </c>
      <c r="K3346">
        <v>2.17</v>
      </c>
      <c r="L3346">
        <v>0</v>
      </c>
      <c r="M3346" t="s">
        <v>4811</v>
      </c>
      <c r="N3346" t="s">
        <v>4900</v>
      </c>
      <c r="O3346" t="s">
        <v>4912</v>
      </c>
    </row>
    <row r="3347" spans="1:15" x14ac:dyDescent="0.35">
      <c r="A3347" t="s">
        <v>3298</v>
      </c>
      <c r="B3347">
        <v>54</v>
      </c>
      <c r="C3347" t="s">
        <v>4802</v>
      </c>
      <c r="D3347" t="s">
        <v>13</v>
      </c>
      <c r="E3347">
        <v>55</v>
      </c>
      <c r="F3347">
        <v>56</v>
      </c>
      <c r="G3347" t="s">
        <v>4799</v>
      </c>
      <c r="H3347" t="s">
        <v>4805</v>
      </c>
      <c r="I3347">
        <v>13.99</v>
      </c>
      <c r="J3347">
        <v>4</v>
      </c>
      <c r="K3347">
        <v>1.83</v>
      </c>
      <c r="L3347">
        <v>0</v>
      </c>
      <c r="M3347" t="s">
        <v>4812</v>
      </c>
      <c r="N3347" t="s">
        <v>4900</v>
      </c>
      <c r="O3347" t="s">
        <v>4910</v>
      </c>
    </row>
    <row r="3348" spans="1:15" x14ac:dyDescent="0.35">
      <c r="A3348" t="s">
        <v>3299</v>
      </c>
      <c r="B3348">
        <v>44</v>
      </c>
      <c r="C3348" t="s">
        <v>4803</v>
      </c>
      <c r="D3348" t="s">
        <v>13</v>
      </c>
      <c r="E3348">
        <v>52</v>
      </c>
      <c r="F3348">
        <v>29</v>
      </c>
      <c r="G3348" t="s">
        <v>4797</v>
      </c>
      <c r="H3348" t="s">
        <v>4804</v>
      </c>
      <c r="I3348">
        <v>13.99</v>
      </c>
      <c r="J3348">
        <v>2</v>
      </c>
      <c r="K3348">
        <v>1.73</v>
      </c>
      <c r="L3348">
        <v>0</v>
      </c>
      <c r="M3348" t="s">
        <v>4811</v>
      </c>
      <c r="N3348" t="s">
        <v>4900</v>
      </c>
      <c r="O3348" t="s">
        <v>4910</v>
      </c>
    </row>
    <row r="3349" spans="1:15" x14ac:dyDescent="0.35">
      <c r="A3349" t="s">
        <v>3300</v>
      </c>
      <c r="B3349">
        <v>20</v>
      </c>
      <c r="C3349" t="s">
        <v>4802</v>
      </c>
      <c r="D3349" t="s">
        <v>13</v>
      </c>
      <c r="E3349">
        <v>76</v>
      </c>
      <c r="F3349">
        <v>8</v>
      </c>
      <c r="G3349" t="s">
        <v>4799</v>
      </c>
      <c r="H3349" t="s">
        <v>4805</v>
      </c>
      <c r="I3349">
        <v>13.99</v>
      </c>
      <c r="J3349">
        <v>1</v>
      </c>
      <c r="K3349">
        <v>2.5299999999999998</v>
      </c>
      <c r="L3349">
        <v>0</v>
      </c>
      <c r="M3349" t="s">
        <v>4809</v>
      </c>
      <c r="N3349" t="s">
        <v>4900</v>
      </c>
      <c r="O3349" t="s">
        <v>4912</v>
      </c>
    </row>
    <row r="3350" spans="1:15" x14ac:dyDescent="0.35">
      <c r="A3350" t="s">
        <v>3301</v>
      </c>
      <c r="B3350">
        <v>65</v>
      </c>
      <c r="C3350" t="s">
        <v>4803</v>
      </c>
      <c r="D3350" t="s">
        <v>13</v>
      </c>
      <c r="E3350">
        <v>31</v>
      </c>
      <c r="F3350">
        <v>24</v>
      </c>
      <c r="G3350" t="s">
        <v>4798</v>
      </c>
      <c r="H3350" t="s">
        <v>4805</v>
      </c>
      <c r="I3350">
        <v>13.99</v>
      </c>
      <c r="J3350">
        <v>3</v>
      </c>
      <c r="K3350">
        <v>1.03</v>
      </c>
      <c r="L3350">
        <v>0</v>
      </c>
      <c r="M3350" t="s">
        <v>4810</v>
      </c>
      <c r="N3350" t="s">
        <v>4900</v>
      </c>
      <c r="O3350" t="s">
        <v>4911</v>
      </c>
    </row>
    <row r="3351" spans="1:15" x14ac:dyDescent="0.35">
      <c r="A3351" t="s">
        <v>3302</v>
      </c>
      <c r="B3351">
        <v>47</v>
      </c>
      <c r="C3351" t="s">
        <v>4802</v>
      </c>
      <c r="D3351" t="s">
        <v>13</v>
      </c>
      <c r="E3351">
        <v>80</v>
      </c>
      <c r="F3351">
        <v>42</v>
      </c>
      <c r="G3351" t="s">
        <v>4798</v>
      </c>
      <c r="H3351" t="s">
        <v>4804</v>
      </c>
      <c r="I3351">
        <v>13.99</v>
      </c>
      <c r="J3351">
        <v>2</v>
      </c>
      <c r="K3351">
        <v>2.67</v>
      </c>
      <c r="L3351">
        <v>0</v>
      </c>
      <c r="M3351" t="s">
        <v>4810</v>
      </c>
      <c r="N3351" t="s">
        <v>4900</v>
      </c>
      <c r="O3351" t="s">
        <v>4910</v>
      </c>
    </row>
    <row r="3352" spans="1:15" x14ac:dyDescent="0.35">
      <c r="A3352" t="s">
        <v>3303</v>
      </c>
      <c r="B3352">
        <v>57</v>
      </c>
      <c r="C3352" t="s">
        <v>4803</v>
      </c>
      <c r="D3352" t="s">
        <v>13</v>
      </c>
      <c r="E3352">
        <v>57</v>
      </c>
      <c r="F3352">
        <v>43</v>
      </c>
      <c r="G3352" t="s">
        <v>4797</v>
      </c>
      <c r="H3352" t="s">
        <v>4806</v>
      </c>
      <c r="I3352">
        <v>13.99</v>
      </c>
      <c r="J3352">
        <v>2</v>
      </c>
      <c r="K3352">
        <v>1.9</v>
      </c>
      <c r="L3352">
        <v>0</v>
      </c>
      <c r="M3352" t="s">
        <v>4809</v>
      </c>
      <c r="N3352" t="s">
        <v>4900</v>
      </c>
      <c r="O3352" t="s">
        <v>4911</v>
      </c>
    </row>
    <row r="3353" spans="1:15" x14ac:dyDescent="0.35">
      <c r="A3353" t="s">
        <v>3304</v>
      </c>
      <c r="B3353">
        <v>34</v>
      </c>
      <c r="C3353" t="s">
        <v>4803</v>
      </c>
      <c r="D3353" t="s">
        <v>13</v>
      </c>
      <c r="E3353">
        <v>64</v>
      </c>
      <c r="F3353">
        <v>16</v>
      </c>
      <c r="G3353" t="s">
        <v>4797</v>
      </c>
      <c r="H3353" t="s">
        <v>4805</v>
      </c>
      <c r="I3353">
        <v>13.99</v>
      </c>
      <c r="J3353">
        <v>1</v>
      </c>
      <c r="K3353">
        <v>2.13</v>
      </c>
      <c r="L3353">
        <v>0</v>
      </c>
      <c r="M3353" t="s">
        <v>4812</v>
      </c>
      <c r="N3353" t="s">
        <v>4900</v>
      </c>
      <c r="O3353" t="s">
        <v>4912</v>
      </c>
    </row>
    <row r="3354" spans="1:15" x14ac:dyDescent="0.35">
      <c r="A3354" t="s">
        <v>3305</v>
      </c>
      <c r="B3354">
        <v>38</v>
      </c>
      <c r="C3354" t="s">
        <v>4803</v>
      </c>
      <c r="D3354" t="s">
        <v>13</v>
      </c>
      <c r="E3354">
        <v>69</v>
      </c>
      <c r="F3354">
        <v>57</v>
      </c>
      <c r="G3354" t="s">
        <v>4797</v>
      </c>
      <c r="H3354" t="s">
        <v>4804</v>
      </c>
      <c r="I3354">
        <v>13.99</v>
      </c>
      <c r="J3354">
        <v>1</v>
      </c>
      <c r="K3354">
        <v>2.2999999999999998</v>
      </c>
      <c r="L3354">
        <v>0</v>
      </c>
      <c r="M3354" t="s">
        <v>4810</v>
      </c>
      <c r="N3354" t="s">
        <v>4900</v>
      </c>
      <c r="O3354" t="s">
        <v>4910</v>
      </c>
    </row>
    <row r="3355" spans="1:15" x14ac:dyDescent="0.35">
      <c r="A3355" t="s">
        <v>3306</v>
      </c>
      <c r="B3355">
        <v>49</v>
      </c>
      <c r="C3355" t="s">
        <v>4802</v>
      </c>
      <c r="D3355" t="s">
        <v>14</v>
      </c>
      <c r="E3355">
        <v>32</v>
      </c>
      <c r="F3355">
        <v>42</v>
      </c>
      <c r="G3355" t="s">
        <v>4797</v>
      </c>
      <c r="H3355" t="s">
        <v>4804</v>
      </c>
      <c r="I3355">
        <v>8.99</v>
      </c>
      <c r="J3355">
        <v>1</v>
      </c>
      <c r="K3355">
        <v>1.07</v>
      </c>
      <c r="L3355">
        <v>0</v>
      </c>
      <c r="M3355" t="s">
        <v>4810</v>
      </c>
      <c r="N3355" t="s">
        <v>4900</v>
      </c>
      <c r="O3355" t="s">
        <v>4910</v>
      </c>
    </row>
    <row r="3356" spans="1:15" x14ac:dyDescent="0.35">
      <c r="A3356" t="s">
        <v>3307</v>
      </c>
      <c r="B3356">
        <v>49</v>
      </c>
      <c r="C3356" t="s">
        <v>4803</v>
      </c>
      <c r="D3356" t="s">
        <v>13</v>
      </c>
      <c r="E3356">
        <v>53</v>
      </c>
      <c r="F3356">
        <v>35</v>
      </c>
      <c r="G3356" t="s">
        <v>4801</v>
      </c>
      <c r="H3356" t="s">
        <v>4805</v>
      </c>
      <c r="I3356">
        <v>13.99</v>
      </c>
      <c r="J3356">
        <v>3</v>
      </c>
      <c r="K3356">
        <v>1.77</v>
      </c>
      <c r="L3356">
        <v>1</v>
      </c>
      <c r="M3356" t="s">
        <v>4812</v>
      </c>
      <c r="N3356" t="s">
        <v>4899</v>
      </c>
      <c r="O3356" t="s">
        <v>4910</v>
      </c>
    </row>
    <row r="3357" spans="1:15" x14ac:dyDescent="0.35">
      <c r="A3357" t="s">
        <v>3308</v>
      </c>
      <c r="B3357">
        <v>50</v>
      </c>
      <c r="C3357" t="s">
        <v>4803</v>
      </c>
      <c r="D3357" t="s">
        <v>13</v>
      </c>
      <c r="E3357">
        <v>54</v>
      </c>
      <c r="F3357">
        <v>11</v>
      </c>
      <c r="G3357" t="s">
        <v>4799</v>
      </c>
      <c r="H3357" t="s">
        <v>4805</v>
      </c>
      <c r="I3357">
        <v>13.99</v>
      </c>
      <c r="J3357">
        <v>4</v>
      </c>
      <c r="K3357">
        <v>1.8</v>
      </c>
      <c r="L3357">
        <v>0</v>
      </c>
      <c r="M3357" t="s">
        <v>4812</v>
      </c>
      <c r="N3357" t="s">
        <v>4900</v>
      </c>
      <c r="O3357" t="s">
        <v>4910</v>
      </c>
    </row>
    <row r="3358" spans="1:15" x14ac:dyDescent="0.35">
      <c r="A3358" t="s">
        <v>3309</v>
      </c>
      <c r="B3358">
        <v>40</v>
      </c>
      <c r="C3358" t="s">
        <v>4802</v>
      </c>
      <c r="D3358" t="s">
        <v>13</v>
      </c>
      <c r="E3358">
        <v>45</v>
      </c>
      <c r="F3358">
        <v>37</v>
      </c>
      <c r="G3358" t="s">
        <v>4797</v>
      </c>
      <c r="H3358" t="s">
        <v>4805</v>
      </c>
      <c r="I3358">
        <v>13.99</v>
      </c>
      <c r="J3358">
        <v>4</v>
      </c>
      <c r="K3358">
        <v>1.5</v>
      </c>
      <c r="L3358">
        <v>0</v>
      </c>
      <c r="M3358" t="s">
        <v>4812</v>
      </c>
      <c r="N3358" t="s">
        <v>4900</v>
      </c>
      <c r="O3358" t="s">
        <v>4910</v>
      </c>
    </row>
    <row r="3359" spans="1:15" x14ac:dyDescent="0.35">
      <c r="A3359" t="s">
        <v>3310</v>
      </c>
      <c r="B3359">
        <v>54</v>
      </c>
      <c r="C3359" t="s">
        <v>4802</v>
      </c>
      <c r="D3359" t="s">
        <v>13</v>
      </c>
      <c r="E3359">
        <v>55</v>
      </c>
      <c r="F3359">
        <v>14</v>
      </c>
      <c r="G3359" t="s">
        <v>4797</v>
      </c>
      <c r="H3359" t="s">
        <v>4804</v>
      </c>
      <c r="I3359">
        <v>13.99</v>
      </c>
      <c r="J3359">
        <v>3</v>
      </c>
      <c r="K3359">
        <v>1.83</v>
      </c>
      <c r="L3359">
        <v>0</v>
      </c>
      <c r="M3359" t="s">
        <v>4812</v>
      </c>
      <c r="N3359" t="s">
        <v>4900</v>
      </c>
      <c r="O3359" t="s">
        <v>4910</v>
      </c>
    </row>
    <row r="3360" spans="1:15" x14ac:dyDescent="0.35">
      <c r="A3360" t="s">
        <v>3311</v>
      </c>
      <c r="B3360">
        <v>36</v>
      </c>
      <c r="C3360" t="s">
        <v>4802</v>
      </c>
      <c r="D3360" t="s">
        <v>15</v>
      </c>
      <c r="E3360">
        <v>119</v>
      </c>
      <c r="F3360">
        <v>41</v>
      </c>
      <c r="G3360" t="s">
        <v>4797</v>
      </c>
      <c r="H3360" t="s">
        <v>4804</v>
      </c>
      <c r="I3360">
        <v>17.989999999999998</v>
      </c>
      <c r="J3360">
        <v>4</v>
      </c>
      <c r="K3360">
        <v>3.97</v>
      </c>
      <c r="L3360">
        <v>0</v>
      </c>
      <c r="M3360" t="s">
        <v>4811</v>
      </c>
      <c r="N3360" t="s">
        <v>4900</v>
      </c>
      <c r="O3360" t="s">
        <v>4910</v>
      </c>
    </row>
    <row r="3361" spans="1:15" x14ac:dyDescent="0.35">
      <c r="A3361" t="s">
        <v>3312</v>
      </c>
      <c r="B3361">
        <v>35</v>
      </c>
      <c r="C3361" t="s">
        <v>4803</v>
      </c>
      <c r="D3361" t="s">
        <v>13</v>
      </c>
      <c r="E3361">
        <v>49</v>
      </c>
      <c r="F3361">
        <v>55</v>
      </c>
      <c r="G3361" t="s">
        <v>4797</v>
      </c>
      <c r="H3361" t="s">
        <v>4806</v>
      </c>
      <c r="I3361">
        <v>13.99</v>
      </c>
      <c r="J3361">
        <v>4</v>
      </c>
      <c r="K3361">
        <v>1.63</v>
      </c>
      <c r="L3361">
        <v>0</v>
      </c>
      <c r="M3361" t="s">
        <v>4808</v>
      </c>
      <c r="N3361" t="s">
        <v>4900</v>
      </c>
      <c r="O3361" t="s">
        <v>4910</v>
      </c>
    </row>
    <row r="3362" spans="1:15" x14ac:dyDescent="0.35">
      <c r="A3362" t="s">
        <v>3313</v>
      </c>
      <c r="B3362">
        <v>18</v>
      </c>
      <c r="C3362" t="s">
        <v>4803</v>
      </c>
      <c r="D3362" t="s">
        <v>13</v>
      </c>
      <c r="E3362">
        <v>59</v>
      </c>
      <c r="F3362">
        <v>55</v>
      </c>
      <c r="G3362" t="s">
        <v>4799</v>
      </c>
      <c r="H3362" t="s">
        <v>4804</v>
      </c>
      <c r="I3362">
        <v>13.99</v>
      </c>
      <c r="J3362">
        <v>3</v>
      </c>
      <c r="K3362">
        <v>1.97</v>
      </c>
      <c r="L3362">
        <v>0</v>
      </c>
      <c r="M3362" t="s">
        <v>4809</v>
      </c>
      <c r="N3362" t="s">
        <v>4900</v>
      </c>
      <c r="O3362" t="s">
        <v>4912</v>
      </c>
    </row>
    <row r="3363" spans="1:15" x14ac:dyDescent="0.35">
      <c r="A3363" t="s">
        <v>3314</v>
      </c>
      <c r="B3363">
        <v>46</v>
      </c>
      <c r="C3363" t="s">
        <v>4802</v>
      </c>
      <c r="D3363" t="s">
        <v>15</v>
      </c>
      <c r="E3363">
        <v>53</v>
      </c>
      <c r="F3363">
        <v>15</v>
      </c>
      <c r="G3363" t="s">
        <v>4797</v>
      </c>
      <c r="H3363" t="s">
        <v>4805</v>
      </c>
      <c r="I3363">
        <v>17.989999999999998</v>
      </c>
      <c r="J3363">
        <v>4</v>
      </c>
      <c r="K3363">
        <v>2.0299999999999998</v>
      </c>
      <c r="L3363">
        <v>0</v>
      </c>
      <c r="M3363" t="s">
        <v>4809</v>
      </c>
      <c r="N3363" t="s">
        <v>4900</v>
      </c>
      <c r="O3363" t="s">
        <v>4910</v>
      </c>
    </row>
    <row r="3364" spans="1:15" x14ac:dyDescent="0.35">
      <c r="A3364" t="s">
        <v>3315</v>
      </c>
      <c r="B3364">
        <v>50</v>
      </c>
      <c r="C3364" t="s">
        <v>4803</v>
      </c>
      <c r="D3364" t="s">
        <v>13</v>
      </c>
      <c r="E3364">
        <v>76</v>
      </c>
      <c r="F3364">
        <v>38</v>
      </c>
      <c r="G3364" t="s">
        <v>4798</v>
      </c>
      <c r="H3364" t="s">
        <v>4804</v>
      </c>
      <c r="I3364">
        <v>13.99</v>
      </c>
      <c r="J3364">
        <v>3</v>
      </c>
      <c r="K3364">
        <v>2.5299999999999998</v>
      </c>
      <c r="L3364">
        <v>0</v>
      </c>
      <c r="M3364" t="s">
        <v>4811</v>
      </c>
      <c r="N3364" t="s">
        <v>4900</v>
      </c>
      <c r="O3364" t="s">
        <v>4910</v>
      </c>
    </row>
    <row r="3365" spans="1:15" x14ac:dyDescent="0.35">
      <c r="A3365" t="s">
        <v>3316</v>
      </c>
      <c r="B3365">
        <v>65</v>
      </c>
      <c r="C3365" t="s">
        <v>4802</v>
      </c>
      <c r="D3365" t="s">
        <v>13</v>
      </c>
      <c r="E3365">
        <v>44</v>
      </c>
      <c r="F3365">
        <v>55</v>
      </c>
      <c r="G3365" t="s">
        <v>4800</v>
      </c>
      <c r="H3365" t="s">
        <v>4805</v>
      </c>
      <c r="I3365">
        <v>13.99</v>
      </c>
      <c r="J3365">
        <v>2</v>
      </c>
      <c r="K3365">
        <v>1.47</v>
      </c>
      <c r="L3365">
        <v>0</v>
      </c>
      <c r="M3365" t="s">
        <v>4809</v>
      </c>
      <c r="N3365" t="s">
        <v>4900</v>
      </c>
      <c r="O3365" t="s">
        <v>4911</v>
      </c>
    </row>
    <row r="3366" spans="1:15" x14ac:dyDescent="0.35">
      <c r="A3366" t="s">
        <v>3317</v>
      </c>
      <c r="B3366">
        <v>19</v>
      </c>
      <c r="C3366" t="s">
        <v>4803</v>
      </c>
      <c r="D3366" t="s">
        <v>15</v>
      </c>
      <c r="E3366">
        <v>57</v>
      </c>
      <c r="F3366">
        <v>48</v>
      </c>
      <c r="G3366" t="s">
        <v>4799</v>
      </c>
      <c r="H3366" t="s">
        <v>4804</v>
      </c>
      <c r="I3366">
        <v>17.989999999999998</v>
      </c>
      <c r="J3366">
        <v>4</v>
      </c>
      <c r="K3366">
        <v>1.9</v>
      </c>
      <c r="L3366">
        <v>0</v>
      </c>
      <c r="M3366" t="s">
        <v>4812</v>
      </c>
      <c r="N3366" t="s">
        <v>4900</v>
      </c>
      <c r="O3366" t="s">
        <v>4912</v>
      </c>
    </row>
    <row r="3367" spans="1:15" x14ac:dyDescent="0.35">
      <c r="A3367" t="s">
        <v>3318</v>
      </c>
      <c r="B3367">
        <v>35</v>
      </c>
      <c r="C3367" t="s">
        <v>4803</v>
      </c>
      <c r="D3367" t="s">
        <v>13</v>
      </c>
      <c r="E3367">
        <v>32</v>
      </c>
      <c r="F3367">
        <v>54</v>
      </c>
      <c r="G3367" t="s">
        <v>4798</v>
      </c>
      <c r="H3367" t="s">
        <v>4805</v>
      </c>
      <c r="I3367">
        <v>13.99</v>
      </c>
      <c r="J3367">
        <v>3</v>
      </c>
      <c r="K3367">
        <v>1.07</v>
      </c>
      <c r="L3367">
        <v>0</v>
      </c>
      <c r="M3367" t="s">
        <v>4811</v>
      </c>
      <c r="N3367" t="s">
        <v>4900</v>
      </c>
      <c r="O3367" t="s">
        <v>4910</v>
      </c>
    </row>
    <row r="3368" spans="1:15" x14ac:dyDescent="0.35">
      <c r="A3368" t="s">
        <v>3319</v>
      </c>
      <c r="B3368">
        <v>49</v>
      </c>
      <c r="C3368" t="s">
        <v>4803</v>
      </c>
      <c r="D3368" t="s">
        <v>15</v>
      </c>
      <c r="E3368">
        <v>106</v>
      </c>
      <c r="F3368">
        <v>7</v>
      </c>
      <c r="G3368" t="s">
        <v>4800</v>
      </c>
      <c r="H3368" t="s">
        <v>4805</v>
      </c>
      <c r="I3368">
        <v>17.989999999999998</v>
      </c>
      <c r="J3368">
        <v>3</v>
      </c>
      <c r="K3368">
        <v>3.53</v>
      </c>
      <c r="L3368">
        <v>0</v>
      </c>
      <c r="M3368" t="s">
        <v>4812</v>
      </c>
      <c r="N3368" t="s">
        <v>4900</v>
      </c>
      <c r="O3368" t="s">
        <v>4910</v>
      </c>
    </row>
    <row r="3369" spans="1:15" x14ac:dyDescent="0.35">
      <c r="A3369" t="s">
        <v>3320</v>
      </c>
      <c r="B3369">
        <v>49</v>
      </c>
      <c r="C3369" t="s">
        <v>4803</v>
      </c>
      <c r="D3369" t="s">
        <v>13</v>
      </c>
      <c r="E3369">
        <v>59</v>
      </c>
      <c r="F3369">
        <v>7</v>
      </c>
      <c r="G3369" t="s">
        <v>4799</v>
      </c>
      <c r="H3369" t="s">
        <v>4807</v>
      </c>
      <c r="I3369">
        <v>13.99</v>
      </c>
      <c r="J3369">
        <v>2</v>
      </c>
      <c r="K3369">
        <v>1.97</v>
      </c>
      <c r="L3369">
        <v>0</v>
      </c>
      <c r="M3369" t="s">
        <v>4810</v>
      </c>
      <c r="N3369" t="s">
        <v>4900</v>
      </c>
      <c r="O3369" t="s">
        <v>4910</v>
      </c>
    </row>
    <row r="3370" spans="1:15" x14ac:dyDescent="0.35">
      <c r="A3370" t="s">
        <v>3321</v>
      </c>
      <c r="B3370">
        <v>33</v>
      </c>
      <c r="C3370" t="s">
        <v>4802</v>
      </c>
      <c r="D3370" t="s">
        <v>14</v>
      </c>
      <c r="E3370">
        <v>21</v>
      </c>
      <c r="F3370">
        <v>32</v>
      </c>
      <c r="G3370" t="s">
        <v>4797</v>
      </c>
      <c r="H3370" t="s">
        <v>4804</v>
      </c>
      <c r="I3370">
        <v>8.99</v>
      </c>
      <c r="J3370">
        <v>2</v>
      </c>
      <c r="K3370">
        <v>0.7</v>
      </c>
      <c r="L3370">
        <v>1</v>
      </c>
      <c r="M3370" t="s">
        <v>4812</v>
      </c>
      <c r="N3370" t="s">
        <v>4899</v>
      </c>
      <c r="O3370" t="s">
        <v>4912</v>
      </c>
    </row>
    <row r="3371" spans="1:15" x14ac:dyDescent="0.35">
      <c r="A3371" t="s">
        <v>3322</v>
      </c>
      <c r="B3371">
        <v>38</v>
      </c>
      <c r="C3371" t="s">
        <v>4802</v>
      </c>
      <c r="D3371" t="s">
        <v>15</v>
      </c>
      <c r="E3371">
        <v>92</v>
      </c>
      <c r="F3371">
        <v>15</v>
      </c>
      <c r="G3371" t="s">
        <v>4799</v>
      </c>
      <c r="H3371" t="s">
        <v>4805</v>
      </c>
      <c r="I3371">
        <v>17.989999999999998</v>
      </c>
      <c r="J3371">
        <v>5</v>
      </c>
      <c r="K3371">
        <v>3.07</v>
      </c>
      <c r="L3371">
        <v>0</v>
      </c>
      <c r="M3371" t="s">
        <v>4810</v>
      </c>
      <c r="N3371" t="s">
        <v>4900</v>
      </c>
      <c r="O3371" t="s">
        <v>4910</v>
      </c>
    </row>
    <row r="3372" spans="1:15" x14ac:dyDescent="0.35">
      <c r="A3372" t="s">
        <v>3323</v>
      </c>
      <c r="B3372">
        <v>37</v>
      </c>
      <c r="C3372" t="s">
        <v>4803</v>
      </c>
      <c r="D3372" t="s">
        <v>14</v>
      </c>
      <c r="E3372">
        <v>61</v>
      </c>
      <c r="F3372">
        <v>0</v>
      </c>
      <c r="G3372" t="s">
        <v>4798</v>
      </c>
      <c r="H3372" t="s">
        <v>4805</v>
      </c>
      <c r="I3372">
        <v>8.99</v>
      </c>
      <c r="J3372">
        <v>2</v>
      </c>
      <c r="K3372">
        <v>2.0299999999999998</v>
      </c>
      <c r="L3372">
        <v>0</v>
      </c>
      <c r="M3372" t="s">
        <v>4811</v>
      </c>
      <c r="N3372" t="s">
        <v>4900</v>
      </c>
      <c r="O3372" t="s">
        <v>4910</v>
      </c>
    </row>
    <row r="3373" spans="1:15" x14ac:dyDescent="0.35">
      <c r="A3373" t="s">
        <v>3324</v>
      </c>
      <c r="B3373">
        <v>26</v>
      </c>
      <c r="C3373" t="s">
        <v>4803</v>
      </c>
      <c r="D3373" t="s">
        <v>15</v>
      </c>
      <c r="E3373">
        <v>60</v>
      </c>
      <c r="F3373">
        <v>8</v>
      </c>
      <c r="G3373" t="s">
        <v>4799</v>
      </c>
      <c r="H3373" t="s">
        <v>4805</v>
      </c>
      <c r="I3373">
        <v>17.989999999999998</v>
      </c>
      <c r="J3373">
        <v>5</v>
      </c>
      <c r="K3373">
        <v>2</v>
      </c>
      <c r="L3373">
        <v>0</v>
      </c>
      <c r="M3373" t="s">
        <v>4810</v>
      </c>
      <c r="N3373" t="s">
        <v>4900</v>
      </c>
      <c r="O3373" t="s">
        <v>4912</v>
      </c>
    </row>
    <row r="3374" spans="1:15" x14ac:dyDescent="0.35">
      <c r="A3374" t="s">
        <v>4881</v>
      </c>
      <c r="B3374">
        <v>42</v>
      </c>
      <c r="C3374" t="s">
        <v>4802</v>
      </c>
      <c r="D3374" t="s">
        <v>13</v>
      </c>
      <c r="E3374">
        <v>57</v>
      </c>
      <c r="F3374">
        <v>20</v>
      </c>
      <c r="G3374" t="s">
        <v>4797</v>
      </c>
      <c r="H3374" t="s">
        <v>4805</v>
      </c>
      <c r="I3374">
        <v>13.99</v>
      </c>
      <c r="J3374">
        <v>3</v>
      </c>
      <c r="K3374">
        <v>1.9</v>
      </c>
      <c r="L3374">
        <v>0</v>
      </c>
      <c r="M3374" t="s">
        <v>4810</v>
      </c>
      <c r="N3374" t="s">
        <v>4900</v>
      </c>
      <c r="O3374" t="s">
        <v>4910</v>
      </c>
    </row>
    <row r="3375" spans="1:15" x14ac:dyDescent="0.35">
      <c r="A3375" t="s">
        <v>3325</v>
      </c>
      <c r="B3375">
        <v>37</v>
      </c>
      <c r="C3375" t="s">
        <v>4803</v>
      </c>
      <c r="D3375" t="s">
        <v>15</v>
      </c>
      <c r="E3375">
        <v>118</v>
      </c>
      <c r="F3375">
        <v>52</v>
      </c>
      <c r="G3375" t="s">
        <v>4798</v>
      </c>
      <c r="H3375" t="s">
        <v>4805</v>
      </c>
      <c r="I3375">
        <v>17.989999999999998</v>
      </c>
      <c r="J3375">
        <v>2</v>
      </c>
      <c r="K3375">
        <v>2.0299999999999998</v>
      </c>
      <c r="L3375">
        <v>1</v>
      </c>
      <c r="M3375" t="s">
        <v>4811</v>
      </c>
      <c r="N3375" t="s">
        <v>4899</v>
      </c>
      <c r="O3375" t="s">
        <v>4910</v>
      </c>
    </row>
    <row r="3376" spans="1:15" x14ac:dyDescent="0.35">
      <c r="A3376" t="s">
        <v>3326</v>
      </c>
      <c r="B3376">
        <v>30</v>
      </c>
      <c r="C3376" t="s">
        <v>4802</v>
      </c>
      <c r="D3376" t="s">
        <v>13</v>
      </c>
      <c r="E3376">
        <v>65</v>
      </c>
      <c r="F3376">
        <v>39</v>
      </c>
      <c r="G3376" t="s">
        <v>4797</v>
      </c>
      <c r="H3376" t="s">
        <v>4806</v>
      </c>
      <c r="I3376">
        <v>13.99</v>
      </c>
      <c r="J3376">
        <v>2</v>
      </c>
      <c r="K3376">
        <v>2.17</v>
      </c>
      <c r="L3376">
        <v>0</v>
      </c>
      <c r="M3376" t="s">
        <v>4811</v>
      </c>
      <c r="N3376" t="s">
        <v>4900</v>
      </c>
      <c r="O3376" t="s">
        <v>4912</v>
      </c>
    </row>
    <row r="3377" spans="1:15" x14ac:dyDescent="0.35">
      <c r="A3377" t="s">
        <v>3327</v>
      </c>
      <c r="B3377">
        <v>57</v>
      </c>
      <c r="C3377" t="s">
        <v>4803</v>
      </c>
      <c r="D3377" t="s">
        <v>13</v>
      </c>
      <c r="E3377">
        <v>57</v>
      </c>
      <c r="F3377">
        <v>33</v>
      </c>
      <c r="G3377" t="s">
        <v>4798</v>
      </c>
      <c r="H3377" t="s">
        <v>4804</v>
      </c>
      <c r="I3377">
        <v>13.99</v>
      </c>
      <c r="J3377">
        <v>1</v>
      </c>
      <c r="K3377">
        <v>1.9</v>
      </c>
      <c r="L3377">
        <v>0</v>
      </c>
      <c r="M3377" t="s">
        <v>4812</v>
      </c>
      <c r="N3377" t="s">
        <v>4900</v>
      </c>
      <c r="O3377" t="s">
        <v>4911</v>
      </c>
    </row>
    <row r="3378" spans="1:15" x14ac:dyDescent="0.35">
      <c r="A3378" t="s">
        <v>3328</v>
      </c>
      <c r="B3378">
        <v>18</v>
      </c>
      <c r="C3378" t="s">
        <v>4803</v>
      </c>
      <c r="D3378" t="s">
        <v>15</v>
      </c>
      <c r="E3378">
        <v>56</v>
      </c>
      <c r="F3378">
        <v>12</v>
      </c>
      <c r="G3378" t="s">
        <v>4799</v>
      </c>
      <c r="H3378" t="s">
        <v>4805</v>
      </c>
      <c r="I3378">
        <v>17.989999999999998</v>
      </c>
      <c r="J3378">
        <v>4</v>
      </c>
      <c r="K3378">
        <v>1.87</v>
      </c>
      <c r="L3378">
        <v>0</v>
      </c>
      <c r="M3378" t="s">
        <v>4808</v>
      </c>
      <c r="N3378" t="s">
        <v>4900</v>
      </c>
      <c r="O3378" t="s">
        <v>4912</v>
      </c>
    </row>
    <row r="3379" spans="1:15" x14ac:dyDescent="0.35">
      <c r="A3379" t="s">
        <v>3329</v>
      </c>
      <c r="B3379">
        <v>22</v>
      </c>
      <c r="C3379" t="s">
        <v>4803</v>
      </c>
      <c r="D3379" t="s">
        <v>13</v>
      </c>
      <c r="E3379">
        <v>45</v>
      </c>
      <c r="F3379">
        <v>29</v>
      </c>
      <c r="G3379" t="s">
        <v>4799</v>
      </c>
      <c r="H3379" t="s">
        <v>4805</v>
      </c>
      <c r="I3379">
        <v>13.99</v>
      </c>
      <c r="J3379">
        <v>3</v>
      </c>
      <c r="K3379">
        <v>1.5</v>
      </c>
      <c r="L3379">
        <v>0</v>
      </c>
      <c r="M3379" t="s">
        <v>4812</v>
      </c>
      <c r="N3379" t="s">
        <v>4900</v>
      </c>
      <c r="O3379" t="s">
        <v>4912</v>
      </c>
    </row>
    <row r="3380" spans="1:15" x14ac:dyDescent="0.35">
      <c r="A3380" t="s">
        <v>3330</v>
      </c>
      <c r="B3380">
        <v>64</v>
      </c>
      <c r="C3380" t="s">
        <v>4803</v>
      </c>
      <c r="D3380" t="s">
        <v>13</v>
      </c>
      <c r="E3380">
        <v>78</v>
      </c>
      <c r="F3380">
        <v>4</v>
      </c>
      <c r="G3380" t="s">
        <v>4799</v>
      </c>
      <c r="H3380" t="s">
        <v>4805</v>
      </c>
      <c r="I3380">
        <v>13.99</v>
      </c>
      <c r="J3380">
        <v>3</v>
      </c>
      <c r="K3380">
        <v>2.6</v>
      </c>
      <c r="L3380">
        <v>0</v>
      </c>
      <c r="M3380" t="s">
        <v>4809</v>
      </c>
      <c r="N3380" t="s">
        <v>4900</v>
      </c>
      <c r="O3380" t="s">
        <v>4911</v>
      </c>
    </row>
    <row r="3381" spans="1:15" x14ac:dyDescent="0.35">
      <c r="A3381" t="s">
        <v>3331</v>
      </c>
      <c r="B3381">
        <v>31</v>
      </c>
      <c r="C3381" t="s">
        <v>4803</v>
      </c>
      <c r="D3381" t="s">
        <v>13</v>
      </c>
      <c r="E3381">
        <v>42</v>
      </c>
      <c r="F3381">
        <v>17</v>
      </c>
      <c r="G3381" t="s">
        <v>4799</v>
      </c>
      <c r="H3381" t="s">
        <v>4805</v>
      </c>
      <c r="I3381">
        <v>13.99</v>
      </c>
      <c r="J3381">
        <v>2</v>
      </c>
      <c r="K3381">
        <v>1.4</v>
      </c>
      <c r="L3381">
        <v>0</v>
      </c>
      <c r="M3381" t="s">
        <v>4810</v>
      </c>
      <c r="N3381" t="s">
        <v>4900</v>
      </c>
      <c r="O3381" t="s">
        <v>4912</v>
      </c>
    </row>
    <row r="3382" spans="1:15" x14ac:dyDescent="0.35">
      <c r="A3382" t="s">
        <v>3332</v>
      </c>
      <c r="B3382">
        <v>40</v>
      </c>
      <c r="C3382" t="s">
        <v>4802</v>
      </c>
      <c r="D3382" t="s">
        <v>13</v>
      </c>
      <c r="E3382">
        <v>72</v>
      </c>
      <c r="F3382">
        <v>999</v>
      </c>
      <c r="G3382" t="s">
        <v>4798</v>
      </c>
      <c r="H3382" t="s">
        <v>4805</v>
      </c>
      <c r="I3382">
        <v>13.99</v>
      </c>
      <c r="J3382">
        <v>2</v>
      </c>
      <c r="K3382">
        <v>2.4</v>
      </c>
      <c r="L3382">
        <v>0</v>
      </c>
      <c r="M3382" t="s">
        <v>4811</v>
      </c>
      <c r="N3382" t="s">
        <v>4900</v>
      </c>
      <c r="O3382" t="s">
        <v>4910</v>
      </c>
    </row>
    <row r="3383" spans="1:15" x14ac:dyDescent="0.35">
      <c r="A3383" t="s">
        <v>3333</v>
      </c>
      <c r="B3383">
        <v>62</v>
      </c>
      <c r="C3383" t="s">
        <v>4802</v>
      </c>
      <c r="D3383" t="s">
        <v>13</v>
      </c>
      <c r="E3383">
        <v>80</v>
      </c>
      <c r="F3383">
        <v>55</v>
      </c>
      <c r="G3383" t="s">
        <v>4799</v>
      </c>
      <c r="H3383" t="s">
        <v>4805</v>
      </c>
      <c r="I3383">
        <v>13.99</v>
      </c>
      <c r="J3383">
        <v>2</v>
      </c>
      <c r="K3383">
        <v>2.67</v>
      </c>
      <c r="L3383">
        <v>0</v>
      </c>
      <c r="M3383" t="s">
        <v>4808</v>
      </c>
      <c r="N3383" t="s">
        <v>4900</v>
      </c>
      <c r="O3383" t="s">
        <v>4911</v>
      </c>
    </row>
    <row r="3384" spans="1:15" x14ac:dyDescent="0.35">
      <c r="A3384" t="s">
        <v>3334</v>
      </c>
      <c r="B3384">
        <v>63</v>
      </c>
      <c r="C3384" t="s">
        <v>4803</v>
      </c>
      <c r="D3384" t="s">
        <v>13</v>
      </c>
      <c r="E3384">
        <v>68</v>
      </c>
      <c r="F3384">
        <v>7</v>
      </c>
      <c r="G3384" t="s">
        <v>4798</v>
      </c>
      <c r="H3384" t="s">
        <v>4806</v>
      </c>
      <c r="I3384">
        <v>13.99</v>
      </c>
      <c r="J3384">
        <v>4</v>
      </c>
      <c r="K3384">
        <v>2.27</v>
      </c>
      <c r="L3384">
        <v>0</v>
      </c>
      <c r="M3384" t="s">
        <v>4808</v>
      </c>
      <c r="N3384" t="s">
        <v>4900</v>
      </c>
      <c r="O3384" t="s">
        <v>4911</v>
      </c>
    </row>
    <row r="3385" spans="1:15" x14ac:dyDescent="0.35">
      <c r="A3385" t="s">
        <v>3335</v>
      </c>
      <c r="B3385">
        <v>58</v>
      </c>
      <c r="C3385" t="s">
        <v>4803</v>
      </c>
      <c r="D3385" t="s">
        <v>13</v>
      </c>
      <c r="E3385">
        <v>73</v>
      </c>
      <c r="F3385">
        <v>26</v>
      </c>
      <c r="G3385" t="s">
        <v>4800</v>
      </c>
      <c r="H3385" t="s">
        <v>4805</v>
      </c>
      <c r="I3385">
        <v>13.99</v>
      </c>
      <c r="J3385">
        <v>4</v>
      </c>
      <c r="K3385">
        <v>2.4300000000000002</v>
      </c>
      <c r="L3385">
        <v>0</v>
      </c>
      <c r="M3385" t="s">
        <v>4809</v>
      </c>
      <c r="N3385" t="s">
        <v>4900</v>
      </c>
      <c r="O3385" t="s">
        <v>4911</v>
      </c>
    </row>
    <row r="3386" spans="1:15" x14ac:dyDescent="0.35">
      <c r="A3386" t="s">
        <v>3336</v>
      </c>
      <c r="B3386">
        <v>29</v>
      </c>
      <c r="C3386" t="s">
        <v>4803</v>
      </c>
      <c r="D3386" t="s">
        <v>14</v>
      </c>
      <c r="E3386">
        <v>77</v>
      </c>
      <c r="F3386">
        <v>55</v>
      </c>
      <c r="G3386" t="s">
        <v>4800</v>
      </c>
      <c r="H3386" t="s">
        <v>4805</v>
      </c>
      <c r="I3386">
        <v>8.99</v>
      </c>
      <c r="J3386">
        <v>4</v>
      </c>
      <c r="K3386">
        <v>2.57</v>
      </c>
      <c r="L3386">
        <v>0</v>
      </c>
      <c r="M3386" t="s">
        <v>4809</v>
      </c>
      <c r="N3386" t="s">
        <v>4900</v>
      </c>
      <c r="O3386" t="s">
        <v>4912</v>
      </c>
    </row>
    <row r="3387" spans="1:15" x14ac:dyDescent="0.35">
      <c r="A3387" t="s">
        <v>3337</v>
      </c>
      <c r="B3387">
        <v>22</v>
      </c>
      <c r="C3387" t="s">
        <v>4802</v>
      </c>
      <c r="D3387" t="s">
        <v>13</v>
      </c>
      <c r="E3387">
        <v>37</v>
      </c>
      <c r="F3387">
        <v>0</v>
      </c>
      <c r="G3387" t="s">
        <v>4798</v>
      </c>
      <c r="H3387" t="s">
        <v>4804</v>
      </c>
      <c r="I3387">
        <v>13.99</v>
      </c>
      <c r="J3387">
        <v>4</v>
      </c>
      <c r="K3387">
        <v>1.23</v>
      </c>
      <c r="L3387">
        <v>0</v>
      </c>
      <c r="M3387" t="s">
        <v>4812</v>
      </c>
      <c r="N3387" t="s">
        <v>4900</v>
      </c>
      <c r="O3387" t="s">
        <v>4912</v>
      </c>
    </row>
    <row r="3388" spans="1:15" x14ac:dyDescent="0.35">
      <c r="A3388" t="s">
        <v>3338</v>
      </c>
      <c r="B3388">
        <v>41</v>
      </c>
      <c r="C3388" t="s">
        <v>4802</v>
      </c>
      <c r="D3388" t="s">
        <v>13</v>
      </c>
      <c r="E3388">
        <v>61</v>
      </c>
      <c r="F3388">
        <v>20</v>
      </c>
      <c r="G3388" t="s">
        <v>4798</v>
      </c>
      <c r="H3388" t="s">
        <v>4805</v>
      </c>
      <c r="I3388">
        <v>13.99</v>
      </c>
      <c r="J3388">
        <v>2</v>
      </c>
      <c r="K3388">
        <v>2.0299999999999998</v>
      </c>
      <c r="L3388">
        <v>0</v>
      </c>
      <c r="M3388" t="s">
        <v>4810</v>
      </c>
      <c r="N3388" t="s">
        <v>4900</v>
      </c>
      <c r="O3388" t="s">
        <v>4910</v>
      </c>
    </row>
    <row r="3389" spans="1:15" x14ac:dyDescent="0.35">
      <c r="A3389" t="s">
        <v>3339</v>
      </c>
      <c r="B3389">
        <v>32</v>
      </c>
      <c r="C3389" t="s">
        <v>4803</v>
      </c>
      <c r="D3389" t="s">
        <v>14</v>
      </c>
      <c r="E3389">
        <v>23</v>
      </c>
      <c r="F3389">
        <v>1</v>
      </c>
      <c r="G3389" t="s">
        <v>4798</v>
      </c>
      <c r="H3389" t="s">
        <v>4805</v>
      </c>
      <c r="I3389">
        <v>8.99</v>
      </c>
      <c r="J3389">
        <v>2</v>
      </c>
      <c r="K3389">
        <v>0.77</v>
      </c>
      <c r="L3389">
        <v>0</v>
      </c>
      <c r="M3389" t="s">
        <v>4811</v>
      </c>
      <c r="N3389" t="s">
        <v>4900</v>
      </c>
      <c r="O3389" t="s">
        <v>4912</v>
      </c>
    </row>
    <row r="3390" spans="1:15" x14ac:dyDescent="0.35">
      <c r="A3390" t="s">
        <v>3340</v>
      </c>
      <c r="B3390">
        <v>22</v>
      </c>
      <c r="C3390" t="s">
        <v>4802</v>
      </c>
      <c r="D3390" t="s">
        <v>13</v>
      </c>
      <c r="E3390">
        <v>75</v>
      </c>
      <c r="F3390">
        <v>28</v>
      </c>
      <c r="G3390" t="s">
        <v>4799</v>
      </c>
      <c r="H3390" t="s">
        <v>4806</v>
      </c>
      <c r="I3390">
        <v>13.99</v>
      </c>
      <c r="J3390">
        <v>4</v>
      </c>
      <c r="K3390">
        <v>2.5</v>
      </c>
      <c r="L3390">
        <v>0</v>
      </c>
      <c r="M3390" t="s">
        <v>4809</v>
      </c>
      <c r="N3390" t="s">
        <v>4900</v>
      </c>
      <c r="O3390" t="s">
        <v>4912</v>
      </c>
    </row>
    <row r="3391" spans="1:15" x14ac:dyDescent="0.35">
      <c r="A3391" t="s">
        <v>3341</v>
      </c>
      <c r="B3391">
        <v>40</v>
      </c>
      <c r="C3391" t="s">
        <v>4802</v>
      </c>
      <c r="D3391" t="s">
        <v>13</v>
      </c>
      <c r="E3391">
        <v>46</v>
      </c>
      <c r="F3391">
        <v>999</v>
      </c>
      <c r="G3391" t="s">
        <v>4798</v>
      </c>
      <c r="H3391" t="s">
        <v>4806</v>
      </c>
      <c r="I3391">
        <v>13.99</v>
      </c>
      <c r="J3391">
        <v>4</v>
      </c>
      <c r="K3391">
        <v>2.0299999999999998</v>
      </c>
      <c r="L3391">
        <v>0</v>
      </c>
      <c r="M3391" t="s">
        <v>4810</v>
      </c>
      <c r="N3391" t="s">
        <v>4900</v>
      </c>
      <c r="O3391" t="s">
        <v>4910</v>
      </c>
    </row>
    <row r="3392" spans="1:15" x14ac:dyDescent="0.35">
      <c r="A3392" t="s">
        <v>3342</v>
      </c>
      <c r="B3392">
        <v>31</v>
      </c>
      <c r="C3392" t="s">
        <v>4803</v>
      </c>
      <c r="D3392" t="s">
        <v>13</v>
      </c>
      <c r="E3392">
        <v>43</v>
      </c>
      <c r="F3392">
        <v>19</v>
      </c>
      <c r="G3392" t="s">
        <v>4798</v>
      </c>
      <c r="H3392" t="s">
        <v>4805</v>
      </c>
      <c r="I3392">
        <v>13.99</v>
      </c>
      <c r="J3392">
        <v>1</v>
      </c>
      <c r="K3392">
        <v>2.0299999999999998</v>
      </c>
      <c r="L3392">
        <v>0</v>
      </c>
      <c r="M3392" t="s">
        <v>4811</v>
      </c>
      <c r="N3392" t="s">
        <v>4900</v>
      </c>
      <c r="O3392" t="s">
        <v>4912</v>
      </c>
    </row>
    <row r="3393" spans="1:15" x14ac:dyDescent="0.35">
      <c r="A3393" t="s">
        <v>3343</v>
      </c>
      <c r="B3393">
        <v>60</v>
      </c>
      <c r="C3393" t="s">
        <v>4803</v>
      </c>
      <c r="D3393" t="s">
        <v>13</v>
      </c>
      <c r="E3393">
        <v>64</v>
      </c>
      <c r="F3393">
        <v>59</v>
      </c>
      <c r="G3393" t="s">
        <v>4799</v>
      </c>
      <c r="H3393" t="s">
        <v>4804</v>
      </c>
      <c r="I3393">
        <v>13.99</v>
      </c>
      <c r="J3393">
        <v>3</v>
      </c>
      <c r="K3393">
        <v>2.13</v>
      </c>
      <c r="L3393">
        <v>0</v>
      </c>
      <c r="M3393" t="s">
        <v>4811</v>
      </c>
      <c r="N3393" t="s">
        <v>4900</v>
      </c>
      <c r="O3393" t="s">
        <v>4911</v>
      </c>
    </row>
    <row r="3394" spans="1:15" x14ac:dyDescent="0.35">
      <c r="A3394" t="s">
        <v>3344</v>
      </c>
      <c r="B3394">
        <v>47</v>
      </c>
      <c r="C3394" t="s">
        <v>4802</v>
      </c>
      <c r="D3394" t="s">
        <v>13</v>
      </c>
      <c r="E3394">
        <v>37</v>
      </c>
      <c r="F3394">
        <v>52</v>
      </c>
      <c r="G3394" t="s">
        <v>4797</v>
      </c>
      <c r="H3394" t="s">
        <v>4806</v>
      </c>
      <c r="I3394">
        <v>13.99</v>
      </c>
      <c r="J3394">
        <v>2</v>
      </c>
      <c r="K3394">
        <v>1.23</v>
      </c>
      <c r="L3394">
        <v>0</v>
      </c>
      <c r="M3394" t="s">
        <v>4809</v>
      </c>
      <c r="N3394" t="s">
        <v>4900</v>
      </c>
      <c r="O3394" t="s">
        <v>4910</v>
      </c>
    </row>
    <row r="3395" spans="1:15" x14ac:dyDescent="0.35">
      <c r="A3395" t="s">
        <v>3345</v>
      </c>
      <c r="B3395">
        <v>63</v>
      </c>
      <c r="C3395" t="s">
        <v>4803</v>
      </c>
      <c r="D3395" t="s">
        <v>13</v>
      </c>
      <c r="E3395">
        <v>46</v>
      </c>
      <c r="F3395">
        <v>55</v>
      </c>
      <c r="G3395" t="s">
        <v>4801</v>
      </c>
      <c r="H3395" t="s">
        <v>4804</v>
      </c>
      <c r="I3395">
        <v>13.99</v>
      </c>
      <c r="J3395">
        <v>1</v>
      </c>
      <c r="K3395">
        <v>1.53</v>
      </c>
      <c r="L3395">
        <v>0</v>
      </c>
      <c r="M3395" t="s">
        <v>4812</v>
      </c>
      <c r="N3395" t="s">
        <v>4900</v>
      </c>
      <c r="O3395" t="s">
        <v>4911</v>
      </c>
    </row>
    <row r="3396" spans="1:15" x14ac:dyDescent="0.35">
      <c r="A3396" t="s">
        <v>3346</v>
      </c>
      <c r="B3396">
        <v>58</v>
      </c>
      <c r="C3396" t="s">
        <v>4802</v>
      </c>
      <c r="D3396" t="s">
        <v>13</v>
      </c>
      <c r="E3396">
        <v>36</v>
      </c>
      <c r="F3396" t="s">
        <v>4814</v>
      </c>
      <c r="G3396" t="s">
        <v>4799</v>
      </c>
      <c r="H3396" t="s">
        <v>4804</v>
      </c>
      <c r="I3396">
        <v>13.99</v>
      </c>
      <c r="J3396">
        <v>4</v>
      </c>
      <c r="K3396">
        <v>1.2</v>
      </c>
      <c r="L3396">
        <v>0</v>
      </c>
      <c r="M3396" t="s">
        <v>4809</v>
      </c>
      <c r="N3396" t="s">
        <v>4900</v>
      </c>
      <c r="O3396" t="s">
        <v>4911</v>
      </c>
    </row>
    <row r="3397" spans="1:15" x14ac:dyDescent="0.35">
      <c r="A3397" t="s">
        <v>3347</v>
      </c>
      <c r="B3397">
        <v>28</v>
      </c>
      <c r="C3397" t="s">
        <v>4803</v>
      </c>
      <c r="D3397" t="s">
        <v>13</v>
      </c>
      <c r="E3397">
        <v>41</v>
      </c>
      <c r="F3397">
        <v>0</v>
      </c>
      <c r="G3397" t="s">
        <v>4797</v>
      </c>
      <c r="H3397" t="s">
        <v>4804</v>
      </c>
      <c r="I3397">
        <v>13.99</v>
      </c>
      <c r="J3397">
        <v>2</v>
      </c>
      <c r="K3397">
        <v>5</v>
      </c>
      <c r="L3397">
        <v>0</v>
      </c>
      <c r="M3397" t="s">
        <v>4810</v>
      </c>
      <c r="N3397" t="s">
        <v>4900</v>
      </c>
      <c r="O3397" t="s">
        <v>4912</v>
      </c>
    </row>
    <row r="3398" spans="1:15" x14ac:dyDescent="0.35">
      <c r="A3398" t="s">
        <v>3348</v>
      </c>
      <c r="B3398">
        <v>33</v>
      </c>
      <c r="C3398" t="s">
        <v>4802</v>
      </c>
      <c r="D3398" t="s">
        <v>13</v>
      </c>
      <c r="E3398">
        <v>40</v>
      </c>
      <c r="F3398">
        <v>60</v>
      </c>
      <c r="G3398" t="s">
        <v>4799</v>
      </c>
      <c r="H3398" t="s">
        <v>4805</v>
      </c>
      <c r="I3398">
        <v>13.99</v>
      </c>
      <c r="J3398">
        <v>3</v>
      </c>
      <c r="K3398">
        <v>1.33</v>
      </c>
      <c r="L3398">
        <v>0</v>
      </c>
      <c r="M3398" t="s">
        <v>4808</v>
      </c>
      <c r="N3398" t="s">
        <v>4900</v>
      </c>
      <c r="O3398" t="s">
        <v>4912</v>
      </c>
    </row>
    <row r="3399" spans="1:15" x14ac:dyDescent="0.35">
      <c r="A3399" t="s">
        <v>3349</v>
      </c>
      <c r="B3399">
        <v>19</v>
      </c>
      <c r="C3399" t="s">
        <v>4802</v>
      </c>
      <c r="D3399" t="s">
        <v>13</v>
      </c>
      <c r="E3399">
        <v>71</v>
      </c>
      <c r="F3399">
        <v>40</v>
      </c>
      <c r="G3399" t="s">
        <v>4797</v>
      </c>
      <c r="H3399" t="s">
        <v>4804</v>
      </c>
      <c r="I3399">
        <v>13.99</v>
      </c>
      <c r="J3399">
        <v>3</v>
      </c>
      <c r="K3399">
        <v>2.37</v>
      </c>
      <c r="L3399">
        <v>0</v>
      </c>
      <c r="M3399" t="s">
        <v>4812</v>
      </c>
      <c r="N3399" t="s">
        <v>4900</v>
      </c>
      <c r="O3399" t="s">
        <v>4912</v>
      </c>
    </row>
    <row r="3400" spans="1:15" x14ac:dyDescent="0.35">
      <c r="A3400" t="s">
        <v>3350</v>
      </c>
      <c r="B3400">
        <v>65</v>
      </c>
      <c r="C3400" t="s">
        <v>4803</v>
      </c>
      <c r="D3400" t="s">
        <v>13</v>
      </c>
      <c r="E3400">
        <v>80</v>
      </c>
      <c r="F3400">
        <v>56</v>
      </c>
      <c r="G3400" t="s">
        <v>4797</v>
      </c>
      <c r="H3400" t="s">
        <v>4804</v>
      </c>
      <c r="I3400">
        <v>13.99</v>
      </c>
      <c r="J3400">
        <v>1</v>
      </c>
      <c r="K3400">
        <v>2.67</v>
      </c>
      <c r="L3400">
        <v>1</v>
      </c>
      <c r="M3400" t="s">
        <v>4808</v>
      </c>
      <c r="N3400" t="s">
        <v>4899</v>
      </c>
      <c r="O3400" t="s">
        <v>4911</v>
      </c>
    </row>
    <row r="3401" spans="1:15" x14ac:dyDescent="0.35">
      <c r="A3401" t="s">
        <v>3351</v>
      </c>
      <c r="B3401">
        <v>23</v>
      </c>
      <c r="C3401" t="s">
        <v>4803</v>
      </c>
      <c r="D3401" t="s">
        <v>15</v>
      </c>
      <c r="E3401">
        <v>63</v>
      </c>
      <c r="F3401">
        <v>27</v>
      </c>
      <c r="G3401" t="s">
        <v>4797</v>
      </c>
      <c r="H3401" t="s">
        <v>4806</v>
      </c>
      <c r="I3401">
        <v>17.989999999999998</v>
      </c>
      <c r="J3401">
        <v>2</v>
      </c>
      <c r="K3401">
        <v>2.0299999999999998</v>
      </c>
      <c r="L3401">
        <v>0</v>
      </c>
      <c r="M3401" t="s">
        <v>4810</v>
      </c>
      <c r="N3401" t="s">
        <v>4900</v>
      </c>
      <c r="O3401" t="s">
        <v>4912</v>
      </c>
    </row>
    <row r="3402" spans="1:15" x14ac:dyDescent="0.35">
      <c r="A3402" t="s">
        <v>3352</v>
      </c>
      <c r="B3402">
        <v>63</v>
      </c>
      <c r="C3402" t="s">
        <v>4803</v>
      </c>
      <c r="D3402" t="s">
        <v>13</v>
      </c>
      <c r="E3402">
        <v>61</v>
      </c>
      <c r="F3402">
        <v>54</v>
      </c>
      <c r="G3402" t="s">
        <v>4799</v>
      </c>
      <c r="H3402" t="s">
        <v>4805</v>
      </c>
      <c r="I3402">
        <v>13.99</v>
      </c>
      <c r="J3402">
        <v>2</v>
      </c>
      <c r="K3402">
        <v>2.0299999999999998</v>
      </c>
      <c r="L3402">
        <v>0</v>
      </c>
      <c r="M3402" t="s">
        <v>4809</v>
      </c>
      <c r="N3402" t="s">
        <v>4900</v>
      </c>
      <c r="O3402" t="s">
        <v>4911</v>
      </c>
    </row>
    <row r="3403" spans="1:15" x14ac:dyDescent="0.35">
      <c r="A3403" t="s">
        <v>3353</v>
      </c>
      <c r="B3403">
        <v>53</v>
      </c>
      <c r="C3403" t="s">
        <v>4803</v>
      </c>
      <c r="D3403" t="s">
        <v>13</v>
      </c>
      <c r="E3403">
        <v>58</v>
      </c>
      <c r="F3403">
        <v>7</v>
      </c>
      <c r="G3403" t="s">
        <v>4798</v>
      </c>
      <c r="H3403" t="s">
        <v>4806</v>
      </c>
      <c r="I3403">
        <v>13.99</v>
      </c>
      <c r="J3403">
        <v>1</v>
      </c>
      <c r="K3403">
        <v>1.93</v>
      </c>
      <c r="L3403">
        <v>0</v>
      </c>
      <c r="M3403" t="s">
        <v>4812</v>
      </c>
      <c r="N3403" t="s">
        <v>4900</v>
      </c>
      <c r="O3403" t="s">
        <v>4910</v>
      </c>
    </row>
    <row r="3404" spans="1:15" x14ac:dyDescent="0.35">
      <c r="A3404" t="s">
        <v>3354</v>
      </c>
      <c r="B3404">
        <v>59</v>
      </c>
      <c r="C3404" t="s">
        <v>4802</v>
      </c>
      <c r="D3404" t="s">
        <v>13</v>
      </c>
      <c r="E3404">
        <v>42</v>
      </c>
      <c r="F3404">
        <v>40</v>
      </c>
      <c r="G3404" t="s">
        <v>4799</v>
      </c>
      <c r="H3404" t="s">
        <v>4804</v>
      </c>
      <c r="I3404">
        <v>13.99</v>
      </c>
      <c r="J3404">
        <v>1</v>
      </c>
      <c r="K3404">
        <v>1.4</v>
      </c>
      <c r="L3404">
        <v>0</v>
      </c>
      <c r="M3404" t="s">
        <v>4811</v>
      </c>
      <c r="N3404" t="s">
        <v>4900</v>
      </c>
      <c r="O3404" t="s">
        <v>4911</v>
      </c>
    </row>
    <row r="3405" spans="1:15" x14ac:dyDescent="0.35">
      <c r="A3405" t="s">
        <v>3355</v>
      </c>
      <c r="B3405">
        <v>30</v>
      </c>
      <c r="C3405" t="s">
        <v>4803</v>
      </c>
      <c r="D3405" t="s">
        <v>13</v>
      </c>
      <c r="E3405">
        <v>64</v>
      </c>
      <c r="F3405">
        <v>57</v>
      </c>
      <c r="G3405" t="s">
        <v>4798</v>
      </c>
      <c r="H3405" t="s">
        <v>4804</v>
      </c>
      <c r="I3405">
        <v>13.99</v>
      </c>
      <c r="J3405">
        <v>2</v>
      </c>
      <c r="K3405">
        <v>2.13</v>
      </c>
      <c r="L3405">
        <v>0</v>
      </c>
      <c r="M3405" t="s">
        <v>4808</v>
      </c>
      <c r="N3405" t="s">
        <v>4900</v>
      </c>
      <c r="O3405" t="s">
        <v>4912</v>
      </c>
    </row>
    <row r="3406" spans="1:15" x14ac:dyDescent="0.35">
      <c r="A3406" t="s">
        <v>3356</v>
      </c>
      <c r="B3406">
        <v>27</v>
      </c>
      <c r="C3406" t="s">
        <v>4803</v>
      </c>
      <c r="D3406" t="s">
        <v>14</v>
      </c>
      <c r="E3406">
        <v>21</v>
      </c>
      <c r="F3406">
        <v>47</v>
      </c>
      <c r="G3406" t="s">
        <v>4797</v>
      </c>
      <c r="H3406" t="s">
        <v>4805</v>
      </c>
      <c r="I3406">
        <v>8.99</v>
      </c>
      <c r="J3406">
        <v>1</v>
      </c>
      <c r="K3406">
        <v>0.7</v>
      </c>
      <c r="L3406">
        <v>0</v>
      </c>
      <c r="M3406" t="s">
        <v>4808</v>
      </c>
      <c r="N3406" t="s">
        <v>4900</v>
      </c>
      <c r="O3406" t="s">
        <v>4912</v>
      </c>
    </row>
    <row r="3407" spans="1:15" x14ac:dyDescent="0.35">
      <c r="A3407" t="s">
        <v>3357</v>
      </c>
      <c r="B3407">
        <v>33</v>
      </c>
      <c r="C3407" t="s">
        <v>4802</v>
      </c>
      <c r="D3407" t="s">
        <v>13</v>
      </c>
      <c r="E3407">
        <v>38</v>
      </c>
      <c r="F3407">
        <v>19</v>
      </c>
      <c r="G3407" t="s">
        <v>4797</v>
      </c>
      <c r="H3407" t="s">
        <v>4804</v>
      </c>
      <c r="I3407">
        <v>13.99</v>
      </c>
      <c r="J3407">
        <v>3</v>
      </c>
      <c r="K3407">
        <v>1.27</v>
      </c>
      <c r="L3407">
        <v>1</v>
      </c>
      <c r="M3407" t="s">
        <v>4810</v>
      </c>
      <c r="N3407" t="s">
        <v>4899</v>
      </c>
      <c r="O3407" t="s">
        <v>4912</v>
      </c>
    </row>
    <row r="3408" spans="1:15" x14ac:dyDescent="0.35">
      <c r="A3408" t="s">
        <v>3358</v>
      </c>
      <c r="B3408">
        <v>57</v>
      </c>
      <c r="C3408" t="s">
        <v>4802</v>
      </c>
      <c r="D3408" t="s">
        <v>13</v>
      </c>
      <c r="E3408">
        <v>45</v>
      </c>
      <c r="F3408">
        <v>44</v>
      </c>
      <c r="G3408" t="s">
        <v>4798</v>
      </c>
      <c r="H3408" t="s">
        <v>4804</v>
      </c>
      <c r="I3408">
        <v>13.99</v>
      </c>
      <c r="J3408">
        <v>4</v>
      </c>
      <c r="K3408">
        <v>1.5</v>
      </c>
      <c r="L3408">
        <v>1</v>
      </c>
      <c r="M3408" t="s">
        <v>4810</v>
      </c>
      <c r="N3408" t="s">
        <v>4899</v>
      </c>
      <c r="O3408" t="s">
        <v>4911</v>
      </c>
    </row>
    <row r="3409" spans="1:15" x14ac:dyDescent="0.35">
      <c r="A3409" t="s">
        <v>3359</v>
      </c>
      <c r="B3409">
        <v>60</v>
      </c>
      <c r="C3409" t="s">
        <v>4803</v>
      </c>
      <c r="D3409" t="s">
        <v>13</v>
      </c>
      <c r="E3409">
        <v>43</v>
      </c>
      <c r="F3409">
        <v>999</v>
      </c>
      <c r="G3409" t="s">
        <v>4798</v>
      </c>
      <c r="H3409" t="s">
        <v>4804</v>
      </c>
      <c r="I3409">
        <v>13.99</v>
      </c>
      <c r="J3409">
        <v>1</v>
      </c>
      <c r="K3409">
        <v>1.43</v>
      </c>
      <c r="L3409">
        <v>1</v>
      </c>
      <c r="M3409" t="s">
        <v>4808</v>
      </c>
      <c r="N3409" t="s">
        <v>4899</v>
      </c>
      <c r="O3409" t="s">
        <v>4911</v>
      </c>
    </row>
    <row r="3410" spans="1:15" x14ac:dyDescent="0.35">
      <c r="A3410" t="s">
        <v>3360</v>
      </c>
      <c r="B3410">
        <v>37</v>
      </c>
      <c r="C3410" t="s">
        <v>4802</v>
      </c>
      <c r="D3410" t="s">
        <v>13</v>
      </c>
      <c r="E3410">
        <v>63</v>
      </c>
      <c r="F3410">
        <v>17</v>
      </c>
      <c r="G3410" t="s">
        <v>4798</v>
      </c>
      <c r="H3410" t="s">
        <v>4805</v>
      </c>
      <c r="I3410">
        <v>13.99</v>
      </c>
      <c r="J3410">
        <v>2</v>
      </c>
      <c r="K3410">
        <v>2.1</v>
      </c>
      <c r="L3410">
        <v>0</v>
      </c>
      <c r="M3410" t="s">
        <v>4809</v>
      </c>
      <c r="N3410" t="s">
        <v>4900</v>
      </c>
      <c r="O3410" t="s">
        <v>4910</v>
      </c>
    </row>
    <row r="3411" spans="1:15" x14ac:dyDescent="0.35">
      <c r="A3411" t="s">
        <v>3361</v>
      </c>
      <c r="B3411">
        <v>33</v>
      </c>
      <c r="C3411" t="s">
        <v>4802</v>
      </c>
      <c r="D3411" t="s">
        <v>14</v>
      </c>
      <c r="E3411">
        <v>64</v>
      </c>
      <c r="F3411">
        <v>31</v>
      </c>
      <c r="G3411" t="s">
        <v>4799</v>
      </c>
      <c r="H3411" t="s">
        <v>4805</v>
      </c>
      <c r="I3411">
        <v>8.99</v>
      </c>
      <c r="J3411">
        <v>4</v>
      </c>
      <c r="K3411">
        <v>2.13</v>
      </c>
      <c r="L3411">
        <v>0</v>
      </c>
      <c r="M3411" t="s">
        <v>4811</v>
      </c>
      <c r="N3411" t="s">
        <v>4900</v>
      </c>
      <c r="O3411" t="s">
        <v>4912</v>
      </c>
    </row>
    <row r="3412" spans="1:15" x14ac:dyDescent="0.35">
      <c r="A3412" t="s">
        <v>3362</v>
      </c>
      <c r="B3412">
        <v>29</v>
      </c>
      <c r="C3412" t="s">
        <v>4803</v>
      </c>
      <c r="D3412" t="s">
        <v>13</v>
      </c>
      <c r="E3412">
        <v>49</v>
      </c>
      <c r="F3412">
        <v>50</v>
      </c>
      <c r="G3412" t="s">
        <v>4798</v>
      </c>
      <c r="H3412" t="s">
        <v>4804</v>
      </c>
      <c r="I3412">
        <v>13.99</v>
      </c>
      <c r="J3412">
        <v>4</v>
      </c>
      <c r="K3412">
        <v>1.63</v>
      </c>
      <c r="L3412">
        <v>0</v>
      </c>
      <c r="M3412" t="s">
        <v>4808</v>
      </c>
      <c r="N3412" t="s">
        <v>4900</v>
      </c>
      <c r="O3412" t="s">
        <v>4912</v>
      </c>
    </row>
    <row r="3413" spans="1:15" x14ac:dyDescent="0.35">
      <c r="A3413" t="s">
        <v>3363</v>
      </c>
      <c r="B3413">
        <v>46</v>
      </c>
      <c r="C3413" t="s">
        <v>4802</v>
      </c>
      <c r="D3413" t="s">
        <v>13</v>
      </c>
      <c r="E3413">
        <v>80</v>
      </c>
      <c r="F3413">
        <v>5</v>
      </c>
      <c r="G3413" t="s">
        <v>4797</v>
      </c>
      <c r="H3413" t="s">
        <v>4804</v>
      </c>
      <c r="I3413">
        <v>13.99</v>
      </c>
      <c r="J3413">
        <v>1</v>
      </c>
      <c r="K3413">
        <v>2.67</v>
      </c>
      <c r="L3413">
        <v>0</v>
      </c>
      <c r="M3413" t="s">
        <v>4809</v>
      </c>
      <c r="N3413" t="s">
        <v>4900</v>
      </c>
      <c r="O3413" t="s">
        <v>4910</v>
      </c>
    </row>
    <row r="3414" spans="1:15" x14ac:dyDescent="0.35">
      <c r="A3414" t="s">
        <v>3364</v>
      </c>
      <c r="B3414">
        <v>65</v>
      </c>
      <c r="C3414" t="s">
        <v>4802</v>
      </c>
      <c r="D3414" t="s">
        <v>15</v>
      </c>
      <c r="E3414">
        <v>52</v>
      </c>
      <c r="F3414">
        <v>32</v>
      </c>
      <c r="G3414" t="s">
        <v>4797</v>
      </c>
      <c r="H3414" t="s">
        <v>4806</v>
      </c>
      <c r="I3414">
        <v>17.989999999999998</v>
      </c>
      <c r="J3414">
        <v>4</v>
      </c>
      <c r="K3414">
        <v>1.73</v>
      </c>
      <c r="L3414">
        <v>0</v>
      </c>
      <c r="M3414" t="s">
        <v>4809</v>
      </c>
      <c r="N3414" t="s">
        <v>4900</v>
      </c>
      <c r="O3414" t="s">
        <v>4911</v>
      </c>
    </row>
    <row r="3415" spans="1:15" x14ac:dyDescent="0.35">
      <c r="A3415" t="s">
        <v>3365</v>
      </c>
      <c r="B3415">
        <v>55</v>
      </c>
      <c r="C3415" t="s">
        <v>4802</v>
      </c>
      <c r="D3415" t="s">
        <v>13</v>
      </c>
      <c r="E3415">
        <v>60</v>
      </c>
      <c r="F3415">
        <v>34</v>
      </c>
      <c r="G3415" t="s">
        <v>4797</v>
      </c>
      <c r="H3415" t="s">
        <v>4804</v>
      </c>
      <c r="I3415">
        <v>13.99</v>
      </c>
      <c r="J3415">
        <v>1</v>
      </c>
      <c r="K3415">
        <v>5</v>
      </c>
      <c r="L3415">
        <v>1</v>
      </c>
      <c r="M3415" t="s">
        <v>4808</v>
      </c>
      <c r="N3415" t="s">
        <v>4899</v>
      </c>
      <c r="O3415" t="s">
        <v>4911</v>
      </c>
    </row>
    <row r="3416" spans="1:15" x14ac:dyDescent="0.35">
      <c r="A3416" t="s">
        <v>3366</v>
      </c>
      <c r="B3416">
        <v>31</v>
      </c>
      <c r="C3416" t="s">
        <v>4803</v>
      </c>
      <c r="D3416" t="s">
        <v>13</v>
      </c>
      <c r="E3416">
        <v>79</v>
      </c>
      <c r="F3416">
        <v>56</v>
      </c>
      <c r="G3416" t="s">
        <v>4798</v>
      </c>
      <c r="H3416" t="s">
        <v>4804</v>
      </c>
      <c r="I3416">
        <v>13.99</v>
      </c>
      <c r="J3416">
        <v>1</v>
      </c>
      <c r="K3416">
        <v>2.0299999999999998</v>
      </c>
      <c r="L3416">
        <v>0</v>
      </c>
      <c r="M3416" t="s">
        <v>4808</v>
      </c>
      <c r="N3416" t="s">
        <v>4900</v>
      </c>
      <c r="O3416" t="s">
        <v>4912</v>
      </c>
    </row>
    <row r="3417" spans="1:15" x14ac:dyDescent="0.35">
      <c r="A3417" t="s">
        <v>3367</v>
      </c>
      <c r="B3417">
        <v>30</v>
      </c>
      <c r="C3417" t="s">
        <v>4803</v>
      </c>
      <c r="D3417" t="s">
        <v>13</v>
      </c>
      <c r="E3417">
        <v>76</v>
      </c>
      <c r="F3417">
        <v>59</v>
      </c>
      <c r="G3417" t="s">
        <v>4797</v>
      </c>
      <c r="H3417" t="s">
        <v>4806</v>
      </c>
      <c r="I3417">
        <v>13.99</v>
      </c>
      <c r="J3417">
        <v>3</v>
      </c>
      <c r="K3417">
        <v>2.0299999999999998</v>
      </c>
      <c r="L3417">
        <v>1</v>
      </c>
      <c r="M3417" t="s">
        <v>4810</v>
      </c>
      <c r="N3417" t="s">
        <v>4899</v>
      </c>
      <c r="O3417" t="s">
        <v>4912</v>
      </c>
    </row>
    <row r="3418" spans="1:15" x14ac:dyDescent="0.35">
      <c r="A3418" t="s">
        <v>3368</v>
      </c>
      <c r="B3418">
        <v>58</v>
      </c>
      <c r="C3418" t="s">
        <v>4803</v>
      </c>
      <c r="D3418" t="s">
        <v>13</v>
      </c>
      <c r="E3418">
        <v>80</v>
      </c>
      <c r="F3418">
        <v>34</v>
      </c>
      <c r="G3418" t="s">
        <v>4801</v>
      </c>
      <c r="H3418" t="s">
        <v>4806</v>
      </c>
      <c r="I3418">
        <v>13.99</v>
      </c>
      <c r="J3418">
        <v>1</v>
      </c>
      <c r="K3418">
        <v>2.67</v>
      </c>
      <c r="L3418">
        <v>1</v>
      </c>
      <c r="M3418" t="s">
        <v>4808</v>
      </c>
      <c r="N3418" t="s">
        <v>4899</v>
      </c>
      <c r="O3418" t="s">
        <v>4911</v>
      </c>
    </row>
    <row r="3419" spans="1:15" x14ac:dyDescent="0.35">
      <c r="A3419" t="s">
        <v>3369</v>
      </c>
      <c r="B3419">
        <v>28</v>
      </c>
      <c r="C3419" t="s">
        <v>4803</v>
      </c>
      <c r="D3419" t="s">
        <v>13</v>
      </c>
      <c r="E3419">
        <v>34</v>
      </c>
      <c r="F3419">
        <v>11</v>
      </c>
      <c r="G3419" t="s">
        <v>4800</v>
      </c>
      <c r="H3419" t="s">
        <v>4804</v>
      </c>
      <c r="I3419">
        <v>13.99</v>
      </c>
      <c r="J3419">
        <v>2</v>
      </c>
      <c r="K3419">
        <v>1.1299999999999999</v>
      </c>
      <c r="L3419">
        <v>0</v>
      </c>
      <c r="M3419" t="s">
        <v>4812</v>
      </c>
      <c r="N3419" t="s">
        <v>4900</v>
      </c>
      <c r="O3419" t="s">
        <v>4912</v>
      </c>
    </row>
    <row r="3420" spans="1:15" x14ac:dyDescent="0.35">
      <c r="A3420" t="s">
        <v>3370</v>
      </c>
      <c r="B3420">
        <v>54</v>
      </c>
      <c r="C3420" t="s">
        <v>4802</v>
      </c>
      <c r="D3420" t="s">
        <v>13</v>
      </c>
      <c r="E3420">
        <v>31</v>
      </c>
      <c r="F3420">
        <v>39</v>
      </c>
      <c r="G3420" t="s">
        <v>4799</v>
      </c>
      <c r="H3420" t="s">
        <v>4805</v>
      </c>
      <c r="I3420">
        <v>13.99</v>
      </c>
      <c r="J3420">
        <v>3</v>
      </c>
      <c r="K3420">
        <v>1.03</v>
      </c>
      <c r="L3420">
        <v>0</v>
      </c>
      <c r="M3420" t="s">
        <v>4811</v>
      </c>
      <c r="N3420" t="s">
        <v>4900</v>
      </c>
      <c r="O3420" t="s">
        <v>4910</v>
      </c>
    </row>
    <row r="3421" spans="1:15" x14ac:dyDescent="0.35">
      <c r="A3421" t="s">
        <v>3371</v>
      </c>
      <c r="B3421">
        <v>19</v>
      </c>
      <c r="C3421" t="s">
        <v>4802</v>
      </c>
      <c r="D3421" t="s">
        <v>15</v>
      </c>
      <c r="E3421">
        <v>84</v>
      </c>
      <c r="F3421">
        <v>29</v>
      </c>
      <c r="G3421" t="s">
        <v>4798</v>
      </c>
      <c r="H3421" t="s">
        <v>4805</v>
      </c>
      <c r="I3421">
        <v>17.989999999999998</v>
      </c>
      <c r="J3421">
        <v>5</v>
      </c>
      <c r="K3421">
        <v>2.8</v>
      </c>
      <c r="L3421">
        <v>1</v>
      </c>
      <c r="M3421" t="s">
        <v>4808</v>
      </c>
      <c r="N3421" t="s">
        <v>4899</v>
      </c>
      <c r="O3421" t="s">
        <v>4912</v>
      </c>
    </row>
    <row r="3422" spans="1:15" x14ac:dyDescent="0.35">
      <c r="A3422" t="s">
        <v>3372</v>
      </c>
      <c r="B3422">
        <v>61</v>
      </c>
      <c r="C3422" t="s">
        <v>4803</v>
      </c>
      <c r="D3422" t="s">
        <v>13</v>
      </c>
      <c r="E3422">
        <v>40</v>
      </c>
      <c r="F3422">
        <v>999</v>
      </c>
      <c r="G3422" t="s">
        <v>4798</v>
      </c>
      <c r="H3422" t="s">
        <v>4805</v>
      </c>
      <c r="I3422">
        <v>13.99</v>
      </c>
      <c r="J3422">
        <v>3</v>
      </c>
      <c r="K3422">
        <v>1.33</v>
      </c>
      <c r="L3422">
        <v>0</v>
      </c>
      <c r="M3422" t="s">
        <v>4809</v>
      </c>
      <c r="N3422" t="s">
        <v>4900</v>
      </c>
      <c r="O3422" t="s">
        <v>4911</v>
      </c>
    </row>
    <row r="3423" spans="1:15" x14ac:dyDescent="0.35">
      <c r="A3423" t="s">
        <v>3373</v>
      </c>
      <c r="B3423">
        <v>46</v>
      </c>
      <c r="C3423" t="s">
        <v>4802</v>
      </c>
      <c r="D3423" t="s">
        <v>15</v>
      </c>
      <c r="E3423">
        <v>76</v>
      </c>
      <c r="F3423">
        <v>54</v>
      </c>
      <c r="G3423" t="s">
        <v>4799</v>
      </c>
      <c r="H3423" t="s">
        <v>4806</v>
      </c>
      <c r="I3423">
        <v>17.989999999999998</v>
      </c>
      <c r="J3423">
        <v>5</v>
      </c>
      <c r="K3423">
        <v>2.5299999999999998</v>
      </c>
      <c r="L3423">
        <v>0</v>
      </c>
      <c r="M3423" t="s">
        <v>4809</v>
      </c>
      <c r="N3423" t="s">
        <v>4900</v>
      </c>
      <c r="O3423" t="s">
        <v>4910</v>
      </c>
    </row>
    <row r="3424" spans="1:15" x14ac:dyDescent="0.35">
      <c r="A3424" t="s">
        <v>4882</v>
      </c>
      <c r="B3424">
        <v>38</v>
      </c>
      <c r="C3424" t="s">
        <v>4803</v>
      </c>
      <c r="D3424" t="s">
        <v>13</v>
      </c>
      <c r="E3424">
        <v>62</v>
      </c>
      <c r="F3424">
        <v>41</v>
      </c>
      <c r="G3424" t="s">
        <v>4797</v>
      </c>
      <c r="H3424" t="s">
        <v>4804</v>
      </c>
      <c r="I3424">
        <v>13.99</v>
      </c>
      <c r="J3424">
        <v>4</v>
      </c>
      <c r="K3424">
        <v>2.0299999999999998</v>
      </c>
      <c r="L3424">
        <v>0</v>
      </c>
      <c r="M3424" t="s">
        <v>4810</v>
      </c>
      <c r="N3424" t="s">
        <v>4900</v>
      </c>
      <c r="O3424" t="s">
        <v>4910</v>
      </c>
    </row>
    <row r="3425" spans="1:15" x14ac:dyDescent="0.35">
      <c r="A3425" t="s">
        <v>3374</v>
      </c>
      <c r="B3425">
        <v>41</v>
      </c>
      <c r="C3425" t="s">
        <v>4802</v>
      </c>
      <c r="D3425" t="s">
        <v>13</v>
      </c>
      <c r="E3425">
        <v>63</v>
      </c>
      <c r="F3425">
        <v>50</v>
      </c>
      <c r="G3425" t="s">
        <v>4798</v>
      </c>
      <c r="H3425" t="s">
        <v>4804</v>
      </c>
      <c r="I3425">
        <v>13.99</v>
      </c>
      <c r="J3425">
        <v>3</v>
      </c>
      <c r="K3425">
        <v>2.1</v>
      </c>
      <c r="L3425">
        <v>0</v>
      </c>
      <c r="M3425" t="s">
        <v>4809</v>
      </c>
      <c r="N3425" t="s">
        <v>4900</v>
      </c>
      <c r="O3425" t="s">
        <v>4910</v>
      </c>
    </row>
    <row r="3426" spans="1:15" x14ac:dyDescent="0.35">
      <c r="A3426" t="s">
        <v>3375</v>
      </c>
      <c r="B3426">
        <v>39</v>
      </c>
      <c r="C3426" t="s">
        <v>4803</v>
      </c>
      <c r="D3426" t="s">
        <v>13</v>
      </c>
      <c r="E3426">
        <v>75</v>
      </c>
      <c r="F3426">
        <v>56</v>
      </c>
      <c r="G3426" t="s">
        <v>4799</v>
      </c>
      <c r="H3426" t="s">
        <v>4804</v>
      </c>
      <c r="I3426">
        <v>13.99</v>
      </c>
      <c r="J3426">
        <v>4</v>
      </c>
      <c r="K3426">
        <v>2.5</v>
      </c>
      <c r="L3426">
        <v>0</v>
      </c>
      <c r="M3426" t="s">
        <v>4812</v>
      </c>
      <c r="N3426" t="s">
        <v>4900</v>
      </c>
      <c r="O3426" t="s">
        <v>4910</v>
      </c>
    </row>
    <row r="3427" spans="1:15" x14ac:dyDescent="0.35">
      <c r="A3427" t="s">
        <v>3376</v>
      </c>
      <c r="B3427">
        <v>58</v>
      </c>
      <c r="C3427" t="s">
        <v>4802</v>
      </c>
      <c r="D3427" t="s">
        <v>15</v>
      </c>
      <c r="E3427">
        <v>96</v>
      </c>
      <c r="F3427">
        <v>43</v>
      </c>
      <c r="G3427" t="s">
        <v>4799</v>
      </c>
      <c r="H3427" t="s">
        <v>4806</v>
      </c>
      <c r="I3427">
        <v>17.989999999999998</v>
      </c>
      <c r="J3427">
        <v>4</v>
      </c>
      <c r="K3427">
        <v>3.2</v>
      </c>
      <c r="L3427">
        <v>0</v>
      </c>
      <c r="M3427" t="s">
        <v>4811</v>
      </c>
      <c r="N3427" t="s">
        <v>4900</v>
      </c>
      <c r="O3427" t="s">
        <v>4911</v>
      </c>
    </row>
    <row r="3428" spans="1:15" x14ac:dyDescent="0.35">
      <c r="A3428" t="s">
        <v>3377</v>
      </c>
      <c r="B3428">
        <v>52</v>
      </c>
      <c r="C3428" t="s">
        <v>4803</v>
      </c>
      <c r="D3428" t="s">
        <v>13</v>
      </c>
      <c r="E3428">
        <v>64</v>
      </c>
      <c r="F3428">
        <v>58</v>
      </c>
      <c r="G3428" t="s">
        <v>4799</v>
      </c>
      <c r="H3428" t="s">
        <v>4805</v>
      </c>
      <c r="I3428">
        <v>13.99</v>
      </c>
      <c r="J3428">
        <v>2</v>
      </c>
      <c r="K3428">
        <v>2.13</v>
      </c>
      <c r="L3428">
        <v>0</v>
      </c>
      <c r="M3428" t="s">
        <v>4811</v>
      </c>
      <c r="N3428" t="s">
        <v>4900</v>
      </c>
      <c r="O3428" t="s">
        <v>4910</v>
      </c>
    </row>
    <row r="3429" spans="1:15" x14ac:dyDescent="0.35">
      <c r="A3429" t="s">
        <v>3378</v>
      </c>
      <c r="B3429">
        <v>45</v>
      </c>
      <c r="C3429" t="s">
        <v>4803</v>
      </c>
      <c r="D3429" t="s">
        <v>13</v>
      </c>
      <c r="E3429">
        <v>72</v>
      </c>
      <c r="F3429">
        <v>59</v>
      </c>
      <c r="G3429" t="s">
        <v>4797</v>
      </c>
      <c r="H3429" t="s">
        <v>4807</v>
      </c>
      <c r="I3429">
        <v>13.99</v>
      </c>
      <c r="J3429">
        <v>4</v>
      </c>
      <c r="K3429">
        <v>2.4</v>
      </c>
      <c r="L3429">
        <v>1</v>
      </c>
      <c r="M3429" t="s">
        <v>4808</v>
      </c>
      <c r="N3429" t="s">
        <v>4899</v>
      </c>
      <c r="O3429" t="s">
        <v>4910</v>
      </c>
    </row>
    <row r="3430" spans="1:15" x14ac:dyDescent="0.35">
      <c r="A3430" t="s">
        <v>3379</v>
      </c>
      <c r="B3430">
        <v>30</v>
      </c>
      <c r="C3430" t="s">
        <v>4802</v>
      </c>
      <c r="D3430" t="s">
        <v>14</v>
      </c>
      <c r="E3430">
        <v>61</v>
      </c>
      <c r="F3430">
        <v>29</v>
      </c>
      <c r="G3430" t="s">
        <v>4799</v>
      </c>
      <c r="H3430" t="s">
        <v>4804</v>
      </c>
      <c r="I3430">
        <v>8.99</v>
      </c>
      <c r="J3430">
        <v>2</v>
      </c>
      <c r="K3430">
        <v>2.0299999999999998</v>
      </c>
      <c r="L3430">
        <v>1</v>
      </c>
      <c r="M3430" t="s">
        <v>4811</v>
      </c>
      <c r="N3430" t="s">
        <v>4899</v>
      </c>
      <c r="O3430" t="s">
        <v>4912</v>
      </c>
    </row>
    <row r="3431" spans="1:15" x14ac:dyDescent="0.35">
      <c r="A3431" t="s">
        <v>3380</v>
      </c>
      <c r="B3431">
        <v>36</v>
      </c>
      <c r="C3431" t="s">
        <v>4802</v>
      </c>
      <c r="D3431" t="s">
        <v>13</v>
      </c>
      <c r="E3431">
        <v>65</v>
      </c>
      <c r="F3431">
        <v>24</v>
      </c>
      <c r="G3431" t="s">
        <v>4800</v>
      </c>
      <c r="H3431" t="s">
        <v>4806</v>
      </c>
      <c r="I3431">
        <v>13.99</v>
      </c>
      <c r="J3431">
        <v>3</v>
      </c>
      <c r="K3431">
        <v>2.17</v>
      </c>
      <c r="L3431">
        <v>1</v>
      </c>
      <c r="M3431" t="s">
        <v>4809</v>
      </c>
      <c r="N3431" t="s">
        <v>4899</v>
      </c>
      <c r="O3431" t="s">
        <v>4910</v>
      </c>
    </row>
    <row r="3432" spans="1:15" x14ac:dyDescent="0.35">
      <c r="A3432" t="s">
        <v>3381</v>
      </c>
      <c r="B3432">
        <v>37</v>
      </c>
      <c r="C3432" t="s">
        <v>4803</v>
      </c>
      <c r="D3432" t="s">
        <v>15</v>
      </c>
      <c r="E3432">
        <v>78</v>
      </c>
      <c r="F3432">
        <v>18</v>
      </c>
      <c r="G3432" t="s">
        <v>4797</v>
      </c>
      <c r="H3432" t="s">
        <v>4806</v>
      </c>
      <c r="I3432">
        <v>17.989999999999998</v>
      </c>
      <c r="J3432">
        <v>5</v>
      </c>
      <c r="K3432">
        <v>2.0299999999999998</v>
      </c>
      <c r="L3432">
        <v>0</v>
      </c>
      <c r="M3432" t="s">
        <v>4808</v>
      </c>
      <c r="N3432" t="s">
        <v>4900</v>
      </c>
      <c r="O3432" t="s">
        <v>4910</v>
      </c>
    </row>
    <row r="3433" spans="1:15" x14ac:dyDescent="0.35">
      <c r="A3433" t="s">
        <v>3382</v>
      </c>
      <c r="B3433">
        <v>53</v>
      </c>
      <c r="C3433" t="s">
        <v>4803</v>
      </c>
      <c r="D3433" t="s">
        <v>13</v>
      </c>
      <c r="E3433">
        <v>36</v>
      </c>
      <c r="F3433">
        <v>13</v>
      </c>
      <c r="G3433" t="s">
        <v>4799</v>
      </c>
      <c r="H3433" t="s">
        <v>4806</v>
      </c>
      <c r="I3433">
        <v>13.99</v>
      </c>
      <c r="J3433">
        <v>2</v>
      </c>
      <c r="K3433">
        <v>1.2</v>
      </c>
      <c r="L3433">
        <v>0</v>
      </c>
      <c r="M3433" t="s">
        <v>4809</v>
      </c>
      <c r="N3433" t="s">
        <v>4900</v>
      </c>
      <c r="O3433" t="s">
        <v>4910</v>
      </c>
    </row>
    <row r="3434" spans="1:15" x14ac:dyDescent="0.35">
      <c r="A3434" t="s">
        <v>3383</v>
      </c>
      <c r="B3434">
        <v>28</v>
      </c>
      <c r="C3434" t="s">
        <v>4803</v>
      </c>
      <c r="D3434" t="s">
        <v>13</v>
      </c>
      <c r="E3434">
        <v>56</v>
      </c>
      <c r="F3434">
        <v>59</v>
      </c>
      <c r="G3434" t="s">
        <v>4798</v>
      </c>
      <c r="H3434" t="s">
        <v>4806</v>
      </c>
      <c r="I3434">
        <v>13.99</v>
      </c>
      <c r="J3434">
        <v>1</v>
      </c>
      <c r="K3434">
        <v>1.87</v>
      </c>
      <c r="L3434">
        <v>0</v>
      </c>
      <c r="M3434" t="s">
        <v>4809</v>
      </c>
      <c r="N3434" t="s">
        <v>4900</v>
      </c>
      <c r="O3434" t="s">
        <v>4912</v>
      </c>
    </row>
    <row r="3435" spans="1:15" x14ac:dyDescent="0.35">
      <c r="A3435" t="s">
        <v>3384</v>
      </c>
      <c r="B3435">
        <v>34</v>
      </c>
      <c r="C3435" t="s">
        <v>4803</v>
      </c>
      <c r="D3435" t="s">
        <v>13</v>
      </c>
      <c r="E3435">
        <v>59</v>
      </c>
      <c r="F3435">
        <v>53</v>
      </c>
      <c r="G3435" t="s">
        <v>4798</v>
      </c>
      <c r="H3435" t="s">
        <v>4806</v>
      </c>
      <c r="I3435">
        <v>13.99</v>
      </c>
      <c r="J3435">
        <v>1</v>
      </c>
      <c r="K3435">
        <v>1.97</v>
      </c>
      <c r="L3435">
        <v>0</v>
      </c>
      <c r="M3435" t="s">
        <v>4809</v>
      </c>
      <c r="N3435" t="s">
        <v>4900</v>
      </c>
      <c r="O3435" t="s">
        <v>4912</v>
      </c>
    </row>
    <row r="3436" spans="1:15" x14ac:dyDescent="0.35">
      <c r="A3436" t="s">
        <v>3385</v>
      </c>
      <c r="B3436">
        <v>43</v>
      </c>
      <c r="C3436" t="s">
        <v>4802</v>
      </c>
      <c r="D3436" t="s">
        <v>13</v>
      </c>
      <c r="E3436">
        <v>44</v>
      </c>
      <c r="F3436">
        <v>42</v>
      </c>
      <c r="G3436" t="s">
        <v>4799</v>
      </c>
      <c r="H3436" t="s">
        <v>4805</v>
      </c>
      <c r="I3436">
        <v>13.99</v>
      </c>
      <c r="J3436">
        <v>1</v>
      </c>
      <c r="K3436">
        <v>1.47</v>
      </c>
      <c r="L3436">
        <v>0</v>
      </c>
      <c r="M3436" t="s">
        <v>4812</v>
      </c>
      <c r="N3436" t="s">
        <v>4900</v>
      </c>
      <c r="O3436" t="s">
        <v>4910</v>
      </c>
    </row>
    <row r="3437" spans="1:15" x14ac:dyDescent="0.35">
      <c r="A3437" t="s">
        <v>3386</v>
      </c>
      <c r="B3437">
        <v>25</v>
      </c>
      <c r="C3437" t="s">
        <v>4803</v>
      </c>
      <c r="D3437" t="s">
        <v>15</v>
      </c>
      <c r="E3437">
        <v>75</v>
      </c>
      <c r="F3437">
        <v>8</v>
      </c>
      <c r="G3437" t="s">
        <v>4799</v>
      </c>
      <c r="H3437" t="s">
        <v>4804</v>
      </c>
      <c r="I3437">
        <v>17.989999999999998</v>
      </c>
      <c r="J3437">
        <v>3</v>
      </c>
      <c r="K3437">
        <v>2.5</v>
      </c>
      <c r="L3437">
        <v>0</v>
      </c>
      <c r="M3437" t="s">
        <v>4808</v>
      </c>
      <c r="N3437" t="s">
        <v>4900</v>
      </c>
      <c r="O3437" t="s">
        <v>4912</v>
      </c>
    </row>
    <row r="3438" spans="1:15" x14ac:dyDescent="0.35">
      <c r="A3438" t="s">
        <v>3387</v>
      </c>
      <c r="B3438">
        <v>52</v>
      </c>
      <c r="C3438" t="s">
        <v>4803</v>
      </c>
      <c r="D3438" t="s">
        <v>13</v>
      </c>
      <c r="E3438">
        <v>69</v>
      </c>
      <c r="F3438">
        <v>14</v>
      </c>
      <c r="G3438" t="s">
        <v>4798</v>
      </c>
      <c r="H3438" t="s">
        <v>4804</v>
      </c>
      <c r="I3438">
        <v>13.99</v>
      </c>
      <c r="J3438">
        <v>3</v>
      </c>
      <c r="K3438">
        <v>2.2999999999999998</v>
      </c>
      <c r="L3438">
        <v>0</v>
      </c>
      <c r="M3438" t="s">
        <v>4809</v>
      </c>
      <c r="N3438" t="s">
        <v>4900</v>
      </c>
      <c r="O3438" t="s">
        <v>4910</v>
      </c>
    </row>
    <row r="3439" spans="1:15" x14ac:dyDescent="0.35">
      <c r="A3439" t="s">
        <v>3388</v>
      </c>
      <c r="B3439">
        <v>53</v>
      </c>
      <c r="C3439" t="s">
        <v>4803</v>
      </c>
      <c r="D3439" t="s">
        <v>13</v>
      </c>
      <c r="E3439">
        <v>63</v>
      </c>
      <c r="F3439">
        <v>46</v>
      </c>
      <c r="G3439" t="s">
        <v>4798</v>
      </c>
      <c r="H3439" t="s">
        <v>4804</v>
      </c>
      <c r="I3439">
        <v>13.99</v>
      </c>
      <c r="J3439">
        <v>2</v>
      </c>
      <c r="K3439">
        <v>2.0299999999999998</v>
      </c>
      <c r="L3439">
        <v>0</v>
      </c>
      <c r="M3439" t="s">
        <v>4812</v>
      </c>
      <c r="N3439" t="s">
        <v>4900</v>
      </c>
      <c r="O3439" t="s">
        <v>4910</v>
      </c>
    </row>
    <row r="3440" spans="1:15" x14ac:dyDescent="0.35">
      <c r="A3440" t="s">
        <v>3389</v>
      </c>
      <c r="B3440">
        <v>58</v>
      </c>
      <c r="C3440" t="s">
        <v>4803</v>
      </c>
      <c r="D3440" t="s">
        <v>13</v>
      </c>
      <c r="E3440">
        <v>58</v>
      </c>
      <c r="F3440">
        <v>36</v>
      </c>
      <c r="G3440" t="s">
        <v>4798</v>
      </c>
      <c r="H3440" t="s">
        <v>4804</v>
      </c>
      <c r="I3440">
        <v>13.99</v>
      </c>
      <c r="J3440">
        <v>3</v>
      </c>
      <c r="K3440">
        <v>1.93</v>
      </c>
      <c r="L3440">
        <v>0</v>
      </c>
      <c r="M3440" t="s">
        <v>4812</v>
      </c>
      <c r="N3440" t="s">
        <v>4900</v>
      </c>
      <c r="O3440" t="s">
        <v>4911</v>
      </c>
    </row>
    <row r="3441" spans="1:15" x14ac:dyDescent="0.35">
      <c r="A3441" t="s">
        <v>3390</v>
      </c>
      <c r="B3441">
        <v>61</v>
      </c>
      <c r="C3441" t="s">
        <v>4803</v>
      </c>
      <c r="D3441" t="s">
        <v>15</v>
      </c>
      <c r="E3441">
        <v>108</v>
      </c>
      <c r="F3441">
        <v>2</v>
      </c>
      <c r="G3441" t="s">
        <v>4797</v>
      </c>
      <c r="H3441" t="s">
        <v>4804</v>
      </c>
      <c r="I3441">
        <v>17.989999999999998</v>
      </c>
      <c r="J3441">
        <v>5</v>
      </c>
      <c r="K3441">
        <v>2.0299999999999998</v>
      </c>
      <c r="L3441">
        <v>0</v>
      </c>
      <c r="M3441" t="s">
        <v>4808</v>
      </c>
      <c r="N3441" t="s">
        <v>4900</v>
      </c>
      <c r="O3441" t="s">
        <v>4911</v>
      </c>
    </row>
    <row r="3442" spans="1:15" x14ac:dyDescent="0.35">
      <c r="A3442" t="s">
        <v>3391</v>
      </c>
      <c r="B3442">
        <v>24</v>
      </c>
      <c r="C3442" t="s">
        <v>4803</v>
      </c>
      <c r="D3442" t="s">
        <v>15</v>
      </c>
      <c r="E3442">
        <v>92</v>
      </c>
      <c r="F3442">
        <v>34</v>
      </c>
      <c r="G3442" t="s">
        <v>4798</v>
      </c>
      <c r="H3442" t="s">
        <v>4805</v>
      </c>
      <c r="I3442">
        <v>17.989999999999998</v>
      </c>
      <c r="J3442">
        <v>2</v>
      </c>
      <c r="K3442">
        <v>3.07</v>
      </c>
      <c r="L3442">
        <v>0</v>
      </c>
      <c r="M3442" t="s">
        <v>4808</v>
      </c>
      <c r="N3442" t="s">
        <v>4900</v>
      </c>
      <c r="O3442" t="s">
        <v>4912</v>
      </c>
    </row>
    <row r="3443" spans="1:15" x14ac:dyDescent="0.35">
      <c r="A3443" t="s">
        <v>3392</v>
      </c>
      <c r="B3443">
        <v>29</v>
      </c>
      <c r="C3443" t="s">
        <v>4802</v>
      </c>
      <c r="D3443" t="s">
        <v>13</v>
      </c>
      <c r="E3443">
        <v>69</v>
      </c>
      <c r="F3443">
        <v>30</v>
      </c>
      <c r="G3443" t="s">
        <v>4798</v>
      </c>
      <c r="H3443" t="s">
        <v>4804</v>
      </c>
      <c r="I3443">
        <v>13.99</v>
      </c>
      <c r="J3443">
        <v>3</v>
      </c>
      <c r="K3443">
        <v>2.2999999999999998</v>
      </c>
      <c r="L3443">
        <v>0</v>
      </c>
      <c r="M3443" t="s">
        <v>4809</v>
      </c>
      <c r="N3443" t="s">
        <v>4900</v>
      </c>
      <c r="O3443" t="s">
        <v>4912</v>
      </c>
    </row>
    <row r="3444" spans="1:15" x14ac:dyDescent="0.35">
      <c r="A3444" t="s">
        <v>3393</v>
      </c>
      <c r="B3444">
        <v>56</v>
      </c>
      <c r="C3444" t="s">
        <v>4802</v>
      </c>
      <c r="D3444" t="s">
        <v>15</v>
      </c>
      <c r="E3444">
        <v>72</v>
      </c>
      <c r="F3444">
        <v>37</v>
      </c>
      <c r="G3444" t="s">
        <v>4797</v>
      </c>
      <c r="H3444" t="s">
        <v>4805</v>
      </c>
      <c r="I3444">
        <v>17.989999999999998</v>
      </c>
      <c r="J3444">
        <v>2</v>
      </c>
      <c r="K3444">
        <v>2.4</v>
      </c>
      <c r="L3444">
        <v>0</v>
      </c>
      <c r="M3444" t="s">
        <v>4810</v>
      </c>
      <c r="N3444" t="s">
        <v>4900</v>
      </c>
      <c r="O3444" t="s">
        <v>4911</v>
      </c>
    </row>
    <row r="3445" spans="1:15" x14ac:dyDescent="0.35">
      <c r="A3445" t="s">
        <v>3394</v>
      </c>
      <c r="B3445">
        <v>47</v>
      </c>
      <c r="C3445" t="s">
        <v>4803</v>
      </c>
      <c r="D3445" t="s">
        <v>13</v>
      </c>
      <c r="E3445">
        <v>49</v>
      </c>
      <c r="F3445">
        <v>42</v>
      </c>
      <c r="G3445" t="s">
        <v>4798</v>
      </c>
      <c r="H3445" t="s">
        <v>4804</v>
      </c>
      <c r="I3445">
        <v>13.99</v>
      </c>
      <c r="J3445">
        <v>2</v>
      </c>
      <c r="K3445">
        <v>1.63</v>
      </c>
      <c r="L3445">
        <v>1</v>
      </c>
      <c r="M3445" t="s">
        <v>4809</v>
      </c>
      <c r="N3445" t="s">
        <v>4899</v>
      </c>
      <c r="O3445" t="s">
        <v>4910</v>
      </c>
    </row>
    <row r="3446" spans="1:15" x14ac:dyDescent="0.35">
      <c r="A3446" t="s">
        <v>3395</v>
      </c>
      <c r="B3446">
        <v>64</v>
      </c>
      <c r="C3446" t="s">
        <v>4803</v>
      </c>
      <c r="D3446" t="s">
        <v>13</v>
      </c>
      <c r="E3446">
        <v>77</v>
      </c>
      <c r="F3446">
        <v>10</v>
      </c>
      <c r="G3446" t="s">
        <v>4798</v>
      </c>
      <c r="H3446" t="s">
        <v>4805</v>
      </c>
      <c r="I3446">
        <v>13.99</v>
      </c>
      <c r="J3446">
        <v>1</v>
      </c>
      <c r="K3446">
        <v>2.57</v>
      </c>
      <c r="L3446">
        <v>0</v>
      </c>
      <c r="M3446" t="s">
        <v>4808</v>
      </c>
      <c r="N3446" t="s">
        <v>4900</v>
      </c>
      <c r="O3446" t="s">
        <v>4911</v>
      </c>
    </row>
    <row r="3447" spans="1:15" x14ac:dyDescent="0.35">
      <c r="A3447" t="s">
        <v>3396</v>
      </c>
      <c r="B3447">
        <v>48</v>
      </c>
      <c r="C3447" t="s">
        <v>4803</v>
      </c>
      <c r="D3447" t="s">
        <v>13</v>
      </c>
      <c r="E3447">
        <v>78</v>
      </c>
      <c r="F3447">
        <v>46</v>
      </c>
      <c r="G3447" t="s">
        <v>4798</v>
      </c>
      <c r="H3447" t="s">
        <v>4805</v>
      </c>
      <c r="I3447">
        <v>13.99</v>
      </c>
      <c r="J3447">
        <v>2</v>
      </c>
      <c r="K3447">
        <v>2.6</v>
      </c>
      <c r="L3447">
        <v>0</v>
      </c>
      <c r="M3447" t="s">
        <v>4811</v>
      </c>
      <c r="N3447" t="s">
        <v>4900</v>
      </c>
      <c r="O3447" t="s">
        <v>4910</v>
      </c>
    </row>
    <row r="3448" spans="1:15" x14ac:dyDescent="0.35">
      <c r="A3448" t="s">
        <v>3397</v>
      </c>
      <c r="B3448">
        <v>30</v>
      </c>
      <c r="C3448" t="s">
        <v>4803</v>
      </c>
      <c r="D3448" t="s">
        <v>15</v>
      </c>
      <c r="E3448">
        <v>58</v>
      </c>
      <c r="F3448">
        <v>37</v>
      </c>
      <c r="G3448" t="s">
        <v>4797</v>
      </c>
      <c r="H3448" t="s">
        <v>4805</v>
      </c>
      <c r="I3448">
        <v>17.989999999999998</v>
      </c>
      <c r="J3448">
        <v>3</v>
      </c>
      <c r="K3448">
        <v>1.93</v>
      </c>
      <c r="L3448">
        <v>1</v>
      </c>
      <c r="M3448" t="s">
        <v>4810</v>
      </c>
      <c r="N3448" t="s">
        <v>4899</v>
      </c>
      <c r="O3448" t="s">
        <v>4912</v>
      </c>
    </row>
    <row r="3449" spans="1:15" x14ac:dyDescent="0.35">
      <c r="A3449" t="s">
        <v>3398</v>
      </c>
      <c r="B3449">
        <v>63</v>
      </c>
      <c r="C3449" t="s">
        <v>4802</v>
      </c>
      <c r="D3449" t="s">
        <v>13</v>
      </c>
      <c r="E3449">
        <v>80</v>
      </c>
      <c r="F3449" t="s">
        <v>4814</v>
      </c>
      <c r="G3449" t="s">
        <v>4798</v>
      </c>
      <c r="H3449" t="s">
        <v>4806</v>
      </c>
      <c r="I3449">
        <v>13.99</v>
      </c>
      <c r="J3449">
        <v>1</v>
      </c>
      <c r="K3449">
        <v>2.67</v>
      </c>
      <c r="L3449">
        <v>0</v>
      </c>
      <c r="M3449" t="s">
        <v>4811</v>
      </c>
      <c r="N3449" t="s">
        <v>4900</v>
      </c>
      <c r="O3449" t="s">
        <v>4911</v>
      </c>
    </row>
    <row r="3450" spans="1:15" x14ac:dyDescent="0.35">
      <c r="A3450" t="s">
        <v>3399</v>
      </c>
      <c r="B3450">
        <v>45</v>
      </c>
      <c r="C3450" t="s">
        <v>4803</v>
      </c>
      <c r="D3450" t="s">
        <v>13</v>
      </c>
      <c r="E3450">
        <v>35</v>
      </c>
      <c r="F3450">
        <v>50</v>
      </c>
      <c r="G3450" t="s">
        <v>4798</v>
      </c>
      <c r="H3450" t="s">
        <v>4805</v>
      </c>
      <c r="I3450">
        <v>13.99</v>
      </c>
      <c r="J3450">
        <v>3</v>
      </c>
      <c r="K3450">
        <v>1.17</v>
      </c>
      <c r="L3450">
        <v>0</v>
      </c>
      <c r="M3450" t="s">
        <v>4809</v>
      </c>
      <c r="N3450" t="s">
        <v>4900</v>
      </c>
      <c r="O3450" t="s">
        <v>4910</v>
      </c>
    </row>
    <row r="3451" spans="1:15" x14ac:dyDescent="0.35">
      <c r="A3451" t="s">
        <v>3400</v>
      </c>
      <c r="B3451">
        <v>59</v>
      </c>
      <c r="C3451" t="s">
        <v>4803</v>
      </c>
      <c r="D3451" t="s">
        <v>13</v>
      </c>
      <c r="E3451">
        <v>38</v>
      </c>
      <c r="F3451">
        <v>25</v>
      </c>
      <c r="G3451" t="s">
        <v>4799</v>
      </c>
      <c r="H3451" t="s">
        <v>4805</v>
      </c>
      <c r="I3451">
        <v>13.99</v>
      </c>
      <c r="J3451">
        <v>2</v>
      </c>
      <c r="K3451">
        <v>1.27</v>
      </c>
      <c r="L3451">
        <v>1</v>
      </c>
      <c r="M3451" t="s">
        <v>4810</v>
      </c>
      <c r="N3451" t="s">
        <v>4899</v>
      </c>
      <c r="O3451" t="s">
        <v>4911</v>
      </c>
    </row>
    <row r="3452" spans="1:15" x14ac:dyDescent="0.35">
      <c r="A3452" t="s">
        <v>3401</v>
      </c>
      <c r="B3452">
        <v>45</v>
      </c>
      <c r="C3452" t="s">
        <v>4802</v>
      </c>
      <c r="D3452" t="s">
        <v>13</v>
      </c>
      <c r="E3452">
        <v>72</v>
      </c>
      <c r="F3452">
        <v>41</v>
      </c>
      <c r="G3452" t="s">
        <v>4798</v>
      </c>
      <c r="H3452" t="s">
        <v>4804</v>
      </c>
      <c r="I3452">
        <v>13.99</v>
      </c>
      <c r="J3452">
        <v>4</v>
      </c>
      <c r="K3452">
        <v>2.4</v>
      </c>
      <c r="L3452">
        <v>0</v>
      </c>
      <c r="M3452" t="s">
        <v>4812</v>
      </c>
      <c r="N3452" t="s">
        <v>4900</v>
      </c>
      <c r="O3452" t="s">
        <v>4910</v>
      </c>
    </row>
    <row r="3453" spans="1:15" x14ac:dyDescent="0.35">
      <c r="A3453" t="s">
        <v>3402</v>
      </c>
      <c r="B3453">
        <v>39</v>
      </c>
      <c r="C3453" t="s">
        <v>4802</v>
      </c>
      <c r="D3453" t="s">
        <v>13</v>
      </c>
      <c r="E3453">
        <v>48</v>
      </c>
      <c r="F3453">
        <v>43</v>
      </c>
      <c r="G3453" t="s">
        <v>4798</v>
      </c>
      <c r="H3453" t="s">
        <v>4806</v>
      </c>
      <c r="I3453">
        <v>13.99</v>
      </c>
      <c r="J3453">
        <v>3</v>
      </c>
      <c r="K3453">
        <v>2.0299999999999998</v>
      </c>
      <c r="L3453">
        <v>0</v>
      </c>
      <c r="M3453" t="s">
        <v>4811</v>
      </c>
      <c r="N3453" t="s">
        <v>4900</v>
      </c>
      <c r="O3453" t="s">
        <v>4910</v>
      </c>
    </row>
    <row r="3454" spans="1:15" x14ac:dyDescent="0.35">
      <c r="A3454" t="s">
        <v>3403</v>
      </c>
      <c r="B3454">
        <v>47</v>
      </c>
      <c r="C3454" t="s">
        <v>4802</v>
      </c>
      <c r="D3454" t="s">
        <v>14</v>
      </c>
      <c r="E3454">
        <v>49</v>
      </c>
      <c r="F3454">
        <v>58</v>
      </c>
      <c r="G3454" t="s">
        <v>4797</v>
      </c>
      <c r="H3454" t="s">
        <v>4805</v>
      </c>
      <c r="I3454">
        <v>8.99</v>
      </c>
      <c r="J3454">
        <v>1</v>
      </c>
      <c r="K3454">
        <v>1.63</v>
      </c>
      <c r="L3454">
        <v>0</v>
      </c>
      <c r="M3454" t="s">
        <v>4809</v>
      </c>
      <c r="N3454" t="s">
        <v>4900</v>
      </c>
      <c r="O3454" t="s">
        <v>4910</v>
      </c>
    </row>
    <row r="3455" spans="1:15" x14ac:dyDescent="0.35">
      <c r="A3455" t="s">
        <v>3404</v>
      </c>
      <c r="B3455">
        <v>30</v>
      </c>
      <c r="C3455" t="s">
        <v>4803</v>
      </c>
      <c r="D3455" t="s">
        <v>13</v>
      </c>
      <c r="E3455">
        <v>59</v>
      </c>
      <c r="F3455">
        <v>53</v>
      </c>
      <c r="G3455" t="s">
        <v>4799</v>
      </c>
      <c r="H3455" t="s">
        <v>4805</v>
      </c>
      <c r="I3455">
        <v>13.99</v>
      </c>
      <c r="J3455">
        <v>3</v>
      </c>
      <c r="K3455">
        <v>1.97</v>
      </c>
      <c r="L3455">
        <v>0</v>
      </c>
      <c r="M3455" t="s">
        <v>4811</v>
      </c>
      <c r="N3455" t="s">
        <v>4900</v>
      </c>
      <c r="O3455" t="s">
        <v>4912</v>
      </c>
    </row>
    <row r="3456" spans="1:15" x14ac:dyDescent="0.35">
      <c r="A3456" t="s">
        <v>3405</v>
      </c>
      <c r="B3456">
        <v>34</v>
      </c>
      <c r="C3456" t="s">
        <v>4803</v>
      </c>
      <c r="D3456" t="s">
        <v>15</v>
      </c>
      <c r="E3456">
        <v>83</v>
      </c>
      <c r="F3456">
        <v>8</v>
      </c>
      <c r="G3456" t="s">
        <v>4798</v>
      </c>
      <c r="H3456" t="s">
        <v>4805</v>
      </c>
      <c r="I3456">
        <v>17.989999999999998</v>
      </c>
      <c r="J3456">
        <v>2</v>
      </c>
      <c r="K3456">
        <v>2.77</v>
      </c>
      <c r="L3456">
        <v>0</v>
      </c>
      <c r="M3456" t="s">
        <v>4810</v>
      </c>
      <c r="N3456" t="s">
        <v>4900</v>
      </c>
      <c r="O3456" t="s">
        <v>4912</v>
      </c>
    </row>
    <row r="3457" spans="1:15" x14ac:dyDescent="0.35">
      <c r="A3457" t="s">
        <v>3406</v>
      </c>
      <c r="B3457">
        <v>63</v>
      </c>
      <c r="C3457" t="s">
        <v>4802</v>
      </c>
      <c r="D3457" t="s">
        <v>15</v>
      </c>
      <c r="E3457">
        <v>86</v>
      </c>
      <c r="F3457">
        <v>27</v>
      </c>
      <c r="G3457" t="s">
        <v>4799</v>
      </c>
      <c r="H3457" t="s">
        <v>4805</v>
      </c>
      <c r="I3457">
        <v>17.989999999999998</v>
      </c>
      <c r="J3457">
        <v>3</v>
      </c>
      <c r="K3457">
        <v>2.87</v>
      </c>
      <c r="L3457">
        <v>1</v>
      </c>
      <c r="M3457" t="s">
        <v>4808</v>
      </c>
      <c r="N3457" t="s">
        <v>4899</v>
      </c>
      <c r="O3457" t="s">
        <v>4911</v>
      </c>
    </row>
    <row r="3458" spans="1:15" x14ac:dyDescent="0.35">
      <c r="A3458" t="s">
        <v>3407</v>
      </c>
      <c r="B3458">
        <v>44</v>
      </c>
      <c r="C3458" t="s">
        <v>4803</v>
      </c>
      <c r="D3458" t="s">
        <v>13</v>
      </c>
      <c r="E3458">
        <v>50</v>
      </c>
      <c r="F3458">
        <v>17</v>
      </c>
      <c r="G3458" t="s">
        <v>4797</v>
      </c>
      <c r="H3458" t="s">
        <v>4805</v>
      </c>
      <c r="I3458">
        <v>13.99</v>
      </c>
      <c r="J3458">
        <v>1</v>
      </c>
      <c r="K3458">
        <v>1.67</v>
      </c>
      <c r="L3458">
        <v>0</v>
      </c>
      <c r="M3458" t="s">
        <v>4809</v>
      </c>
      <c r="N3458" t="s">
        <v>4900</v>
      </c>
      <c r="O3458" t="s">
        <v>4910</v>
      </c>
    </row>
    <row r="3459" spans="1:15" x14ac:dyDescent="0.35">
      <c r="A3459" t="s">
        <v>3408</v>
      </c>
      <c r="B3459">
        <v>40</v>
      </c>
      <c r="C3459" t="s">
        <v>4803</v>
      </c>
      <c r="D3459" t="s">
        <v>13</v>
      </c>
      <c r="E3459">
        <v>31</v>
      </c>
      <c r="F3459">
        <v>32</v>
      </c>
      <c r="G3459" t="s">
        <v>4798</v>
      </c>
      <c r="H3459" t="s">
        <v>4804</v>
      </c>
      <c r="I3459">
        <v>13.99</v>
      </c>
      <c r="J3459">
        <v>3</v>
      </c>
      <c r="K3459">
        <v>1.03</v>
      </c>
      <c r="L3459">
        <v>0</v>
      </c>
      <c r="M3459" t="s">
        <v>4808</v>
      </c>
      <c r="N3459" t="s">
        <v>4900</v>
      </c>
      <c r="O3459" t="s">
        <v>4910</v>
      </c>
    </row>
    <row r="3460" spans="1:15" x14ac:dyDescent="0.35">
      <c r="A3460" t="s">
        <v>3409</v>
      </c>
      <c r="B3460">
        <v>21</v>
      </c>
      <c r="C3460" t="s">
        <v>4802</v>
      </c>
      <c r="D3460" t="s">
        <v>13</v>
      </c>
      <c r="E3460">
        <v>56</v>
      </c>
      <c r="F3460">
        <v>6</v>
      </c>
      <c r="G3460" t="s">
        <v>4799</v>
      </c>
      <c r="H3460" t="s">
        <v>4804</v>
      </c>
      <c r="I3460">
        <v>13.99</v>
      </c>
      <c r="J3460">
        <v>1</v>
      </c>
      <c r="K3460">
        <v>2.0299999999999998</v>
      </c>
      <c r="L3460">
        <v>0</v>
      </c>
      <c r="M3460" t="s">
        <v>4809</v>
      </c>
      <c r="N3460" t="s">
        <v>4900</v>
      </c>
      <c r="O3460" t="s">
        <v>4912</v>
      </c>
    </row>
    <row r="3461" spans="1:15" x14ac:dyDescent="0.35">
      <c r="A3461" t="s">
        <v>3410</v>
      </c>
      <c r="B3461">
        <v>46</v>
      </c>
      <c r="C3461" t="s">
        <v>4803</v>
      </c>
      <c r="D3461" t="s">
        <v>13</v>
      </c>
      <c r="E3461">
        <v>70</v>
      </c>
      <c r="F3461">
        <v>19</v>
      </c>
      <c r="G3461" t="s">
        <v>4798</v>
      </c>
      <c r="H3461" t="s">
        <v>4806</v>
      </c>
      <c r="I3461">
        <v>13.99</v>
      </c>
      <c r="J3461">
        <v>2</v>
      </c>
      <c r="K3461">
        <v>2.33</v>
      </c>
      <c r="L3461">
        <v>0</v>
      </c>
      <c r="M3461" t="s">
        <v>4809</v>
      </c>
      <c r="N3461" t="s">
        <v>4900</v>
      </c>
      <c r="O3461" t="s">
        <v>4910</v>
      </c>
    </row>
    <row r="3462" spans="1:15" x14ac:dyDescent="0.35">
      <c r="A3462" t="s">
        <v>3411</v>
      </c>
      <c r="B3462">
        <v>53</v>
      </c>
      <c r="C3462" t="s">
        <v>4803</v>
      </c>
      <c r="D3462" t="s">
        <v>13</v>
      </c>
      <c r="E3462">
        <v>37</v>
      </c>
      <c r="F3462">
        <v>45</v>
      </c>
      <c r="G3462" t="s">
        <v>4800</v>
      </c>
      <c r="H3462" t="s">
        <v>4806</v>
      </c>
      <c r="I3462">
        <v>13.99</v>
      </c>
      <c r="J3462">
        <v>2</v>
      </c>
      <c r="K3462">
        <v>1.23</v>
      </c>
      <c r="L3462">
        <v>0</v>
      </c>
      <c r="M3462" t="s">
        <v>4812</v>
      </c>
      <c r="N3462" t="s">
        <v>4900</v>
      </c>
      <c r="O3462" t="s">
        <v>4910</v>
      </c>
    </row>
    <row r="3463" spans="1:15" x14ac:dyDescent="0.35">
      <c r="A3463" t="s">
        <v>3412</v>
      </c>
      <c r="B3463">
        <v>25</v>
      </c>
      <c r="C3463" t="s">
        <v>4803</v>
      </c>
      <c r="D3463" t="s">
        <v>13</v>
      </c>
      <c r="E3463">
        <v>33</v>
      </c>
      <c r="F3463">
        <v>47</v>
      </c>
      <c r="G3463" t="s">
        <v>4797</v>
      </c>
      <c r="H3463" t="s">
        <v>4805</v>
      </c>
      <c r="I3463">
        <v>13.99</v>
      </c>
      <c r="J3463">
        <v>4</v>
      </c>
      <c r="K3463">
        <v>1.1000000000000001</v>
      </c>
      <c r="L3463">
        <v>1</v>
      </c>
      <c r="M3463" t="s">
        <v>4810</v>
      </c>
      <c r="N3463" t="s">
        <v>4899</v>
      </c>
      <c r="O3463" t="s">
        <v>4912</v>
      </c>
    </row>
    <row r="3464" spans="1:15" x14ac:dyDescent="0.35">
      <c r="A3464" t="s">
        <v>3413</v>
      </c>
      <c r="B3464">
        <v>49</v>
      </c>
      <c r="C3464" t="s">
        <v>4803</v>
      </c>
      <c r="D3464" t="s">
        <v>13</v>
      </c>
      <c r="E3464">
        <v>53</v>
      </c>
      <c r="F3464">
        <v>4</v>
      </c>
      <c r="G3464" t="s">
        <v>4798</v>
      </c>
      <c r="H3464" t="s">
        <v>4806</v>
      </c>
      <c r="I3464">
        <v>13.99</v>
      </c>
      <c r="J3464">
        <v>2</v>
      </c>
      <c r="K3464">
        <v>1.77</v>
      </c>
      <c r="L3464">
        <v>0</v>
      </c>
      <c r="M3464" t="s">
        <v>4812</v>
      </c>
      <c r="N3464" t="s">
        <v>4900</v>
      </c>
      <c r="O3464" t="s">
        <v>4910</v>
      </c>
    </row>
    <row r="3465" spans="1:15" x14ac:dyDescent="0.35">
      <c r="A3465" t="s">
        <v>3414</v>
      </c>
      <c r="B3465">
        <v>51</v>
      </c>
      <c r="C3465" t="s">
        <v>4803</v>
      </c>
      <c r="D3465" t="s">
        <v>15</v>
      </c>
      <c r="E3465">
        <v>78</v>
      </c>
      <c r="F3465">
        <v>32</v>
      </c>
      <c r="G3465" t="s">
        <v>4799</v>
      </c>
      <c r="H3465" t="s">
        <v>4804</v>
      </c>
      <c r="I3465">
        <v>17.989999999999998</v>
      </c>
      <c r="J3465">
        <v>3</v>
      </c>
      <c r="K3465">
        <v>2.6</v>
      </c>
      <c r="L3465">
        <v>0</v>
      </c>
      <c r="M3465" t="s">
        <v>4812</v>
      </c>
      <c r="N3465" t="s">
        <v>4900</v>
      </c>
      <c r="O3465" t="s">
        <v>4910</v>
      </c>
    </row>
    <row r="3466" spans="1:15" x14ac:dyDescent="0.35">
      <c r="A3466" t="s">
        <v>3415</v>
      </c>
      <c r="B3466">
        <v>59</v>
      </c>
      <c r="C3466" t="s">
        <v>4802</v>
      </c>
      <c r="D3466" t="s">
        <v>13</v>
      </c>
      <c r="E3466">
        <v>41</v>
      </c>
      <c r="F3466">
        <v>56</v>
      </c>
      <c r="G3466" t="s">
        <v>4799</v>
      </c>
      <c r="H3466" t="s">
        <v>4804</v>
      </c>
      <c r="I3466">
        <v>13.99</v>
      </c>
      <c r="J3466">
        <v>1</v>
      </c>
      <c r="K3466">
        <v>1.37</v>
      </c>
      <c r="L3466">
        <v>0</v>
      </c>
      <c r="M3466" t="s">
        <v>4812</v>
      </c>
      <c r="N3466" t="s">
        <v>4900</v>
      </c>
      <c r="O3466" t="s">
        <v>4911</v>
      </c>
    </row>
    <row r="3467" spans="1:15" x14ac:dyDescent="0.35">
      <c r="A3467" t="s">
        <v>3416</v>
      </c>
      <c r="B3467">
        <v>23</v>
      </c>
      <c r="C3467" t="s">
        <v>4803</v>
      </c>
      <c r="D3467" t="s">
        <v>13</v>
      </c>
      <c r="E3467">
        <v>70</v>
      </c>
      <c r="F3467">
        <v>41</v>
      </c>
      <c r="G3467" t="s">
        <v>4798</v>
      </c>
      <c r="H3467" t="s">
        <v>4806</v>
      </c>
      <c r="I3467">
        <v>13.99</v>
      </c>
      <c r="J3467">
        <v>2</v>
      </c>
      <c r="K3467">
        <v>2.33</v>
      </c>
      <c r="L3467">
        <v>0</v>
      </c>
      <c r="M3467" t="s">
        <v>4808</v>
      </c>
      <c r="N3467" t="s">
        <v>4900</v>
      </c>
      <c r="O3467" t="s">
        <v>4912</v>
      </c>
    </row>
    <row r="3468" spans="1:15" x14ac:dyDescent="0.35">
      <c r="A3468" t="s">
        <v>3417</v>
      </c>
      <c r="B3468">
        <v>55</v>
      </c>
      <c r="C3468" t="s">
        <v>4802</v>
      </c>
      <c r="D3468" t="s">
        <v>13</v>
      </c>
      <c r="E3468">
        <v>76</v>
      </c>
      <c r="F3468">
        <v>49</v>
      </c>
      <c r="G3468" t="s">
        <v>4797</v>
      </c>
      <c r="H3468" t="s">
        <v>4806</v>
      </c>
      <c r="I3468">
        <v>13.99</v>
      </c>
      <c r="J3468">
        <v>2</v>
      </c>
      <c r="K3468">
        <v>2.0299999999999998</v>
      </c>
      <c r="L3468">
        <v>0</v>
      </c>
      <c r="M3468" t="s">
        <v>4809</v>
      </c>
      <c r="N3468" t="s">
        <v>4900</v>
      </c>
      <c r="O3468" t="s">
        <v>4911</v>
      </c>
    </row>
    <row r="3469" spans="1:15" x14ac:dyDescent="0.35">
      <c r="A3469" t="s">
        <v>3418</v>
      </c>
      <c r="B3469">
        <v>49</v>
      </c>
      <c r="C3469" t="s">
        <v>4802</v>
      </c>
      <c r="D3469" t="s">
        <v>13</v>
      </c>
      <c r="E3469">
        <v>42</v>
      </c>
      <c r="F3469">
        <v>32</v>
      </c>
      <c r="G3469" t="s">
        <v>4798</v>
      </c>
      <c r="H3469" t="s">
        <v>4805</v>
      </c>
      <c r="I3469">
        <v>13.99</v>
      </c>
      <c r="J3469">
        <v>4</v>
      </c>
      <c r="K3469">
        <v>1.4</v>
      </c>
      <c r="L3469">
        <v>0</v>
      </c>
      <c r="M3469" t="s">
        <v>4811</v>
      </c>
      <c r="N3469" t="s">
        <v>4900</v>
      </c>
      <c r="O3469" t="s">
        <v>4910</v>
      </c>
    </row>
    <row r="3470" spans="1:15" x14ac:dyDescent="0.35">
      <c r="A3470" t="s">
        <v>3419</v>
      </c>
      <c r="B3470">
        <v>20</v>
      </c>
      <c r="C3470" t="s">
        <v>4803</v>
      </c>
      <c r="D3470" t="s">
        <v>13</v>
      </c>
      <c r="E3470">
        <v>63</v>
      </c>
      <c r="F3470">
        <v>36</v>
      </c>
      <c r="G3470" t="s">
        <v>4800</v>
      </c>
      <c r="H3470" t="s">
        <v>4804</v>
      </c>
      <c r="I3470">
        <v>13.99</v>
      </c>
      <c r="J3470">
        <v>2</v>
      </c>
      <c r="K3470">
        <v>2.1</v>
      </c>
      <c r="L3470">
        <v>1</v>
      </c>
      <c r="M3470" t="s">
        <v>4812</v>
      </c>
      <c r="N3470" t="s">
        <v>4899</v>
      </c>
      <c r="O3470" t="s">
        <v>4912</v>
      </c>
    </row>
    <row r="3471" spans="1:15" x14ac:dyDescent="0.35">
      <c r="A3471" t="s">
        <v>3420</v>
      </c>
      <c r="B3471">
        <v>58</v>
      </c>
      <c r="C3471" t="s">
        <v>4803</v>
      </c>
      <c r="D3471" t="s">
        <v>13</v>
      </c>
      <c r="E3471">
        <v>73</v>
      </c>
      <c r="F3471">
        <v>55</v>
      </c>
      <c r="G3471" t="s">
        <v>4797</v>
      </c>
      <c r="H3471" t="s">
        <v>4805</v>
      </c>
      <c r="I3471">
        <v>13.99</v>
      </c>
      <c r="J3471">
        <v>1</v>
      </c>
      <c r="K3471">
        <v>2.4300000000000002</v>
      </c>
      <c r="L3471">
        <v>0</v>
      </c>
      <c r="M3471" t="s">
        <v>4812</v>
      </c>
      <c r="N3471" t="s">
        <v>4900</v>
      </c>
      <c r="O3471" t="s">
        <v>4911</v>
      </c>
    </row>
    <row r="3472" spans="1:15" x14ac:dyDescent="0.35">
      <c r="A3472" t="s">
        <v>3421</v>
      </c>
      <c r="B3472">
        <v>45</v>
      </c>
      <c r="C3472" t="s">
        <v>4803</v>
      </c>
      <c r="D3472" t="s">
        <v>15</v>
      </c>
      <c r="E3472">
        <v>103</v>
      </c>
      <c r="F3472">
        <v>32</v>
      </c>
      <c r="G3472" t="s">
        <v>4799</v>
      </c>
      <c r="H3472" t="s">
        <v>4805</v>
      </c>
      <c r="I3472">
        <v>17.989999999999998</v>
      </c>
      <c r="J3472">
        <v>2</v>
      </c>
      <c r="K3472">
        <v>3.43</v>
      </c>
      <c r="L3472">
        <v>1</v>
      </c>
      <c r="M3472" t="s">
        <v>4808</v>
      </c>
      <c r="N3472" t="s">
        <v>4899</v>
      </c>
      <c r="O3472" t="s">
        <v>4910</v>
      </c>
    </row>
    <row r="3473" spans="1:15" x14ac:dyDescent="0.35">
      <c r="A3473" t="s">
        <v>3422</v>
      </c>
      <c r="B3473">
        <v>65</v>
      </c>
      <c r="C3473" t="s">
        <v>4803</v>
      </c>
      <c r="D3473" t="s">
        <v>13</v>
      </c>
      <c r="E3473">
        <v>60</v>
      </c>
      <c r="F3473">
        <v>31</v>
      </c>
      <c r="G3473" t="s">
        <v>4797</v>
      </c>
      <c r="H3473" t="s">
        <v>4806</v>
      </c>
      <c r="I3473">
        <v>13.99</v>
      </c>
      <c r="J3473">
        <v>3</v>
      </c>
      <c r="K3473">
        <v>2</v>
      </c>
      <c r="L3473">
        <v>0</v>
      </c>
      <c r="M3473" t="s">
        <v>4808</v>
      </c>
      <c r="N3473" t="s">
        <v>4900</v>
      </c>
      <c r="O3473" t="s">
        <v>4911</v>
      </c>
    </row>
    <row r="3474" spans="1:15" x14ac:dyDescent="0.35">
      <c r="A3474" t="s">
        <v>3423</v>
      </c>
      <c r="B3474">
        <v>35</v>
      </c>
      <c r="C3474" t="s">
        <v>4802</v>
      </c>
      <c r="D3474" t="s">
        <v>13</v>
      </c>
      <c r="E3474">
        <v>70</v>
      </c>
      <c r="F3474">
        <v>32</v>
      </c>
      <c r="G3474" t="s">
        <v>4797</v>
      </c>
      <c r="H3474" t="s">
        <v>4805</v>
      </c>
      <c r="I3474">
        <v>13.99</v>
      </c>
      <c r="J3474">
        <v>4</v>
      </c>
      <c r="K3474">
        <v>2.33</v>
      </c>
      <c r="L3474">
        <v>0</v>
      </c>
      <c r="M3474" t="s">
        <v>4810</v>
      </c>
      <c r="N3474" t="s">
        <v>4900</v>
      </c>
      <c r="O3474" t="s">
        <v>4910</v>
      </c>
    </row>
    <row r="3475" spans="1:15" x14ac:dyDescent="0.35">
      <c r="A3475" t="s">
        <v>3424</v>
      </c>
      <c r="B3475">
        <v>23</v>
      </c>
      <c r="C3475" t="s">
        <v>4802</v>
      </c>
      <c r="D3475" t="s">
        <v>15</v>
      </c>
      <c r="E3475">
        <v>54</v>
      </c>
      <c r="F3475">
        <v>58</v>
      </c>
      <c r="G3475" t="s">
        <v>4799</v>
      </c>
      <c r="H3475" t="s">
        <v>4805</v>
      </c>
      <c r="I3475">
        <v>17.989999999999998</v>
      </c>
      <c r="J3475">
        <v>5</v>
      </c>
      <c r="K3475">
        <v>1.8</v>
      </c>
      <c r="L3475">
        <v>1</v>
      </c>
      <c r="M3475" t="s">
        <v>4812</v>
      </c>
      <c r="N3475" t="s">
        <v>4899</v>
      </c>
      <c r="O3475" t="s">
        <v>4912</v>
      </c>
    </row>
    <row r="3476" spans="1:15" x14ac:dyDescent="0.35">
      <c r="A3476" t="s">
        <v>3425</v>
      </c>
      <c r="B3476">
        <v>36</v>
      </c>
      <c r="C3476" t="s">
        <v>4802</v>
      </c>
      <c r="D3476" t="s">
        <v>13</v>
      </c>
      <c r="E3476">
        <v>49</v>
      </c>
      <c r="F3476">
        <v>60</v>
      </c>
      <c r="G3476" t="s">
        <v>4799</v>
      </c>
      <c r="H3476" t="s">
        <v>4806</v>
      </c>
      <c r="I3476">
        <v>13.99</v>
      </c>
      <c r="J3476">
        <v>1</v>
      </c>
      <c r="K3476">
        <v>1.63</v>
      </c>
      <c r="L3476">
        <v>0</v>
      </c>
      <c r="M3476" t="s">
        <v>4808</v>
      </c>
      <c r="N3476" t="s">
        <v>4900</v>
      </c>
      <c r="O3476" t="s">
        <v>4910</v>
      </c>
    </row>
    <row r="3477" spans="1:15" x14ac:dyDescent="0.35">
      <c r="A3477" t="s">
        <v>3426</v>
      </c>
      <c r="B3477">
        <v>62</v>
      </c>
      <c r="C3477" t="s">
        <v>4803</v>
      </c>
      <c r="D3477" t="s">
        <v>13</v>
      </c>
      <c r="E3477">
        <v>38</v>
      </c>
      <c r="F3477">
        <v>21</v>
      </c>
      <c r="G3477" t="s">
        <v>4798</v>
      </c>
      <c r="H3477" t="s">
        <v>4804</v>
      </c>
      <c r="I3477">
        <v>13.99</v>
      </c>
      <c r="J3477">
        <v>2</v>
      </c>
      <c r="K3477">
        <v>1.27</v>
      </c>
      <c r="L3477">
        <v>0</v>
      </c>
      <c r="M3477" t="s">
        <v>4810</v>
      </c>
      <c r="N3477" t="s">
        <v>4900</v>
      </c>
      <c r="O3477" t="s">
        <v>4911</v>
      </c>
    </row>
    <row r="3478" spans="1:15" x14ac:dyDescent="0.35">
      <c r="A3478" t="s">
        <v>3427</v>
      </c>
      <c r="B3478">
        <v>52</v>
      </c>
      <c r="C3478" t="s">
        <v>4803</v>
      </c>
      <c r="D3478" t="s">
        <v>13</v>
      </c>
      <c r="E3478">
        <v>42</v>
      </c>
      <c r="F3478">
        <v>16</v>
      </c>
      <c r="G3478" t="s">
        <v>4798</v>
      </c>
      <c r="H3478" t="s">
        <v>4806</v>
      </c>
      <c r="I3478">
        <v>13.99</v>
      </c>
      <c r="J3478">
        <v>1</v>
      </c>
      <c r="K3478">
        <v>2.0299999999999998</v>
      </c>
      <c r="L3478">
        <v>0</v>
      </c>
      <c r="M3478" t="s">
        <v>4809</v>
      </c>
      <c r="N3478" t="s">
        <v>4900</v>
      </c>
      <c r="O3478" t="s">
        <v>4910</v>
      </c>
    </row>
    <row r="3479" spans="1:15" x14ac:dyDescent="0.35">
      <c r="A3479" t="s">
        <v>3428</v>
      </c>
      <c r="B3479">
        <v>48</v>
      </c>
      <c r="C3479" t="s">
        <v>4803</v>
      </c>
      <c r="D3479" t="s">
        <v>13</v>
      </c>
      <c r="E3479">
        <v>44</v>
      </c>
      <c r="F3479">
        <v>34</v>
      </c>
      <c r="G3479" t="s">
        <v>4798</v>
      </c>
      <c r="H3479" t="s">
        <v>4805</v>
      </c>
      <c r="I3479">
        <v>13.99</v>
      </c>
      <c r="J3479">
        <v>4</v>
      </c>
      <c r="K3479">
        <v>1.47</v>
      </c>
      <c r="L3479">
        <v>0</v>
      </c>
      <c r="M3479" t="s">
        <v>4808</v>
      </c>
      <c r="N3479" t="s">
        <v>4900</v>
      </c>
      <c r="O3479" t="s">
        <v>4910</v>
      </c>
    </row>
    <row r="3480" spans="1:15" x14ac:dyDescent="0.35">
      <c r="A3480" t="s">
        <v>3429</v>
      </c>
      <c r="B3480">
        <v>33</v>
      </c>
      <c r="C3480" t="s">
        <v>4802</v>
      </c>
      <c r="D3480" t="s">
        <v>13</v>
      </c>
      <c r="E3480">
        <v>58</v>
      </c>
      <c r="F3480">
        <v>31</v>
      </c>
      <c r="G3480" t="s">
        <v>4797</v>
      </c>
      <c r="H3480" t="s">
        <v>4805</v>
      </c>
      <c r="I3480">
        <v>13.99</v>
      </c>
      <c r="J3480">
        <v>3</v>
      </c>
      <c r="K3480">
        <v>1.93</v>
      </c>
      <c r="L3480">
        <v>1</v>
      </c>
      <c r="M3480" t="s">
        <v>4811</v>
      </c>
      <c r="N3480" t="s">
        <v>4899</v>
      </c>
      <c r="O3480" t="s">
        <v>4912</v>
      </c>
    </row>
    <row r="3481" spans="1:15" x14ac:dyDescent="0.35">
      <c r="A3481" t="s">
        <v>3430</v>
      </c>
      <c r="B3481">
        <v>53</v>
      </c>
      <c r="C3481" t="s">
        <v>4802</v>
      </c>
      <c r="D3481" t="s">
        <v>13</v>
      </c>
      <c r="E3481">
        <v>60</v>
      </c>
      <c r="F3481">
        <v>56</v>
      </c>
      <c r="G3481" t="s">
        <v>4797</v>
      </c>
      <c r="H3481" t="s">
        <v>4805</v>
      </c>
      <c r="I3481">
        <v>13.99</v>
      </c>
      <c r="J3481">
        <v>3</v>
      </c>
      <c r="K3481">
        <v>2</v>
      </c>
      <c r="L3481">
        <v>0</v>
      </c>
      <c r="M3481" t="s">
        <v>4811</v>
      </c>
      <c r="N3481" t="s">
        <v>4900</v>
      </c>
      <c r="O3481" t="s">
        <v>4910</v>
      </c>
    </row>
    <row r="3482" spans="1:15" x14ac:dyDescent="0.35">
      <c r="A3482" t="s">
        <v>3431</v>
      </c>
      <c r="B3482">
        <v>34</v>
      </c>
      <c r="C3482" t="s">
        <v>4802</v>
      </c>
      <c r="D3482" t="s">
        <v>13</v>
      </c>
      <c r="E3482">
        <v>73</v>
      </c>
      <c r="F3482">
        <v>10</v>
      </c>
      <c r="G3482" t="s">
        <v>4799</v>
      </c>
      <c r="H3482" t="s">
        <v>4805</v>
      </c>
      <c r="I3482">
        <v>13.99</v>
      </c>
      <c r="J3482">
        <v>3</v>
      </c>
      <c r="K3482">
        <v>2.4300000000000002</v>
      </c>
      <c r="L3482">
        <v>0</v>
      </c>
      <c r="M3482" t="s">
        <v>4812</v>
      </c>
      <c r="N3482" t="s">
        <v>4900</v>
      </c>
      <c r="O3482" t="s">
        <v>4912</v>
      </c>
    </row>
    <row r="3483" spans="1:15" x14ac:dyDescent="0.35">
      <c r="A3483" t="s">
        <v>3432</v>
      </c>
      <c r="B3483">
        <v>35</v>
      </c>
      <c r="C3483" t="s">
        <v>4803</v>
      </c>
      <c r="D3483" t="s">
        <v>13</v>
      </c>
      <c r="E3483">
        <v>45</v>
      </c>
      <c r="F3483">
        <v>6</v>
      </c>
      <c r="G3483" t="s">
        <v>4801</v>
      </c>
      <c r="H3483" t="s">
        <v>4804</v>
      </c>
      <c r="I3483">
        <v>13.99</v>
      </c>
      <c r="J3483">
        <v>4</v>
      </c>
      <c r="K3483">
        <v>1.5</v>
      </c>
      <c r="L3483">
        <v>1</v>
      </c>
      <c r="M3483" t="s">
        <v>4811</v>
      </c>
      <c r="N3483" t="s">
        <v>4899</v>
      </c>
      <c r="O3483" t="s">
        <v>4910</v>
      </c>
    </row>
    <row r="3484" spans="1:15" x14ac:dyDescent="0.35">
      <c r="A3484" t="s">
        <v>3433</v>
      </c>
      <c r="B3484">
        <v>34</v>
      </c>
      <c r="C3484" t="s">
        <v>4802</v>
      </c>
      <c r="D3484" t="s">
        <v>13</v>
      </c>
      <c r="E3484">
        <v>47</v>
      </c>
      <c r="F3484">
        <v>36</v>
      </c>
      <c r="G3484" t="s">
        <v>4797</v>
      </c>
      <c r="H3484" t="s">
        <v>4804</v>
      </c>
      <c r="I3484">
        <v>13.99</v>
      </c>
      <c r="J3484">
        <v>3</v>
      </c>
      <c r="K3484">
        <v>1.57</v>
      </c>
      <c r="L3484">
        <v>0</v>
      </c>
      <c r="M3484" t="s">
        <v>4811</v>
      </c>
      <c r="N3484" t="s">
        <v>4900</v>
      </c>
      <c r="O3484" t="s">
        <v>4912</v>
      </c>
    </row>
    <row r="3485" spans="1:15" x14ac:dyDescent="0.35">
      <c r="A3485" t="s">
        <v>3434</v>
      </c>
      <c r="B3485">
        <v>36</v>
      </c>
      <c r="C3485" t="s">
        <v>4802</v>
      </c>
      <c r="D3485" t="s">
        <v>13</v>
      </c>
      <c r="E3485">
        <v>67</v>
      </c>
      <c r="F3485">
        <v>5</v>
      </c>
      <c r="G3485" t="s">
        <v>4798</v>
      </c>
      <c r="H3485" t="s">
        <v>4806</v>
      </c>
      <c r="I3485">
        <v>13.99</v>
      </c>
      <c r="J3485">
        <v>3</v>
      </c>
      <c r="K3485">
        <v>2.23</v>
      </c>
      <c r="L3485">
        <v>0</v>
      </c>
      <c r="M3485" t="s">
        <v>4812</v>
      </c>
      <c r="N3485" t="s">
        <v>4900</v>
      </c>
      <c r="O3485" t="s">
        <v>4910</v>
      </c>
    </row>
    <row r="3486" spans="1:15" x14ac:dyDescent="0.35">
      <c r="A3486" t="s">
        <v>3435</v>
      </c>
      <c r="B3486">
        <v>65</v>
      </c>
      <c r="C3486" t="s">
        <v>4802</v>
      </c>
      <c r="D3486" t="s">
        <v>13</v>
      </c>
      <c r="E3486">
        <v>46</v>
      </c>
      <c r="F3486">
        <v>32</v>
      </c>
      <c r="G3486" t="s">
        <v>4798</v>
      </c>
      <c r="H3486" t="s">
        <v>4805</v>
      </c>
      <c r="I3486">
        <v>13.99</v>
      </c>
      <c r="J3486">
        <v>2</v>
      </c>
      <c r="K3486">
        <v>1.53</v>
      </c>
      <c r="L3486">
        <v>0</v>
      </c>
      <c r="M3486" t="s">
        <v>4809</v>
      </c>
      <c r="N3486" t="s">
        <v>4900</v>
      </c>
      <c r="O3486" t="s">
        <v>4911</v>
      </c>
    </row>
    <row r="3487" spans="1:15" x14ac:dyDescent="0.35">
      <c r="A3487" t="s">
        <v>3436</v>
      </c>
      <c r="B3487">
        <v>23</v>
      </c>
      <c r="C3487" t="s">
        <v>4802</v>
      </c>
      <c r="D3487" t="s">
        <v>15</v>
      </c>
      <c r="E3487">
        <v>82</v>
      </c>
      <c r="F3487">
        <v>54</v>
      </c>
      <c r="G3487" t="s">
        <v>4799</v>
      </c>
      <c r="H3487" t="s">
        <v>4806</v>
      </c>
      <c r="I3487">
        <v>17.989999999999998</v>
      </c>
      <c r="J3487">
        <v>4</v>
      </c>
      <c r="K3487">
        <v>2.73</v>
      </c>
      <c r="L3487">
        <v>0</v>
      </c>
      <c r="M3487" t="s">
        <v>4811</v>
      </c>
      <c r="N3487" t="s">
        <v>4900</v>
      </c>
      <c r="O3487" t="s">
        <v>4912</v>
      </c>
    </row>
    <row r="3488" spans="1:15" x14ac:dyDescent="0.35">
      <c r="A3488" t="s">
        <v>3437</v>
      </c>
      <c r="B3488">
        <v>25</v>
      </c>
      <c r="C3488" t="s">
        <v>4803</v>
      </c>
      <c r="D3488" t="s">
        <v>13</v>
      </c>
      <c r="E3488">
        <v>78</v>
      </c>
      <c r="F3488">
        <v>47</v>
      </c>
      <c r="G3488" t="s">
        <v>4797</v>
      </c>
      <c r="H3488" t="s">
        <v>4805</v>
      </c>
      <c r="I3488">
        <v>13.99</v>
      </c>
      <c r="J3488">
        <v>4</v>
      </c>
      <c r="K3488">
        <v>2.6</v>
      </c>
      <c r="L3488">
        <v>0</v>
      </c>
      <c r="M3488" t="s">
        <v>4810</v>
      </c>
      <c r="N3488" t="s">
        <v>4900</v>
      </c>
      <c r="O3488" t="s">
        <v>4912</v>
      </c>
    </row>
    <row r="3489" spans="1:15" x14ac:dyDescent="0.35">
      <c r="A3489" t="s">
        <v>3438</v>
      </c>
      <c r="B3489">
        <v>57</v>
      </c>
      <c r="C3489" t="s">
        <v>4803</v>
      </c>
      <c r="D3489" t="s">
        <v>15</v>
      </c>
      <c r="E3489">
        <v>59</v>
      </c>
      <c r="F3489">
        <v>0</v>
      </c>
      <c r="G3489" t="s">
        <v>4800</v>
      </c>
      <c r="H3489" t="s">
        <v>4805</v>
      </c>
      <c r="I3489">
        <v>17.989999999999998</v>
      </c>
      <c r="J3489">
        <v>1</v>
      </c>
      <c r="K3489">
        <v>1.97</v>
      </c>
      <c r="L3489">
        <v>1</v>
      </c>
      <c r="M3489" t="s">
        <v>4810</v>
      </c>
      <c r="N3489" t="s">
        <v>4899</v>
      </c>
      <c r="O3489" t="s">
        <v>4911</v>
      </c>
    </row>
    <row r="3490" spans="1:15" x14ac:dyDescent="0.35">
      <c r="A3490" t="s">
        <v>3439</v>
      </c>
      <c r="B3490">
        <v>37</v>
      </c>
      <c r="C3490" t="s">
        <v>4803</v>
      </c>
      <c r="D3490" t="s">
        <v>13</v>
      </c>
      <c r="E3490">
        <v>59</v>
      </c>
      <c r="F3490">
        <v>41</v>
      </c>
      <c r="G3490" t="s">
        <v>4798</v>
      </c>
      <c r="H3490" t="s">
        <v>4805</v>
      </c>
      <c r="I3490">
        <v>13.99</v>
      </c>
      <c r="J3490">
        <v>2</v>
      </c>
      <c r="K3490">
        <v>5</v>
      </c>
      <c r="L3490">
        <v>1</v>
      </c>
      <c r="M3490" t="s">
        <v>4811</v>
      </c>
      <c r="N3490" t="s">
        <v>4899</v>
      </c>
      <c r="O3490" t="s">
        <v>4910</v>
      </c>
    </row>
    <row r="3491" spans="1:15" x14ac:dyDescent="0.35">
      <c r="A3491" t="s">
        <v>3440</v>
      </c>
      <c r="B3491">
        <v>46</v>
      </c>
      <c r="C3491" t="s">
        <v>4802</v>
      </c>
      <c r="D3491" t="s">
        <v>13</v>
      </c>
      <c r="E3491">
        <v>37</v>
      </c>
      <c r="F3491">
        <v>22</v>
      </c>
      <c r="G3491" t="s">
        <v>4799</v>
      </c>
      <c r="H3491" t="s">
        <v>4805</v>
      </c>
      <c r="I3491">
        <v>13.99</v>
      </c>
      <c r="J3491">
        <v>2</v>
      </c>
      <c r="K3491">
        <v>1.23</v>
      </c>
      <c r="L3491">
        <v>0</v>
      </c>
      <c r="M3491" t="s">
        <v>4808</v>
      </c>
      <c r="N3491" t="s">
        <v>4900</v>
      </c>
      <c r="O3491" t="s">
        <v>4910</v>
      </c>
    </row>
    <row r="3492" spans="1:15" x14ac:dyDescent="0.35">
      <c r="A3492" t="s">
        <v>3441</v>
      </c>
      <c r="B3492">
        <v>21</v>
      </c>
      <c r="C3492" t="s">
        <v>4803</v>
      </c>
      <c r="D3492" t="s">
        <v>13</v>
      </c>
      <c r="E3492">
        <v>52</v>
      </c>
      <c r="F3492">
        <v>2</v>
      </c>
      <c r="G3492" t="s">
        <v>4798</v>
      </c>
      <c r="H3492" t="s">
        <v>4805</v>
      </c>
      <c r="I3492">
        <v>13.99</v>
      </c>
      <c r="J3492">
        <v>1</v>
      </c>
      <c r="K3492">
        <v>1.73</v>
      </c>
      <c r="L3492">
        <v>0</v>
      </c>
      <c r="M3492" t="s">
        <v>4811</v>
      </c>
      <c r="N3492" t="s">
        <v>4900</v>
      </c>
      <c r="O3492" t="s">
        <v>4912</v>
      </c>
    </row>
    <row r="3493" spans="1:15" x14ac:dyDescent="0.35">
      <c r="A3493" t="s">
        <v>3442</v>
      </c>
      <c r="B3493">
        <v>62</v>
      </c>
      <c r="C3493" t="s">
        <v>4803</v>
      </c>
      <c r="D3493" t="s">
        <v>15</v>
      </c>
      <c r="E3493">
        <v>87</v>
      </c>
      <c r="F3493">
        <v>19</v>
      </c>
      <c r="G3493" t="s">
        <v>4798</v>
      </c>
      <c r="H3493" t="s">
        <v>4806</v>
      </c>
      <c r="I3493">
        <v>17.989999999999998</v>
      </c>
      <c r="J3493">
        <v>4</v>
      </c>
      <c r="K3493">
        <v>2.9</v>
      </c>
      <c r="L3493">
        <v>0</v>
      </c>
      <c r="M3493" t="s">
        <v>4809</v>
      </c>
      <c r="N3493" t="s">
        <v>4900</v>
      </c>
      <c r="O3493" t="s">
        <v>4911</v>
      </c>
    </row>
    <row r="3494" spans="1:15" x14ac:dyDescent="0.35">
      <c r="A3494" t="s">
        <v>3443</v>
      </c>
      <c r="B3494">
        <v>56</v>
      </c>
      <c r="C3494" t="s">
        <v>4803</v>
      </c>
      <c r="D3494" t="s">
        <v>15</v>
      </c>
      <c r="E3494">
        <v>116</v>
      </c>
      <c r="F3494">
        <v>9</v>
      </c>
      <c r="G3494" t="s">
        <v>4799</v>
      </c>
      <c r="H3494" t="s">
        <v>4806</v>
      </c>
      <c r="I3494">
        <v>17.989999999999998</v>
      </c>
      <c r="J3494">
        <v>5</v>
      </c>
      <c r="K3494">
        <v>3.87</v>
      </c>
      <c r="L3494">
        <v>0</v>
      </c>
      <c r="M3494" t="s">
        <v>4808</v>
      </c>
      <c r="N3494" t="s">
        <v>4900</v>
      </c>
      <c r="O3494" t="s">
        <v>4911</v>
      </c>
    </row>
    <row r="3495" spans="1:15" x14ac:dyDescent="0.35">
      <c r="A3495" t="s">
        <v>3444</v>
      </c>
      <c r="B3495">
        <v>45</v>
      </c>
      <c r="C3495" t="s">
        <v>4802</v>
      </c>
      <c r="D3495" t="s">
        <v>13</v>
      </c>
      <c r="E3495">
        <v>52</v>
      </c>
      <c r="F3495">
        <v>22</v>
      </c>
      <c r="G3495" t="s">
        <v>4798</v>
      </c>
      <c r="H3495" t="s">
        <v>4804</v>
      </c>
      <c r="I3495">
        <v>13.99</v>
      </c>
      <c r="J3495">
        <v>3</v>
      </c>
      <c r="K3495">
        <v>1.73</v>
      </c>
      <c r="L3495">
        <v>0</v>
      </c>
      <c r="M3495" t="s">
        <v>4809</v>
      </c>
      <c r="N3495" t="s">
        <v>4900</v>
      </c>
      <c r="O3495" t="s">
        <v>4910</v>
      </c>
    </row>
    <row r="3496" spans="1:15" x14ac:dyDescent="0.35">
      <c r="A3496" t="s">
        <v>3445</v>
      </c>
      <c r="B3496">
        <v>59</v>
      </c>
      <c r="C3496" t="s">
        <v>4803</v>
      </c>
      <c r="D3496" t="s">
        <v>15</v>
      </c>
      <c r="E3496">
        <v>69</v>
      </c>
      <c r="F3496">
        <v>45</v>
      </c>
      <c r="G3496" t="s">
        <v>4798</v>
      </c>
      <c r="H3496" t="s">
        <v>4806</v>
      </c>
      <c r="I3496">
        <v>17.989999999999998</v>
      </c>
      <c r="J3496">
        <v>3</v>
      </c>
      <c r="K3496">
        <v>2.2999999999999998</v>
      </c>
      <c r="L3496">
        <v>0</v>
      </c>
      <c r="M3496" t="s">
        <v>4811</v>
      </c>
      <c r="N3496" t="s">
        <v>4900</v>
      </c>
      <c r="O3496" t="s">
        <v>4911</v>
      </c>
    </row>
    <row r="3497" spans="1:15" x14ac:dyDescent="0.35">
      <c r="A3497" t="s">
        <v>3446</v>
      </c>
      <c r="B3497">
        <v>62</v>
      </c>
      <c r="C3497" t="s">
        <v>4803</v>
      </c>
      <c r="D3497" t="s">
        <v>13</v>
      </c>
      <c r="E3497">
        <v>32</v>
      </c>
      <c r="F3497">
        <v>57</v>
      </c>
      <c r="G3497" t="s">
        <v>4797</v>
      </c>
      <c r="H3497" t="s">
        <v>4804</v>
      </c>
      <c r="I3497">
        <v>13.99</v>
      </c>
      <c r="J3497">
        <v>1</v>
      </c>
      <c r="K3497">
        <v>5</v>
      </c>
      <c r="L3497">
        <v>0</v>
      </c>
      <c r="M3497" t="s">
        <v>4809</v>
      </c>
      <c r="N3497" t="s">
        <v>4900</v>
      </c>
      <c r="O3497" t="s">
        <v>4911</v>
      </c>
    </row>
    <row r="3498" spans="1:15" x14ac:dyDescent="0.35">
      <c r="A3498" t="s">
        <v>3447</v>
      </c>
      <c r="B3498">
        <v>30</v>
      </c>
      <c r="C3498" t="s">
        <v>4802</v>
      </c>
      <c r="D3498" t="s">
        <v>14</v>
      </c>
      <c r="E3498">
        <v>13</v>
      </c>
      <c r="F3498">
        <v>31</v>
      </c>
      <c r="G3498" t="s">
        <v>4798</v>
      </c>
      <c r="H3498" t="s">
        <v>4805</v>
      </c>
      <c r="I3498">
        <v>8.99</v>
      </c>
      <c r="J3498">
        <v>2</v>
      </c>
      <c r="K3498">
        <v>0.43</v>
      </c>
      <c r="L3498">
        <v>0</v>
      </c>
      <c r="M3498" t="s">
        <v>4809</v>
      </c>
      <c r="N3498" t="s">
        <v>4900</v>
      </c>
      <c r="O3498" t="s">
        <v>4912</v>
      </c>
    </row>
    <row r="3499" spans="1:15" x14ac:dyDescent="0.35">
      <c r="A3499" t="s">
        <v>3448</v>
      </c>
      <c r="B3499">
        <v>38</v>
      </c>
      <c r="C3499" t="s">
        <v>4803</v>
      </c>
      <c r="D3499" t="s">
        <v>15</v>
      </c>
      <c r="E3499">
        <v>92</v>
      </c>
      <c r="F3499">
        <v>48</v>
      </c>
      <c r="G3499" t="s">
        <v>4798</v>
      </c>
      <c r="H3499" t="s">
        <v>4805</v>
      </c>
      <c r="I3499">
        <v>17.989999999999998</v>
      </c>
      <c r="J3499">
        <v>3</v>
      </c>
      <c r="K3499">
        <v>3.07</v>
      </c>
      <c r="L3499">
        <v>0</v>
      </c>
      <c r="M3499" t="s">
        <v>4811</v>
      </c>
      <c r="N3499" t="s">
        <v>4900</v>
      </c>
      <c r="O3499" t="s">
        <v>4910</v>
      </c>
    </row>
    <row r="3500" spans="1:15" x14ac:dyDescent="0.35">
      <c r="A3500" t="s">
        <v>3449</v>
      </c>
      <c r="B3500">
        <v>51</v>
      </c>
      <c r="C3500" t="s">
        <v>4803</v>
      </c>
      <c r="D3500" t="s">
        <v>13</v>
      </c>
      <c r="E3500">
        <v>78</v>
      </c>
      <c r="F3500">
        <v>6</v>
      </c>
      <c r="G3500" t="s">
        <v>4798</v>
      </c>
      <c r="H3500" t="s">
        <v>4806</v>
      </c>
      <c r="I3500">
        <v>13.99</v>
      </c>
      <c r="J3500">
        <v>4</v>
      </c>
      <c r="K3500">
        <v>5</v>
      </c>
      <c r="L3500">
        <v>0</v>
      </c>
      <c r="M3500" t="s">
        <v>4810</v>
      </c>
      <c r="N3500" t="s">
        <v>4900</v>
      </c>
      <c r="O3500" t="s">
        <v>4910</v>
      </c>
    </row>
    <row r="3501" spans="1:15" x14ac:dyDescent="0.35">
      <c r="A3501" t="s">
        <v>3450</v>
      </c>
      <c r="B3501">
        <v>41</v>
      </c>
      <c r="C3501" t="s">
        <v>4802</v>
      </c>
      <c r="D3501" t="s">
        <v>13</v>
      </c>
      <c r="E3501">
        <v>64</v>
      </c>
      <c r="F3501">
        <v>20</v>
      </c>
      <c r="G3501" t="s">
        <v>4799</v>
      </c>
      <c r="H3501" t="s">
        <v>4806</v>
      </c>
      <c r="I3501">
        <v>13.99</v>
      </c>
      <c r="J3501">
        <v>4</v>
      </c>
      <c r="K3501">
        <v>2.13</v>
      </c>
      <c r="L3501">
        <v>0</v>
      </c>
      <c r="M3501" t="s">
        <v>4812</v>
      </c>
      <c r="N3501" t="s">
        <v>4900</v>
      </c>
      <c r="O3501" t="s">
        <v>4910</v>
      </c>
    </row>
    <row r="3502" spans="1:15" x14ac:dyDescent="0.35">
      <c r="A3502" t="s">
        <v>3451</v>
      </c>
      <c r="B3502">
        <v>27</v>
      </c>
      <c r="C3502" t="s">
        <v>4803</v>
      </c>
      <c r="D3502" t="s">
        <v>13</v>
      </c>
      <c r="E3502">
        <v>65</v>
      </c>
      <c r="F3502">
        <v>43</v>
      </c>
      <c r="G3502" t="s">
        <v>4799</v>
      </c>
      <c r="H3502" t="s">
        <v>4805</v>
      </c>
      <c r="I3502">
        <v>13.99</v>
      </c>
      <c r="J3502">
        <v>4</v>
      </c>
      <c r="K3502">
        <v>2.17</v>
      </c>
      <c r="L3502">
        <v>0</v>
      </c>
      <c r="M3502" t="s">
        <v>4808</v>
      </c>
      <c r="N3502" t="s">
        <v>4900</v>
      </c>
      <c r="O3502" t="s">
        <v>4912</v>
      </c>
    </row>
    <row r="3503" spans="1:15" x14ac:dyDescent="0.35">
      <c r="A3503" t="s">
        <v>3452</v>
      </c>
      <c r="B3503">
        <v>24</v>
      </c>
      <c r="C3503" t="s">
        <v>4803</v>
      </c>
      <c r="D3503" t="s">
        <v>15</v>
      </c>
      <c r="E3503">
        <v>58</v>
      </c>
      <c r="F3503">
        <v>43</v>
      </c>
      <c r="G3503" t="s">
        <v>4800</v>
      </c>
      <c r="H3503" t="s">
        <v>4804</v>
      </c>
      <c r="I3503">
        <v>17.989999999999998</v>
      </c>
      <c r="J3503">
        <v>2</v>
      </c>
      <c r="K3503">
        <v>1.93</v>
      </c>
      <c r="L3503">
        <v>0</v>
      </c>
      <c r="M3503" t="s">
        <v>4808</v>
      </c>
      <c r="N3503" t="s">
        <v>4900</v>
      </c>
      <c r="O3503" t="s">
        <v>4912</v>
      </c>
    </row>
    <row r="3504" spans="1:15" x14ac:dyDescent="0.35">
      <c r="A3504" t="s">
        <v>3453</v>
      </c>
      <c r="B3504">
        <v>22</v>
      </c>
      <c r="C3504" t="s">
        <v>4802</v>
      </c>
      <c r="D3504" t="s">
        <v>13</v>
      </c>
      <c r="E3504">
        <v>71</v>
      </c>
      <c r="F3504">
        <v>55</v>
      </c>
      <c r="G3504" t="s">
        <v>4799</v>
      </c>
      <c r="H3504" t="s">
        <v>4804</v>
      </c>
      <c r="I3504">
        <v>13.99</v>
      </c>
      <c r="J3504">
        <v>1</v>
      </c>
      <c r="K3504">
        <v>2.0299999999999998</v>
      </c>
      <c r="L3504">
        <v>0</v>
      </c>
      <c r="M3504" t="s">
        <v>4809</v>
      </c>
      <c r="N3504" t="s">
        <v>4900</v>
      </c>
      <c r="O3504" t="s">
        <v>4912</v>
      </c>
    </row>
    <row r="3505" spans="1:15" x14ac:dyDescent="0.35">
      <c r="A3505" t="s">
        <v>3454</v>
      </c>
      <c r="B3505">
        <v>26</v>
      </c>
      <c r="C3505" t="s">
        <v>4802</v>
      </c>
      <c r="D3505" t="s">
        <v>13</v>
      </c>
      <c r="E3505">
        <v>61</v>
      </c>
      <c r="F3505">
        <v>18</v>
      </c>
      <c r="G3505" t="s">
        <v>4798</v>
      </c>
      <c r="H3505" t="s">
        <v>4805</v>
      </c>
      <c r="I3505">
        <v>13.99</v>
      </c>
      <c r="J3505">
        <v>3</v>
      </c>
      <c r="K3505">
        <v>2.0299999999999998</v>
      </c>
      <c r="L3505">
        <v>0</v>
      </c>
      <c r="M3505" t="s">
        <v>4809</v>
      </c>
      <c r="N3505" t="s">
        <v>4900</v>
      </c>
      <c r="O3505" t="s">
        <v>4912</v>
      </c>
    </row>
    <row r="3506" spans="1:15" x14ac:dyDescent="0.35">
      <c r="A3506" t="s">
        <v>3455</v>
      </c>
      <c r="B3506">
        <v>55</v>
      </c>
      <c r="C3506" t="s">
        <v>4803</v>
      </c>
      <c r="D3506" t="s">
        <v>13</v>
      </c>
      <c r="E3506">
        <v>64</v>
      </c>
      <c r="F3506" t="s">
        <v>4814</v>
      </c>
      <c r="G3506" t="s">
        <v>4799</v>
      </c>
      <c r="H3506" t="s">
        <v>4805</v>
      </c>
      <c r="I3506">
        <v>13.99</v>
      </c>
      <c r="J3506">
        <v>2</v>
      </c>
      <c r="K3506">
        <v>2.13</v>
      </c>
      <c r="L3506">
        <v>0</v>
      </c>
      <c r="M3506" t="s">
        <v>4808</v>
      </c>
      <c r="N3506" t="s">
        <v>4900</v>
      </c>
      <c r="O3506" t="s">
        <v>4911</v>
      </c>
    </row>
    <row r="3507" spans="1:15" x14ac:dyDescent="0.35">
      <c r="A3507" t="s">
        <v>3456</v>
      </c>
      <c r="B3507">
        <v>49</v>
      </c>
      <c r="C3507" t="s">
        <v>4803</v>
      </c>
      <c r="D3507" t="s">
        <v>13</v>
      </c>
      <c r="E3507">
        <v>48</v>
      </c>
      <c r="F3507">
        <v>24</v>
      </c>
      <c r="G3507" t="s">
        <v>4799</v>
      </c>
      <c r="H3507" t="s">
        <v>4805</v>
      </c>
      <c r="I3507">
        <v>13.99</v>
      </c>
      <c r="J3507">
        <v>3</v>
      </c>
      <c r="K3507">
        <v>1.6</v>
      </c>
      <c r="L3507">
        <v>0</v>
      </c>
      <c r="M3507" t="s">
        <v>4811</v>
      </c>
      <c r="N3507" t="s">
        <v>4900</v>
      </c>
      <c r="O3507" t="s">
        <v>4910</v>
      </c>
    </row>
    <row r="3508" spans="1:15" x14ac:dyDescent="0.35">
      <c r="A3508" t="s">
        <v>3457</v>
      </c>
      <c r="B3508">
        <v>32</v>
      </c>
      <c r="C3508" t="s">
        <v>4803</v>
      </c>
      <c r="D3508" t="s">
        <v>13</v>
      </c>
      <c r="E3508">
        <v>65</v>
      </c>
      <c r="F3508">
        <v>6</v>
      </c>
      <c r="G3508" t="s">
        <v>4798</v>
      </c>
      <c r="H3508" t="s">
        <v>4805</v>
      </c>
      <c r="I3508">
        <v>13.99</v>
      </c>
      <c r="J3508">
        <v>4</v>
      </c>
      <c r="K3508">
        <v>2.17</v>
      </c>
      <c r="L3508">
        <v>0</v>
      </c>
      <c r="M3508" t="s">
        <v>4811</v>
      </c>
      <c r="N3508" t="s">
        <v>4900</v>
      </c>
      <c r="O3508" t="s">
        <v>4912</v>
      </c>
    </row>
    <row r="3509" spans="1:15" x14ac:dyDescent="0.35">
      <c r="A3509" t="s">
        <v>3458</v>
      </c>
      <c r="B3509">
        <v>47</v>
      </c>
      <c r="C3509" t="s">
        <v>4802</v>
      </c>
      <c r="D3509" t="s">
        <v>15</v>
      </c>
      <c r="E3509">
        <v>54</v>
      </c>
      <c r="F3509">
        <v>43</v>
      </c>
      <c r="G3509" t="s">
        <v>4797</v>
      </c>
      <c r="H3509" t="s">
        <v>4805</v>
      </c>
      <c r="I3509">
        <v>17.989999999999998</v>
      </c>
      <c r="J3509">
        <v>5</v>
      </c>
      <c r="K3509">
        <v>1.8</v>
      </c>
      <c r="L3509">
        <v>1</v>
      </c>
      <c r="M3509" t="s">
        <v>4812</v>
      </c>
      <c r="N3509" t="s">
        <v>4899</v>
      </c>
      <c r="O3509" t="s">
        <v>4910</v>
      </c>
    </row>
    <row r="3510" spans="1:15" x14ac:dyDescent="0.35">
      <c r="A3510" t="s">
        <v>3459</v>
      </c>
      <c r="B3510">
        <v>62</v>
      </c>
      <c r="C3510" t="s">
        <v>4802</v>
      </c>
      <c r="D3510" t="s">
        <v>13</v>
      </c>
      <c r="E3510">
        <v>64</v>
      </c>
      <c r="F3510">
        <v>16</v>
      </c>
      <c r="G3510" t="s">
        <v>4797</v>
      </c>
      <c r="H3510" t="s">
        <v>4804</v>
      </c>
      <c r="I3510">
        <v>13.99</v>
      </c>
      <c r="J3510">
        <v>2</v>
      </c>
      <c r="K3510">
        <v>2.13</v>
      </c>
      <c r="L3510">
        <v>0</v>
      </c>
      <c r="M3510" t="s">
        <v>4812</v>
      </c>
      <c r="N3510" t="s">
        <v>4900</v>
      </c>
      <c r="O3510" t="s">
        <v>4911</v>
      </c>
    </row>
    <row r="3511" spans="1:15" x14ac:dyDescent="0.35">
      <c r="A3511" t="s">
        <v>3460</v>
      </c>
      <c r="B3511">
        <v>53</v>
      </c>
      <c r="C3511" t="s">
        <v>4802</v>
      </c>
      <c r="D3511" t="s">
        <v>13</v>
      </c>
      <c r="E3511">
        <v>79</v>
      </c>
      <c r="F3511">
        <v>9</v>
      </c>
      <c r="G3511" t="s">
        <v>4800</v>
      </c>
      <c r="H3511" t="s">
        <v>4804</v>
      </c>
      <c r="I3511">
        <v>13.99</v>
      </c>
      <c r="J3511">
        <v>1</v>
      </c>
      <c r="K3511">
        <v>2.63</v>
      </c>
      <c r="L3511">
        <v>0</v>
      </c>
      <c r="M3511" t="s">
        <v>4811</v>
      </c>
      <c r="N3511" t="s">
        <v>4900</v>
      </c>
      <c r="O3511" t="s">
        <v>4910</v>
      </c>
    </row>
    <row r="3512" spans="1:15" x14ac:dyDescent="0.35">
      <c r="A3512" t="s">
        <v>3461</v>
      </c>
      <c r="B3512">
        <v>26</v>
      </c>
      <c r="C3512" t="s">
        <v>4803</v>
      </c>
      <c r="D3512" t="s">
        <v>13</v>
      </c>
      <c r="E3512">
        <v>39</v>
      </c>
      <c r="F3512">
        <v>48</v>
      </c>
      <c r="G3512" t="s">
        <v>4797</v>
      </c>
      <c r="H3512" t="s">
        <v>4804</v>
      </c>
      <c r="I3512">
        <v>13.99</v>
      </c>
      <c r="J3512">
        <v>2</v>
      </c>
      <c r="K3512">
        <v>1.3</v>
      </c>
      <c r="L3512">
        <v>1</v>
      </c>
      <c r="M3512" t="s">
        <v>4812</v>
      </c>
      <c r="N3512" t="s">
        <v>4899</v>
      </c>
      <c r="O3512" t="s">
        <v>4912</v>
      </c>
    </row>
    <row r="3513" spans="1:15" x14ac:dyDescent="0.35">
      <c r="A3513" t="s">
        <v>3462</v>
      </c>
      <c r="B3513">
        <v>31</v>
      </c>
      <c r="C3513" t="s">
        <v>4802</v>
      </c>
      <c r="D3513" t="s">
        <v>13</v>
      </c>
      <c r="E3513">
        <v>35</v>
      </c>
      <c r="F3513">
        <v>57</v>
      </c>
      <c r="G3513" t="s">
        <v>4798</v>
      </c>
      <c r="H3513" t="s">
        <v>4804</v>
      </c>
      <c r="I3513">
        <v>13.99</v>
      </c>
      <c r="J3513">
        <v>2</v>
      </c>
      <c r="K3513">
        <v>1.17</v>
      </c>
      <c r="L3513">
        <v>1</v>
      </c>
      <c r="M3513" t="s">
        <v>4809</v>
      </c>
      <c r="N3513" t="s">
        <v>4899</v>
      </c>
      <c r="O3513" t="s">
        <v>4912</v>
      </c>
    </row>
    <row r="3514" spans="1:15" x14ac:dyDescent="0.35">
      <c r="A3514" t="s">
        <v>4883</v>
      </c>
      <c r="B3514">
        <v>45</v>
      </c>
      <c r="C3514" t="s">
        <v>4802</v>
      </c>
      <c r="D3514" t="s">
        <v>14</v>
      </c>
      <c r="E3514">
        <v>29</v>
      </c>
      <c r="F3514">
        <v>3</v>
      </c>
      <c r="G3514" t="s">
        <v>4798</v>
      </c>
      <c r="H3514" t="s">
        <v>4804</v>
      </c>
      <c r="I3514">
        <v>8.99</v>
      </c>
      <c r="J3514">
        <v>2</v>
      </c>
      <c r="K3514">
        <v>5</v>
      </c>
      <c r="L3514">
        <v>0</v>
      </c>
      <c r="M3514" t="s">
        <v>4811</v>
      </c>
      <c r="N3514" t="s">
        <v>4900</v>
      </c>
      <c r="O3514" t="s">
        <v>4910</v>
      </c>
    </row>
    <row r="3515" spans="1:15" x14ac:dyDescent="0.35">
      <c r="A3515" t="s">
        <v>3463</v>
      </c>
      <c r="B3515">
        <v>52</v>
      </c>
      <c r="C3515" t="s">
        <v>4802</v>
      </c>
      <c r="D3515" t="s">
        <v>13</v>
      </c>
      <c r="E3515">
        <v>31</v>
      </c>
      <c r="F3515">
        <v>46</v>
      </c>
      <c r="G3515" t="s">
        <v>4799</v>
      </c>
      <c r="H3515" t="s">
        <v>4805</v>
      </c>
      <c r="I3515">
        <v>13.99</v>
      </c>
      <c r="J3515">
        <v>2</v>
      </c>
      <c r="K3515">
        <v>2.0299999999999998</v>
      </c>
      <c r="L3515">
        <v>0</v>
      </c>
      <c r="M3515" t="s">
        <v>4810</v>
      </c>
      <c r="N3515" t="s">
        <v>4900</v>
      </c>
      <c r="O3515" t="s">
        <v>4910</v>
      </c>
    </row>
    <row r="3516" spans="1:15" x14ac:dyDescent="0.35">
      <c r="A3516" t="s">
        <v>3464</v>
      </c>
      <c r="B3516">
        <v>45</v>
      </c>
      <c r="C3516" t="s">
        <v>4802</v>
      </c>
      <c r="D3516" t="s">
        <v>13</v>
      </c>
      <c r="E3516">
        <v>37</v>
      </c>
      <c r="F3516">
        <v>57</v>
      </c>
      <c r="G3516" t="s">
        <v>4798</v>
      </c>
      <c r="H3516" t="s">
        <v>4804</v>
      </c>
      <c r="I3516">
        <v>13.99</v>
      </c>
      <c r="J3516">
        <v>4</v>
      </c>
      <c r="K3516">
        <v>1.23</v>
      </c>
      <c r="L3516">
        <v>1</v>
      </c>
      <c r="M3516" t="s">
        <v>4808</v>
      </c>
      <c r="N3516" t="s">
        <v>4899</v>
      </c>
      <c r="O3516" t="s">
        <v>4910</v>
      </c>
    </row>
    <row r="3517" spans="1:15" x14ac:dyDescent="0.35">
      <c r="A3517" t="s">
        <v>3465</v>
      </c>
      <c r="B3517">
        <v>37</v>
      </c>
      <c r="C3517" t="s">
        <v>4802</v>
      </c>
      <c r="D3517" t="s">
        <v>15</v>
      </c>
      <c r="E3517">
        <v>55</v>
      </c>
      <c r="F3517">
        <v>11</v>
      </c>
      <c r="G3517" t="s">
        <v>4800</v>
      </c>
      <c r="H3517" t="s">
        <v>4806</v>
      </c>
      <c r="I3517">
        <v>17.989999999999998</v>
      </c>
      <c r="J3517">
        <v>4</v>
      </c>
      <c r="K3517">
        <v>1.83</v>
      </c>
      <c r="L3517">
        <v>1</v>
      </c>
      <c r="M3517" t="s">
        <v>4812</v>
      </c>
      <c r="N3517" t="s">
        <v>4899</v>
      </c>
      <c r="O3517" t="s">
        <v>4910</v>
      </c>
    </row>
    <row r="3518" spans="1:15" x14ac:dyDescent="0.35">
      <c r="A3518" t="s">
        <v>3466</v>
      </c>
      <c r="B3518">
        <v>38</v>
      </c>
      <c r="C3518" t="s">
        <v>4803</v>
      </c>
      <c r="D3518" t="s">
        <v>13</v>
      </c>
      <c r="E3518">
        <v>74</v>
      </c>
      <c r="F3518">
        <v>49</v>
      </c>
      <c r="G3518" t="s">
        <v>4797</v>
      </c>
      <c r="H3518" t="s">
        <v>4804</v>
      </c>
      <c r="I3518">
        <v>13.99</v>
      </c>
      <c r="J3518">
        <v>2</v>
      </c>
      <c r="K3518">
        <v>2.4700000000000002</v>
      </c>
      <c r="L3518">
        <v>0</v>
      </c>
      <c r="M3518" t="s">
        <v>4810</v>
      </c>
      <c r="N3518" t="s">
        <v>4900</v>
      </c>
      <c r="O3518" t="s">
        <v>4910</v>
      </c>
    </row>
    <row r="3519" spans="1:15" x14ac:dyDescent="0.35">
      <c r="A3519" t="s">
        <v>3467</v>
      </c>
      <c r="B3519">
        <v>52</v>
      </c>
      <c r="C3519" t="s">
        <v>4803</v>
      </c>
      <c r="D3519" t="s">
        <v>13</v>
      </c>
      <c r="E3519">
        <v>77</v>
      </c>
      <c r="F3519">
        <v>8</v>
      </c>
      <c r="G3519" t="s">
        <v>4799</v>
      </c>
      <c r="H3519" t="s">
        <v>4804</v>
      </c>
      <c r="I3519">
        <v>13.99</v>
      </c>
      <c r="J3519">
        <v>2</v>
      </c>
      <c r="K3519">
        <v>2.57</v>
      </c>
      <c r="L3519">
        <v>0</v>
      </c>
      <c r="M3519" t="s">
        <v>4811</v>
      </c>
      <c r="N3519" t="s">
        <v>4900</v>
      </c>
      <c r="O3519" t="s">
        <v>4910</v>
      </c>
    </row>
    <row r="3520" spans="1:15" x14ac:dyDescent="0.35">
      <c r="A3520" t="s">
        <v>3468</v>
      </c>
      <c r="B3520">
        <v>41</v>
      </c>
      <c r="C3520" t="s">
        <v>4803</v>
      </c>
      <c r="D3520" t="s">
        <v>13</v>
      </c>
      <c r="E3520">
        <v>74</v>
      </c>
      <c r="F3520">
        <v>16</v>
      </c>
      <c r="G3520" t="s">
        <v>4799</v>
      </c>
      <c r="H3520" t="s">
        <v>4804</v>
      </c>
      <c r="I3520">
        <v>13.99</v>
      </c>
      <c r="J3520">
        <v>2</v>
      </c>
      <c r="K3520">
        <v>2.4700000000000002</v>
      </c>
      <c r="L3520">
        <v>0</v>
      </c>
      <c r="M3520" t="s">
        <v>4809</v>
      </c>
      <c r="N3520" t="s">
        <v>4900</v>
      </c>
      <c r="O3520" t="s">
        <v>4910</v>
      </c>
    </row>
    <row r="3521" spans="1:15" x14ac:dyDescent="0.35">
      <c r="A3521" t="s">
        <v>3469</v>
      </c>
      <c r="B3521">
        <v>42</v>
      </c>
      <c r="C3521" t="s">
        <v>4802</v>
      </c>
      <c r="D3521" t="s">
        <v>13</v>
      </c>
      <c r="E3521">
        <v>34</v>
      </c>
      <c r="F3521">
        <v>55</v>
      </c>
      <c r="G3521" t="s">
        <v>4798</v>
      </c>
      <c r="H3521" t="s">
        <v>4804</v>
      </c>
      <c r="I3521">
        <v>13.99</v>
      </c>
      <c r="J3521">
        <v>1</v>
      </c>
      <c r="K3521">
        <v>1.1299999999999999</v>
      </c>
      <c r="L3521">
        <v>0</v>
      </c>
      <c r="M3521" t="s">
        <v>4809</v>
      </c>
      <c r="N3521" t="s">
        <v>4900</v>
      </c>
      <c r="O3521" t="s">
        <v>4910</v>
      </c>
    </row>
    <row r="3522" spans="1:15" x14ac:dyDescent="0.35">
      <c r="A3522" t="s">
        <v>3470</v>
      </c>
      <c r="B3522">
        <v>23</v>
      </c>
      <c r="C3522" t="s">
        <v>4802</v>
      </c>
      <c r="D3522" t="s">
        <v>15</v>
      </c>
      <c r="E3522">
        <v>85</v>
      </c>
      <c r="F3522">
        <v>44</v>
      </c>
      <c r="G3522" t="s">
        <v>4798</v>
      </c>
      <c r="H3522" t="s">
        <v>4805</v>
      </c>
      <c r="I3522">
        <v>17.989999999999998</v>
      </c>
      <c r="J3522">
        <v>3</v>
      </c>
      <c r="K3522">
        <v>2.83</v>
      </c>
      <c r="L3522">
        <v>0</v>
      </c>
      <c r="M3522" t="s">
        <v>4809</v>
      </c>
      <c r="N3522" t="s">
        <v>4900</v>
      </c>
      <c r="O3522" t="s">
        <v>4912</v>
      </c>
    </row>
    <row r="3523" spans="1:15" x14ac:dyDescent="0.35">
      <c r="A3523" t="s">
        <v>3471</v>
      </c>
      <c r="B3523">
        <v>47</v>
      </c>
      <c r="C3523" t="s">
        <v>4802</v>
      </c>
      <c r="D3523" t="s">
        <v>13</v>
      </c>
      <c r="E3523">
        <v>67</v>
      </c>
      <c r="F3523">
        <v>33</v>
      </c>
      <c r="G3523" t="s">
        <v>4799</v>
      </c>
      <c r="H3523" t="s">
        <v>4804</v>
      </c>
      <c r="I3523">
        <v>13.99</v>
      </c>
      <c r="J3523">
        <v>1</v>
      </c>
      <c r="K3523">
        <v>2.23</v>
      </c>
      <c r="L3523">
        <v>1</v>
      </c>
      <c r="M3523" t="s">
        <v>4808</v>
      </c>
      <c r="N3523" t="s">
        <v>4899</v>
      </c>
      <c r="O3523" t="s">
        <v>4910</v>
      </c>
    </row>
    <row r="3524" spans="1:15" x14ac:dyDescent="0.35">
      <c r="A3524" t="s">
        <v>3472</v>
      </c>
      <c r="B3524">
        <v>40</v>
      </c>
      <c r="C3524" t="s">
        <v>4803</v>
      </c>
      <c r="D3524" t="s">
        <v>13</v>
      </c>
      <c r="E3524">
        <v>66</v>
      </c>
      <c r="F3524">
        <v>45</v>
      </c>
      <c r="G3524" t="s">
        <v>4797</v>
      </c>
      <c r="H3524" t="s">
        <v>4804</v>
      </c>
      <c r="I3524">
        <v>13.99</v>
      </c>
      <c r="J3524">
        <v>2</v>
      </c>
      <c r="K3524">
        <v>2.2000000000000002</v>
      </c>
      <c r="L3524">
        <v>0</v>
      </c>
      <c r="M3524" t="s">
        <v>4812</v>
      </c>
      <c r="N3524" t="s">
        <v>4900</v>
      </c>
      <c r="O3524" t="s">
        <v>4910</v>
      </c>
    </row>
    <row r="3525" spans="1:15" x14ac:dyDescent="0.35">
      <c r="A3525" t="s">
        <v>3473</v>
      </c>
      <c r="B3525">
        <v>54</v>
      </c>
      <c r="C3525" t="s">
        <v>4802</v>
      </c>
      <c r="D3525" t="s">
        <v>15</v>
      </c>
      <c r="E3525">
        <v>113</v>
      </c>
      <c r="F3525">
        <v>43</v>
      </c>
      <c r="G3525" t="s">
        <v>4797</v>
      </c>
      <c r="H3525" t="s">
        <v>4805</v>
      </c>
      <c r="I3525">
        <v>17.989999999999998</v>
      </c>
      <c r="J3525">
        <v>2</v>
      </c>
      <c r="K3525">
        <v>3.77</v>
      </c>
      <c r="L3525">
        <v>0</v>
      </c>
      <c r="M3525" t="s">
        <v>4808</v>
      </c>
      <c r="N3525" t="s">
        <v>4900</v>
      </c>
      <c r="O3525" t="s">
        <v>4910</v>
      </c>
    </row>
    <row r="3526" spans="1:15" x14ac:dyDescent="0.35">
      <c r="A3526" t="s">
        <v>3474</v>
      </c>
      <c r="B3526">
        <v>19</v>
      </c>
      <c r="C3526" t="s">
        <v>4802</v>
      </c>
      <c r="D3526" t="s">
        <v>15</v>
      </c>
      <c r="E3526">
        <v>50</v>
      </c>
      <c r="F3526">
        <v>2</v>
      </c>
      <c r="G3526" t="s">
        <v>4797</v>
      </c>
      <c r="H3526" t="s">
        <v>4806</v>
      </c>
      <c r="I3526">
        <v>17.989999999999998</v>
      </c>
      <c r="J3526">
        <v>5</v>
      </c>
      <c r="K3526">
        <v>1.67</v>
      </c>
      <c r="L3526">
        <v>0</v>
      </c>
      <c r="M3526" t="s">
        <v>4810</v>
      </c>
      <c r="N3526" t="s">
        <v>4900</v>
      </c>
      <c r="O3526" t="s">
        <v>4912</v>
      </c>
    </row>
    <row r="3527" spans="1:15" x14ac:dyDescent="0.35">
      <c r="A3527" t="s">
        <v>3475</v>
      </c>
      <c r="B3527">
        <v>33</v>
      </c>
      <c r="C3527" t="s">
        <v>4802</v>
      </c>
      <c r="D3527" t="s">
        <v>15</v>
      </c>
      <c r="E3527">
        <v>87</v>
      </c>
      <c r="F3527">
        <v>16</v>
      </c>
      <c r="G3527" t="s">
        <v>4797</v>
      </c>
      <c r="H3527" t="s">
        <v>4805</v>
      </c>
      <c r="I3527">
        <v>17.989999999999998</v>
      </c>
      <c r="J3527">
        <v>5</v>
      </c>
      <c r="K3527">
        <v>2.9</v>
      </c>
      <c r="L3527">
        <v>0</v>
      </c>
      <c r="M3527" t="s">
        <v>4812</v>
      </c>
      <c r="N3527" t="s">
        <v>4900</v>
      </c>
      <c r="O3527" t="s">
        <v>4912</v>
      </c>
    </row>
    <row r="3528" spans="1:15" x14ac:dyDescent="0.35">
      <c r="A3528" t="s">
        <v>3476</v>
      </c>
      <c r="B3528">
        <v>18</v>
      </c>
      <c r="C3528" t="s">
        <v>4802</v>
      </c>
      <c r="D3528" t="s">
        <v>13</v>
      </c>
      <c r="E3528">
        <v>60</v>
      </c>
      <c r="F3528">
        <v>7</v>
      </c>
      <c r="G3528" t="s">
        <v>4798</v>
      </c>
      <c r="H3528" t="s">
        <v>4807</v>
      </c>
      <c r="I3528">
        <v>13.99</v>
      </c>
      <c r="J3528">
        <v>4</v>
      </c>
      <c r="K3528">
        <v>2</v>
      </c>
      <c r="L3528">
        <v>0</v>
      </c>
      <c r="M3528" t="s">
        <v>4811</v>
      </c>
      <c r="N3528" t="s">
        <v>4900</v>
      </c>
      <c r="O3528" t="s">
        <v>4912</v>
      </c>
    </row>
    <row r="3529" spans="1:15" x14ac:dyDescent="0.35">
      <c r="A3529" t="s">
        <v>3477</v>
      </c>
      <c r="B3529">
        <v>63</v>
      </c>
      <c r="C3529" t="s">
        <v>4803</v>
      </c>
      <c r="D3529" t="s">
        <v>13</v>
      </c>
      <c r="E3529">
        <v>32</v>
      </c>
      <c r="F3529">
        <v>36</v>
      </c>
      <c r="G3529" t="s">
        <v>4800</v>
      </c>
      <c r="H3529" t="s">
        <v>4805</v>
      </c>
      <c r="I3529">
        <v>13.99</v>
      </c>
      <c r="J3529">
        <v>2</v>
      </c>
      <c r="K3529">
        <v>1.07</v>
      </c>
      <c r="L3529">
        <v>1</v>
      </c>
      <c r="M3529" t="s">
        <v>4809</v>
      </c>
      <c r="N3529" t="s">
        <v>4899</v>
      </c>
      <c r="O3529" t="s">
        <v>4911</v>
      </c>
    </row>
    <row r="3530" spans="1:15" x14ac:dyDescent="0.35">
      <c r="A3530" t="s">
        <v>3478</v>
      </c>
      <c r="B3530">
        <v>61</v>
      </c>
      <c r="C3530" t="s">
        <v>4803</v>
      </c>
      <c r="D3530" t="s">
        <v>13</v>
      </c>
      <c r="E3530">
        <v>51</v>
      </c>
      <c r="F3530">
        <v>3</v>
      </c>
      <c r="G3530" t="s">
        <v>4798</v>
      </c>
      <c r="H3530" t="s">
        <v>4805</v>
      </c>
      <c r="I3530">
        <v>13.99</v>
      </c>
      <c r="J3530">
        <v>1</v>
      </c>
      <c r="K3530">
        <v>1.7</v>
      </c>
      <c r="L3530">
        <v>0</v>
      </c>
      <c r="M3530" t="s">
        <v>4808</v>
      </c>
      <c r="N3530" t="s">
        <v>4900</v>
      </c>
      <c r="O3530" t="s">
        <v>4911</v>
      </c>
    </row>
    <row r="3531" spans="1:15" x14ac:dyDescent="0.35">
      <c r="A3531" t="s">
        <v>3479</v>
      </c>
      <c r="B3531">
        <v>39</v>
      </c>
      <c r="C3531" t="s">
        <v>4803</v>
      </c>
      <c r="D3531" t="s">
        <v>14</v>
      </c>
      <c r="E3531">
        <v>35</v>
      </c>
      <c r="F3531">
        <v>60</v>
      </c>
      <c r="G3531" t="s">
        <v>4799</v>
      </c>
      <c r="H3531" t="s">
        <v>4805</v>
      </c>
      <c r="I3531">
        <v>8.99</v>
      </c>
      <c r="J3531">
        <v>2</v>
      </c>
      <c r="K3531">
        <v>1.17</v>
      </c>
      <c r="L3531">
        <v>0</v>
      </c>
      <c r="M3531" t="s">
        <v>4809</v>
      </c>
      <c r="N3531" t="s">
        <v>4900</v>
      </c>
      <c r="O3531" t="s">
        <v>4910</v>
      </c>
    </row>
    <row r="3532" spans="1:15" x14ac:dyDescent="0.35">
      <c r="A3532" t="s">
        <v>3480</v>
      </c>
      <c r="B3532">
        <v>36</v>
      </c>
      <c r="C3532" t="s">
        <v>4803</v>
      </c>
      <c r="D3532" t="s">
        <v>13</v>
      </c>
      <c r="E3532">
        <v>38</v>
      </c>
      <c r="F3532">
        <v>37</v>
      </c>
      <c r="G3532" t="s">
        <v>4798</v>
      </c>
      <c r="H3532" t="s">
        <v>4805</v>
      </c>
      <c r="I3532">
        <v>13.99</v>
      </c>
      <c r="J3532">
        <v>2</v>
      </c>
      <c r="K3532">
        <v>1.27</v>
      </c>
      <c r="L3532">
        <v>0</v>
      </c>
      <c r="M3532" t="s">
        <v>4810</v>
      </c>
      <c r="N3532" t="s">
        <v>4900</v>
      </c>
      <c r="O3532" t="s">
        <v>4910</v>
      </c>
    </row>
    <row r="3533" spans="1:15" x14ac:dyDescent="0.35">
      <c r="A3533" t="s">
        <v>3481</v>
      </c>
      <c r="B3533">
        <v>51</v>
      </c>
      <c r="C3533" t="s">
        <v>4803</v>
      </c>
      <c r="D3533" t="s">
        <v>13</v>
      </c>
      <c r="E3533">
        <v>31</v>
      </c>
      <c r="F3533">
        <v>34</v>
      </c>
      <c r="G3533" t="s">
        <v>4797</v>
      </c>
      <c r="H3533" t="s">
        <v>4806</v>
      </c>
      <c r="I3533">
        <v>13.99</v>
      </c>
      <c r="J3533">
        <v>3</v>
      </c>
      <c r="K3533">
        <v>1.03</v>
      </c>
      <c r="L3533">
        <v>0</v>
      </c>
      <c r="M3533" t="s">
        <v>4810</v>
      </c>
      <c r="N3533" t="s">
        <v>4900</v>
      </c>
      <c r="O3533" t="s">
        <v>4910</v>
      </c>
    </row>
    <row r="3534" spans="1:15" x14ac:dyDescent="0.35">
      <c r="A3534" t="s">
        <v>3482</v>
      </c>
      <c r="B3534">
        <v>38</v>
      </c>
      <c r="C3534" t="s">
        <v>4802</v>
      </c>
      <c r="D3534" t="s">
        <v>13</v>
      </c>
      <c r="E3534">
        <v>63</v>
      </c>
      <c r="F3534">
        <v>25</v>
      </c>
      <c r="G3534" t="s">
        <v>4798</v>
      </c>
      <c r="H3534" t="s">
        <v>4805</v>
      </c>
      <c r="I3534">
        <v>13.99</v>
      </c>
      <c r="J3534">
        <v>2</v>
      </c>
      <c r="K3534">
        <v>2.1</v>
      </c>
      <c r="L3534">
        <v>0</v>
      </c>
      <c r="M3534" t="s">
        <v>4808</v>
      </c>
      <c r="N3534" t="s">
        <v>4900</v>
      </c>
      <c r="O3534" t="s">
        <v>4910</v>
      </c>
    </row>
    <row r="3535" spans="1:15" x14ac:dyDescent="0.35">
      <c r="A3535" t="s">
        <v>3483</v>
      </c>
      <c r="B3535">
        <v>30</v>
      </c>
      <c r="C3535" t="s">
        <v>4803</v>
      </c>
      <c r="D3535" t="s">
        <v>13</v>
      </c>
      <c r="E3535">
        <v>36</v>
      </c>
      <c r="F3535">
        <v>40</v>
      </c>
      <c r="G3535" t="s">
        <v>4797</v>
      </c>
      <c r="H3535" t="s">
        <v>4805</v>
      </c>
      <c r="I3535">
        <v>13.99</v>
      </c>
      <c r="J3535">
        <v>3</v>
      </c>
      <c r="K3535">
        <v>1.2</v>
      </c>
      <c r="L3535">
        <v>1</v>
      </c>
      <c r="M3535" t="s">
        <v>4809</v>
      </c>
      <c r="N3535" t="s">
        <v>4899</v>
      </c>
      <c r="O3535" t="s">
        <v>4912</v>
      </c>
    </row>
    <row r="3536" spans="1:15" x14ac:dyDescent="0.35">
      <c r="A3536" t="s">
        <v>3484</v>
      </c>
      <c r="B3536">
        <v>50</v>
      </c>
      <c r="C3536" t="s">
        <v>4803</v>
      </c>
      <c r="D3536" t="s">
        <v>13</v>
      </c>
      <c r="E3536">
        <v>70</v>
      </c>
      <c r="F3536">
        <v>55</v>
      </c>
      <c r="G3536" t="s">
        <v>4798</v>
      </c>
      <c r="H3536" t="s">
        <v>4806</v>
      </c>
      <c r="I3536">
        <v>13.99</v>
      </c>
      <c r="J3536">
        <v>1</v>
      </c>
      <c r="K3536">
        <v>2.33</v>
      </c>
      <c r="L3536">
        <v>0</v>
      </c>
      <c r="M3536" t="s">
        <v>4809</v>
      </c>
      <c r="N3536" t="s">
        <v>4900</v>
      </c>
      <c r="O3536" t="s">
        <v>4910</v>
      </c>
    </row>
    <row r="3537" spans="1:15" x14ac:dyDescent="0.35">
      <c r="A3537" t="s">
        <v>3485</v>
      </c>
      <c r="B3537">
        <v>62</v>
      </c>
      <c r="C3537" t="s">
        <v>4803</v>
      </c>
      <c r="D3537" t="s">
        <v>13</v>
      </c>
      <c r="E3537">
        <v>61</v>
      </c>
      <c r="F3537" t="s">
        <v>4814</v>
      </c>
      <c r="G3537" t="s">
        <v>4799</v>
      </c>
      <c r="H3537" t="s">
        <v>4805</v>
      </c>
      <c r="I3537">
        <v>13.99</v>
      </c>
      <c r="J3537">
        <v>3</v>
      </c>
      <c r="K3537">
        <v>2.0299999999999998</v>
      </c>
      <c r="L3537">
        <v>0</v>
      </c>
      <c r="M3537" t="s">
        <v>4811</v>
      </c>
      <c r="N3537" t="s">
        <v>4900</v>
      </c>
      <c r="O3537" t="s">
        <v>4911</v>
      </c>
    </row>
    <row r="3538" spans="1:15" x14ac:dyDescent="0.35">
      <c r="A3538" t="s">
        <v>3486</v>
      </c>
      <c r="B3538">
        <v>25</v>
      </c>
      <c r="C3538" t="s">
        <v>4802</v>
      </c>
      <c r="D3538" t="s">
        <v>15</v>
      </c>
      <c r="E3538">
        <v>110</v>
      </c>
      <c r="F3538">
        <v>41</v>
      </c>
      <c r="G3538" t="s">
        <v>4800</v>
      </c>
      <c r="H3538" t="s">
        <v>4805</v>
      </c>
      <c r="I3538">
        <v>17.989999999999998</v>
      </c>
      <c r="J3538">
        <v>5</v>
      </c>
      <c r="K3538">
        <v>3.67</v>
      </c>
      <c r="L3538">
        <v>0</v>
      </c>
      <c r="M3538" t="s">
        <v>4809</v>
      </c>
      <c r="N3538" t="s">
        <v>4900</v>
      </c>
      <c r="O3538" t="s">
        <v>4912</v>
      </c>
    </row>
    <row r="3539" spans="1:15" x14ac:dyDescent="0.35">
      <c r="A3539" t="s">
        <v>3487</v>
      </c>
      <c r="B3539">
        <v>30</v>
      </c>
      <c r="C3539" t="s">
        <v>4803</v>
      </c>
      <c r="D3539" t="s">
        <v>15</v>
      </c>
      <c r="E3539">
        <v>117</v>
      </c>
      <c r="F3539">
        <v>45</v>
      </c>
      <c r="G3539" t="s">
        <v>4798</v>
      </c>
      <c r="H3539" t="s">
        <v>4805</v>
      </c>
      <c r="I3539">
        <v>17.989999999999998</v>
      </c>
      <c r="J3539">
        <v>4</v>
      </c>
      <c r="K3539">
        <v>3.9</v>
      </c>
      <c r="L3539">
        <v>0</v>
      </c>
      <c r="M3539" t="s">
        <v>4808</v>
      </c>
      <c r="N3539" t="s">
        <v>4900</v>
      </c>
      <c r="O3539" t="s">
        <v>4912</v>
      </c>
    </row>
    <row r="3540" spans="1:15" x14ac:dyDescent="0.35">
      <c r="A3540" t="s">
        <v>3488</v>
      </c>
      <c r="B3540">
        <v>46</v>
      </c>
      <c r="C3540" t="s">
        <v>4802</v>
      </c>
      <c r="D3540" t="s">
        <v>13</v>
      </c>
      <c r="E3540">
        <v>51</v>
      </c>
      <c r="F3540">
        <v>42</v>
      </c>
      <c r="G3540" t="s">
        <v>4799</v>
      </c>
      <c r="H3540" t="s">
        <v>4805</v>
      </c>
      <c r="I3540">
        <v>13.99</v>
      </c>
      <c r="J3540">
        <v>1</v>
      </c>
      <c r="K3540">
        <v>2.0299999999999998</v>
      </c>
      <c r="L3540">
        <v>1</v>
      </c>
      <c r="M3540" t="s">
        <v>4809</v>
      </c>
      <c r="N3540" t="s">
        <v>4899</v>
      </c>
      <c r="O3540" t="s">
        <v>4910</v>
      </c>
    </row>
    <row r="3541" spans="1:15" x14ac:dyDescent="0.35">
      <c r="A3541" t="s">
        <v>3489</v>
      </c>
      <c r="B3541">
        <v>35</v>
      </c>
      <c r="C3541" t="s">
        <v>4803</v>
      </c>
      <c r="D3541" t="s">
        <v>13</v>
      </c>
      <c r="E3541">
        <v>58</v>
      </c>
      <c r="F3541">
        <v>52</v>
      </c>
      <c r="G3541" t="s">
        <v>4799</v>
      </c>
      <c r="H3541" t="s">
        <v>4806</v>
      </c>
      <c r="I3541">
        <v>13.99</v>
      </c>
      <c r="J3541">
        <v>2</v>
      </c>
      <c r="K3541">
        <v>1.93</v>
      </c>
      <c r="L3541">
        <v>0</v>
      </c>
      <c r="M3541" t="s">
        <v>4809</v>
      </c>
      <c r="N3541" t="s">
        <v>4900</v>
      </c>
      <c r="O3541" t="s">
        <v>4910</v>
      </c>
    </row>
    <row r="3542" spans="1:15" x14ac:dyDescent="0.35">
      <c r="A3542" t="s">
        <v>3490</v>
      </c>
      <c r="B3542">
        <v>30</v>
      </c>
      <c r="C3542" t="s">
        <v>4803</v>
      </c>
      <c r="D3542" t="s">
        <v>15</v>
      </c>
      <c r="E3542">
        <v>50</v>
      </c>
      <c r="F3542">
        <v>18</v>
      </c>
      <c r="G3542" t="s">
        <v>4798</v>
      </c>
      <c r="H3542" t="s">
        <v>4806</v>
      </c>
      <c r="I3542">
        <v>17.989999999999998</v>
      </c>
      <c r="J3542">
        <v>3</v>
      </c>
      <c r="K3542">
        <v>2.0299999999999998</v>
      </c>
      <c r="L3542">
        <v>0</v>
      </c>
      <c r="M3542" t="s">
        <v>4808</v>
      </c>
      <c r="N3542" t="s">
        <v>4900</v>
      </c>
      <c r="O3542" t="s">
        <v>4912</v>
      </c>
    </row>
    <row r="3543" spans="1:15" x14ac:dyDescent="0.35">
      <c r="A3543" t="s">
        <v>3491</v>
      </c>
      <c r="B3543">
        <v>37</v>
      </c>
      <c r="C3543" t="s">
        <v>4802</v>
      </c>
      <c r="D3543" t="s">
        <v>13</v>
      </c>
      <c r="E3543">
        <v>62</v>
      </c>
      <c r="F3543">
        <v>6</v>
      </c>
      <c r="G3543" t="s">
        <v>4798</v>
      </c>
      <c r="H3543" t="s">
        <v>4805</v>
      </c>
      <c r="I3543">
        <v>13.99</v>
      </c>
      <c r="J3543">
        <v>4</v>
      </c>
      <c r="K3543">
        <v>2.0699999999999998</v>
      </c>
      <c r="L3543">
        <v>0</v>
      </c>
      <c r="M3543" t="s">
        <v>4808</v>
      </c>
      <c r="N3543" t="s">
        <v>4900</v>
      </c>
      <c r="O3543" t="s">
        <v>4910</v>
      </c>
    </row>
    <row r="3544" spans="1:15" x14ac:dyDescent="0.35">
      <c r="A3544" t="s">
        <v>3492</v>
      </c>
      <c r="B3544">
        <v>25</v>
      </c>
      <c r="C3544" t="s">
        <v>4803</v>
      </c>
      <c r="D3544" t="s">
        <v>13</v>
      </c>
      <c r="E3544">
        <v>32</v>
      </c>
      <c r="F3544">
        <v>36</v>
      </c>
      <c r="G3544" t="s">
        <v>4798</v>
      </c>
      <c r="H3544" t="s">
        <v>4805</v>
      </c>
      <c r="I3544">
        <v>13.99</v>
      </c>
      <c r="J3544">
        <v>2</v>
      </c>
      <c r="K3544">
        <v>1.07</v>
      </c>
      <c r="L3544">
        <v>0</v>
      </c>
      <c r="M3544" t="s">
        <v>4808</v>
      </c>
      <c r="N3544" t="s">
        <v>4900</v>
      </c>
      <c r="O3544" t="s">
        <v>4912</v>
      </c>
    </row>
    <row r="3545" spans="1:15" x14ac:dyDescent="0.35">
      <c r="A3545" t="s">
        <v>3493</v>
      </c>
      <c r="B3545">
        <v>63</v>
      </c>
      <c r="C3545" t="s">
        <v>4803</v>
      </c>
      <c r="D3545" t="s">
        <v>15</v>
      </c>
      <c r="E3545">
        <v>113</v>
      </c>
      <c r="F3545">
        <v>16</v>
      </c>
      <c r="G3545" t="s">
        <v>4797</v>
      </c>
      <c r="H3545" t="s">
        <v>4804</v>
      </c>
      <c r="I3545">
        <v>17.989999999999998</v>
      </c>
      <c r="J3545">
        <v>5</v>
      </c>
      <c r="K3545">
        <v>3.77</v>
      </c>
      <c r="L3545">
        <v>0</v>
      </c>
      <c r="M3545" t="s">
        <v>4812</v>
      </c>
      <c r="N3545" t="s">
        <v>4900</v>
      </c>
      <c r="O3545" t="s">
        <v>4911</v>
      </c>
    </row>
    <row r="3546" spans="1:15" x14ac:dyDescent="0.35">
      <c r="A3546" t="s">
        <v>3494</v>
      </c>
      <c r="B3546">
        <v>58</v>
      </c>
      <c r="C3546" t="s">
        <v>4803</v>
      </c>
      <c r="D3546" t="s">
        <v>13</v>
      </c>
      <c r="E3546">
        <v>71</v>
      </c>
      <c r="F3546">
        <v>42</v>
      </c>
      <c r="G3546" t="s">
        <v>4799</v>
      </c>
      <c r="H3546" t="s">
        <v>4805</v>
      </c>
      <c r="I3546">
        <v>13.99</v>
      </c>
      <c r="J3546">
        <v>3</v>
      </c>
      <c r="K3546">
        <v>2.37</v>
      </c>
      <c r="L3546">
        <v>0</v>
      </c>
      <c r="M3546" t="s">
        <v>4810</v>
      </c>
      <c r="N3546" t="s">
        <v>4900</v>
      </c>
      <c r="O3546" t="s">
        <v>4911</v>
      </c>
    </row>
    <row r="3547" spans="1:15" x14ac:dyDescent="0.35">
      <c r="A3547" t="s">
        <v>3495</v>
      </c>
      <c r="B3547">
        <v>64</v>
      </c>
      <c r="C3547" t="s">
        <v>4802</v>
      </c>
      <c r="D3547" t="s">
        <v>15</v>
      </c>
      <c r="E3547">
        <v>94</v>
      </c>
      <c r="F3547">
        <v>22</v>
      </c>
      <c r="G3547" t="s">
        <v>4798</v>
      </c>
      <c r="H3547" t="s">
        <v>4804</v>
      </c>
      <c r="I3547">
        <v>17.989999999999998</v>
      </c>
      <c r="J3547">
        <v>5</v>
      </c>
      <c r="K3547">
        <v>3.13</v>
      </c>
      <c r="L3547">
        <v>0</v>
      </c>
      <c r="M3547" t="s">
        <v>4811</v>
      </c>
      <c r="N3547" t="s">
        <v>4900</v>
      </c>
      <c r="O3547" t="s">
        <v>4911</v>
      </c>
    </row>
    <row r="3548" spans="1:15" x14ac:dyDescent="0.35">
      <c r="A3548" t="s">
        <v>3496</v>
      </c>
      <c r="B3548">
        <v>23</v>
      </c>
      <c r="C3548" t="s">
        <v>4803</v>
      </c>
      <c r="D3548" t="s">
        <v>15</v>
      </c>
      <c r="E3548">
        <v>110</v>
      </c>
      <c r="F3548">
        <v>5</v>
      </c>
      <c r="G3548" t="s">
        <v>4798</v>
      </c>
      <c r="H3548" t="s">
        <v>4805</v>
      </c>
      <c r="I3548">
        <v>17.989999999999998</v>
      </c>
      <c r="J3548">
        <v>3</v>
      </c>
      <c r="K3548">
        <v>3.67</v>
      </c>
      <c r="L3548">
        <v>0</v>
      </c>
      <c r="M3548" t="s">
        <v>4810</v>
      </c>
      <c r="N3548" t="s">
        <v>4900</v>
      </c>
      <c r="O3548" t="s">
        <v>4912</v>
      </c>
    </row>
    <row r="3549" spans="1:15" x14ac:dyDescent="0.35">
      <c r="A3549" t="s">
        <v>3497</v>
      </c>
      <c r="B3549">
        <v>50</v>
      </c>
      <c r="C3549" t="s">
        <v>4802</v>
      </c>
      <c r="D3549" t="s">
        <v>15</v>
      </c>
      <c r="E3549">
        <v>61</v>
      </c>
      <c r="F3549">
        <v>25</v>
      </c>
      <c r="G3549" t="s">
        <v>4797</v>
      </c>
      <c r="H3549" t="s">
        <v>4804</v>
      </c>
      <c r="I3549">
        <v>17.989999999999998</v>
      </c>
      <c r="J3549">
        <v>3</v>
      </c>
      <c r="K3549">
        <v>2.0299999999999998</v>
      </c>
      <c r="L3549">
        <v>0</v>
      </c>
      <c r="M3549" t="s">
        <v>4811</v>
      </c>
      <c r="N3549" t="s">
        <v>4900</v>
      </c>
      <c r="O3549" t="s">
        <v>4910</v>
      </c>
    </row>
    <row r="3550" spans="1:15" x14ac:dyDescent="0.35">
      <c r="A3550" t="s">
        <v>3498</v>
      </c>
      <c r="B3550">
        <v>24</v>
      </c>
      <c r="C3550" t="s">
        <v>4803</v>
      </c>
      <c r="D3550" t="s">
        <v>13</v>
      </c>
      <c r="E3550">
        <v>46</v>
      </c>
      <c r="F3550">
        <v>14</v>
      </c>
      <c r="G3550" t="s">
        <v>4797</v>
      </c>
      <c r="H3550" t="s">
        <v>4805</v>
      </c>
      <c r="I3550">
        <v>13.99</v>
      </c>
      <c r="J3550">
        <v>3</v>
      </c>
      <c r="K3550">
        <v>1.53</v>
      </c>
      <c r="L3550">
        <v>0</v>
      </c>
      <c r="M3550" t="s">
        <v>4808</v>
      </c>
      <c r="N3550" t="s">
        <v>4900</v>
      </c>
      <c r="O3550" t="s">
        <v>4912</v>
      </c>
    </row>
    <row r="3551" spans="1:15" x14ac:dyDescent="0.35">
      <c r="A3551" t="s">
        <v>3499</v>
      </c>
      <c r="B3551">
        <v>35</v>
      </c>
      <c r="C3551" t="s">
        <v>4802</v>
      </c>
      <c r="D3551" t="s">
        <v>13</v>
      </c>
      <c r="E3551">
        <v>62</v>
      </c>
      <c r="F3551">
        <v>58</v>
      </c>
      <c r="G3551" t="s">
        <v>4799</v>
      </c>
      <c r="H3551" t="s">
        <v>4804</v>
      </c>
      <c r="I3551">
        <v>13.99</v>
      </c>
      <c r="J3551">
        <v>2</v>
      </c>
      <c r="K3551">
        <v>2.0699999999999998</v>
      </c>
      <c r="L3551">
        <v>0</v>
      </c>
      <c r="M3551" t="s">
        <v>4808</v>
      </c>
      <c r="N3551" t="s">
        <v>4900</v>
      </c>
      <c r="O3551" t="s">
        <v>4910</v>
      </c>
    </row>
    <row r="3552" spans="1:15" x14ac:dyDescent="0.35">
      <c r="A3552" t="s">
        <v>3500</v>
      </c>
      <c r="B3552">
        <v>59</v>
      </c>
      <c r="C3552" t="s">
        <v>4803</v>
      </c>
      <c r="D3552" t="s">
        <v>13</v>
      </c>
      <c r="E3552">
        <v>42</v>
      </c>
      <c r="F3552">
        <v>20</v>
      </c>
      <c r="G3552" t="s">
        <v>4797</v>
      </c>
      <c r="H3552" t="s">
        <v>4806</v>
      </c>
      <c r="I3552">
        <v>13.99</v>
      </c>
      <c r="J3552">
        <v>1</v>
      </c>
      <c r="K3552">
        <v>1.4</v>
      </c>
      <c r="L3552">
        <v>0</v>
      </c>
      <c r="M3552" t="s">
        <v>4808</v>
      </c>
      <c r="N3552" t="s">
        <v>4900</v>
      </c>
      <c r="O3552" t="s">
        <v>4911</v>
      </c>
    </row>
    <row r="3553" spans="1:15" x14ac:dyDescent="0.35">
      <c r="A3553" t="s">
        <v>3501</v>
      </c>
      <c r="B3553">
        <v>62</v>
      </c>
      <c r="C3553" t="s">
        <v>4802</v>
      </c>
      <c r="D3553" t="s">
        <v>13</v>
      </c>
      <c r="E3553">
        <v>66</v>
      </c>
      <c r="F3553">
        <v>54</v>
      </c>
      <c r="G3553" t="s">
        <v>4799</v>
      </c>
      <c r="H3553" t="s">
        <v>4804</v>
      </c>
      <c r="I3553">
        <v>13.99</v>
      </c>
      <c r="J3553">
        <v>3</v>
      </c>
      <c r="K3553">
        <v>2.2000000000000002</v>
      </c>
      <c r="L3553">
        <v>0</v>
      </c>
      <c r="M3553" t="s">
        <v>4809</v>
      </c>
      <c r="N3553" t="s">
        <v>4900</v>
      </c>
      <c r="O3553" t="s">
        <v>4911</v>
      </c>
    </row>
    <row r="3554" spans="1:15" x14ac:dyDescent="0.35">
      <c r="A3554" t="s">
        <v>3502</v>
      </c>
      <c r="B3554">
        <v>47</v>
      </c>
      <c r="C3554" t="s">
        <v>4803</v>
      </c>
      <c r="D3554" t="s">
        <v>15</v>
      </c>
      <c r="E3554">
        <v>75</v>
      </c>
      <c r="F3554">
        <v>57</v>
      </c>
      <c r="G3554" t="s">
        <v>4798</v>
      </c>
      <c r="H3554" t="s">
        <v>4804</v>
      </c>
      <c r="I3554">
        <v>17.989999999999998</v>
      </c>
      <c r="J3554">
        <v>4</v>
      </c>
      <c r="K3554">
        <v>2.5</v>
      </c>
      <c r="L3554">
        <v>1</v>
      </c>
      <c r="M3554" t="s">
        <v>4809</v>
      </c>
      <c r="N3554" t="s">
        <v>4899</v>
      </c>
      <c r="O3554" t="s">
        <v>4910</v>
      </c>
    </row>
    <row r="3555" spans="1:15" x14ac:dyDescent="0.35">
      <c r="A3555" t="s">
        <v>3503</v>
      </c>
      <c r="B3555">
        <v>35</v>
      </c>
      <c r="C3555" t="s">
        <v>4803</v>
      </c>
      <c r="D3555" t="s">
        <v>14</v>
      </c>
      <c r="E3555">
        <v>32</v>
      </c>
      <c r="F3555">
        <v>20</v>
      </c>
      <c r="G3555" t="s">
        <v>4799</v>
      </c>
      <c r="H3555" t="s">
        <v>4805</v>
      </c>
      <c r="I3555">
        <v>8.99</v>
      </c>
      <c r="J3555">
        <v>4</v>
      </c>
      <c r="K3555">
        <v>1.07</v>
      </c>
      <c r="L3555">
        <v>0</v>
      </c>
      <c r="M3555" t="s">
        <v>4812</v>
      </c>
      <c r="N3555" t="s">
        <v>4900</v>
      </c>
      <c r="O3555" t="s">
        <v>4910</v>
      </c>
    </row>
    <row r="3556" spans="1:15" x14ac:dyDescent="0.35">
      <c r="A3556" t="s">
        <v>3504</v>
      </c>
      <c r="B3556">
        <v>36</v>
      </c>
      <c r="C3556" t="s">
        <v>4803</v>
      </c>
      <c r="D3556" t="s">
        <v>13</v>
      </c>
      <c r="E3556">
        <v>33</v>
      </c>
      <c r="F3556">
        <v>49</v>
      </c>
      <c r="G3556" t="s">
        <v>4798</v>
      </c>
      <c r="H3556" t="s">
        <v>4804</v>
      </c>
      <c r="I3556">
        <v>13.99</v>
      </c>
      <c r="J3556">
        <v>2</v>
      </c>
      <c r="K3556">
        <v>1.1000000000000001</v>
      </c>
      <c r="L3556">
        <v>0</v>
      </c>
      <c r="M3556" t="s">
        <v>4811</v>
      </c>
      <c r="N3556" t="s">
        <v>4900</v>
      </c>
      <c r="O3556" t="s">
        <v>4910</v>
      </c>
    </row>
    <row r="3557" spans="1:15" x14ac:dyDescent="0.35">
      <c r="A3557" t="s">
        <v>3505</v>
      </c>
      <c r="B3557">
        <v>33</v>
      </c>
      <c r="C3557" t="s">
        <v>4803</v>
      </c>
      <c r="D3557" t="s">
        <v>13</v>
      </c>
      <c r="E3557">
        <v>36</v>
      </c>
      <c r="F3557">
        <v>14</v>
      </c>
      <c r="G3557" t="s">
        <v>4797</v>
      </c>
      <c r="H3557" t="s">
        <v>4805</v>
      </c>
      <c r="I3557">
        <v>13.99</v>
      </c>
      <c r="J3557">
        <v>4</v>
      </c>
      <c r="K3557">
        <v>1.2</v>
      </c>
      <c r="L3557">
        <v>0</v>
      </c>
      <c r="M3557" t="s">
        <v>4811</v>
      </c>
      <c r="N3557" t="s">
        <v>4900</v>
      </c>
      <c r="O3557" t="s">
        <v>4912</v>
      </c>
    </row>
    <row r="3558" spans="1:15" x14ac:dyDescent="0.35">
      <c r="A3558" t="s">
        <v>3506</v>
      </c>
      <c r="B3558">
        <v>62</v>
      </c>
      <c r="C3558" t="s">
        <v>4802</v>
      </c>
      <c r="D3558" t="s">
        <v>13</v>
      </c>
      <c r="E3558">
        <v>61</v>
      </c>
      <c r="F3558">
        <v>60</v>
      </c>
      <c r="G3558" t="s">
        <v>4799</v>
      </c>
      <c r="H3558" t="s">
        <v>4806</v>
      </c>
      <c r="I3558">
        <v>13.99</v>
      </c>
      <c r="J3558">
        <v>4</v>
      </c>
      <c r="K3558">
        <v>5</v>
      </c>
      <c r="L3558">
        <v>0</v>
      </c>
      <c r="M3558" t="s">
        <v>4812</v>
      </c>
      <c r="N3558" t="s">
        <v>4900</v>
      </c>
      <c r="O3558" t="s">
        <v>4911</v>
      </c>
    </row>
    <row r="3559" spans="1:15" x14ac:dyDescent="0.35">
      <c r="A3559" t="s">
        <v>3507</v>
      </c>
      <c r="B3559">
        <v>22</v>
      </c>
      <c r="C3559" t="s">
        <v>4802</v>
      </c>
      <c r="D3559" t="s">
        <v>15</v>
      </c>
      <c r="E3559">
        <v>82</v>
      </c>
      <c r="F3559">
        <v>33</v>
      </c>
      <c r="G3559" t="s">
        <v>4798</v>
      </c>
      <c r="H3559" t="s">
        <v>4804</v>
      </c>
      <c r="I3559">
        <v>17.989999999999998</v>
      </c>
      <c r="J3559">
        <v>5</v>
      </c>
      <c r="K3559">
        <v>2.73</v>
      </c>
      <c r="L3559">
        <v>0</v>
      </c>
      <c r="M3559" t="s">
        <v>4812</v>
      </c>
      <c r="N3559" t="s">
        <v>4900</v>
      </c>
      <c r="O3559" t="s">
        <v>4912</v>
      </c>
    </row>
    <row r="3560" spans="1:15" x14ac:dyDescent="0.35">
      <c r="A3560" t="s">
        <v>3508</v>
      </c>
      <c r="B3560">
        <v>52</v>
      </c>
      <c r="C3560" t="s">
        <v>4803</v>
      </c>
      <c r="D3560" t="s">
        <v>13</v>
      </c>
      <c r="E3560">
        <v>54</v>
      </c>
      <c r="F3560">
        <v>60</v>
      </c>
      <c r="G3560" t="s">
        <v>4798</v>
      </c>
      <c r="H3560" t="s">
        <v>4806</v>
      </c>
      <c r="I3560">
        <v>13.99</v>
      </c>
      <c r="J3560">
        <v>3</v>
      </c>
      <c r="K3560">
        <v>1.8</v>
      </c>
      <c r="L3560">
        <v>1</v>
      </c>
      <c r="M3560" t="s">
        <v>4808</v>
      </c>
      <c r="N3560" t="s">
        <v>4899</v>
      </c>
      <c r="O3560" t="s">
        <v>4910</v>
      </c>
    </row>
    <row r="3561" spans="1:15" x14ac:dyDescent="0.35">
      <c r="A3561" t="s">
        <v>3509</v>
      </c>
      <c r="B3561">
        <v>57</v>
      </c>
      <c r="C3561" t="s">
        <v>4803</v>
      </c>
      <c r="D3561" t="s">
        <v>13</v>
      </c>
      <c r="E3561">
        <v>65</v>
      </c>
      <c r="F3561">
        <v>29</v>
      </c>
      <c r="G3561" t="s">
        <v>4797</v>
      </c>
      <c r="H3561" t="s">
        <v>4804</v>
      </c>
      <c r="I3561">
        <v>13.99</v>
      </c>
      <c r="J3561">
        <v>3</v>
      </c>
      <c r="K3561">
        <v>2.17</v>
      </c>
      <c r="L3561">
        <v>0</v>
      </c>
      <c r="M3561" t="s">
        <v>4811</v>
      </c>
      <c r="N3561" t="s">
        <v>4900</v>
      </c>
      <c r="O3561" t="s">
        <v>4911</v>
      </c>
    </row>
    <row r="3562" spans="1:15" x14ac:dyDescent="0.35">
      <c r="A3562" t="s">
        <v>3510</v>
      </c>
      <c r="B3562">
        <v>23</v>
      </c>
      <c r="C3562" t="s">
        <v>4802</v>
      </c>
      <c r="D3562" t="s">
        <v>15</v>
      </c>
      <c r="E3562">
        <v>97</v>
      </c>
      <c r="F3562">
        <v>34</v>
      </c>
      <c r="G3562" t="s">
        <v>4798</v>
      </c>
      <c r="H3562" t="s">
        <v>4805</v>
      </c>
      <c r="I3562">
        <v>17.989999999999998</v>
      </c>
      <c r="J3562">
        <v>5</v>
      </c>
      <c r="K3562">
        <v>2.0299999999999998</v>
      </c>
      <c r="L3562">
        <v>0</v>
      </c>
      <c r="M3562" t="s">
        <v>4811</v>
      </c>
      <c r="N3562" t="s">
        <v>4900</v>
      </c>
      <c r="O3562" t="s">
        <v>4912</v>
      </c>
    </row>
    <row r="3563" spans="1:15" x14ac:dyDescent="0.35">
      <c r="A3563" t="s">
        <v>3511</v>
      </c>
      <c r="B3563">
        <v>54</v>
      </c>
      <c r="C3563" t="s">
        <v>4802</v>
      </c>
      <c r="D3563" t="s">
        <v>13</v>
      </c>
      <c r="E3563">
        <v>73</v>
      </c>
      <c r="F3563">
        <v>40</v>
      </c>
      <c r="G3563" t="s">
        <v>4799</v>
      </c>
      <c r="H3563" t="s">
        <v>4805</v>
      </c>
      <c r="I3563">
        <v>13.99</v>
      </c>
      <c r="J3563">
        <v>4</v>
      </c>
      <c r="K3563">
        <v>2.4300000000000002</v>
      </c>
      <c r="L3563">
        <v>0</v>
      </c>
      <c r="M3563" t="s">
        <v>4810</v>
      </c>
      <c r="N3563" t="s">
        <v>4900</v>
      </c>
      <c r="O3563" t="s">
        <v>4910</v>
      </c>
    </row>
    <row r="3564" spans="1:15" x14ac:dyDescent="0.35">
      <c r="A3564" t="s">
        <v>3512</v>
      </c>
      <c r="B3564">
        <v>52</v>
      </c>
      <c r="C3564" t="s">
        <v>4803</v>
      </c>
      <c r="D3564" t="s">
        <v>15</v>
      </c>
      <c r="E3564">
        <v>77</v>
      </c>
      <c r="F3564" t="s">
        <v>4814</v>
      </c>
      <c r="G3564" t="s">
        <v>4798</v>
      </c>
      <c r="H3564" t="s">
        <v>4805</v>
      </c>
      <c r="I3564">
        <v>17.989999999999998</v>
      </c>
      <c r="J3564">
        <v>2</v>
      </c>
      <c r="K3564">
        <v>2.57</v>
      </c>
      <c r="L3564">
        <v>0</v>
      </c>
      <c r="M3564" t="s">
        <v>4809</v>
      </c>
      <c r="N3564" t="s">
        <v>4900</v>
      </c>
      <c r="O3564" t="s">
        <v>4910</v>
      </c>
    </row>
    <row r="3565" spans="1:15" x14ac:dyDescent="0.35">
      <c r="A3565" t="s">
        <v>3513</v>
      </c>
      <c r="B3565">
        <v>47</v>
      </c>
      <c r="C3565" t="s">
        <v>4802</v>
      </c>
      <c r="D3565" t="s">
        <v>13</v>
      </c>
      <c r="E3565">
        <v>58</v>
      </c>
      <c r="F3565" t="s">
        <v>4814</v>
      </c>
      <c r="G3565" t="s">
        <v>4798</v>
      </c>
      <c r="H3565" t="s">
        <v>4806</v>
      </c>
      <c r="I3565">
        <v>13.99</v>
      </c>
      <c r="J3565">
        <v>4</v>
      </c>
      <c r="K3565">
        <v>1.93</v>
      </c>
      <c r="L3565">
        <v>0</v>
      </c>
      <c r="M3565" t="s">
        <v>4811</v>
      </c>
      <c r="N3565" t="s">
        <v>4900</v>
      </c>
      <c r="O3565" t="s">
        <v>4910</v>
      </c>
    </row>
    <row r="3566" spans="1:15" x14ac:dyDescent="0.35">
      <c r="A3566" t="s">
        <v>3514</v>
      </c>
      <c r="B3566">
        <v>42</v>
      </c>
      <c r="C3566" t="s">
        <v>4803</v>
      </c>
      <c r="D3566" t="s">
        <v>15</v>
      </c>
      <c r="E3566">
        <v>89</v>
      </c>
      <c r="F3566">
        <v>58</v>
      </c>
      <c r="G3566" t="s">
        <v>4799</v>
      </c>
      <c r="H3566" t="s">
        <v>4806</v>
      </c>
      <c r="I3566">
        <v>17.989999999999998</v>
      </c>
      <c r="J3566">
        <v>4</v>
      </c>
      <c r="K3566">
        <v>2.0299999999999998</v>
      </c>
      <c r="L3566">
        <v>0</v>
      </c>
      <c r="M3566" t="s">
        <v>4808</v>
      </c>
      <c r="N3566" t="s">
        <v>4900</v>
      </c>
      <c r="O3566" t="s">
        <v>4910</v>
      </c>
    </row>
    <row r="3567" spans="1:15" x14ac:dyDescent="0.35">
      <c r="A3567" t="s">
        <v>3515</v>
      </c>
      <c r="B3567">
        <v>47</v>
      </c>
      <c r="C3567" t="s">
        <v>4803</v>
      </c>
      <c r="D3567" t="s">
        <v>13</v>
      </c>
      <c r="E3567">
        <v>35</v>
      </c>
      <c r="F3567">
        <v>15</v>
      </c>
      <c r="G3567" t="s">
        <v>4798</v>
      </c>
      <c r="H3567" t="s">
        <v>4804</v>
      </c>
      <c r="I3567">
        <v>13.99</v>
      </c>
      <c r="J3567">
        <v>3</v>
      </c>
      <c r="K3567">
        <v>1.17</v>
      </c>
      <c r="L3567">
        <v>0</v>
      </c>
      <c r="M3567" t="s">
        <v>4808</v>
      </c>
      <c r="N3567" t="s">
        <v>4900</v>
      </c>
      <c r="O3567" t="s">
        <v>4910</v>
      </c>
    </row>
    <row r="3568" spans="1:15" x14ac:dyDescent="0.35">
      <c r="A3568" t="s">
        <v>3516</v>
      </c>
      <c r="B3568">
        <v>50</v>
      </c>
      <c r="C3568" t="s">
        <v>4803</v>
      </c>
      <c r="D3568" t="s">
        <v>13</v>
      </c>
      <c r="E3568">
        <v>71</v>
      </c>
      <c r="F3568">
        <v>15</v>
      </c>
      <c r="G3568" t="s">
        <v>4799</v>
      </c>
      <c r="H3568" t="s">
        <v>4805</v>
      </c>
      <c r="I3568">
        <v>13.99</v>
      </c>
      <c r="J3568">
        <v>4</v>
      </c>
      <c r="K3568">
        <v>2.37</v>
      </c>
      <c r="L3568">
        <v>0</v>
      </c>
      <c r="M3568" t="s">
        <v>4809</v>
      </c>
      <c r="N3568" t="s">
        <v>4900</v>
      </c>
      <c r="O3568" t="s">
        <v>4910</v>
      </c>
    </row>
    <row r="3569" spans="1:15" x14ac:dyDescent="0.35">
      <c r="A3569" t="s">
        <v>3517</v>
      </c>
      <c r="B3569">
        <v>26</v>
      </c>
      <c r="C3569" t="s">
        <v>4802</v>
      </c>
      <c r="D3569" t="s">
        <v>13</v>
      </c>
      <c r="E3569">
        <v>63</v>
      </c>
      <c r="F3569">
        <v>59</v>
      </c>
      <c r="G3569" t="s">
        <v>4797</v>
      </c>
      <c r="H3569" t="s">
        <v>4806</v>
      </c>
      <c r="I3569">
        <v>13.99</v>
      </c>
      <c r="J3569">
        <v>1</v>
      </c>
      <c r="K3569">
        <v>2.1</v>
      </c>
      <c r="L3569">
        <v>0</v>
      </c>
      <c r="M3569" t="s">
        <v>4808</v>
      </c>
      <c r="N3569" t="s">
        <v>4900</v>
      </c>
      <c r="O3569" t="s">
        <v>4912</v>
      </c>
    </row>
    <row r="3570" spans="1:15" x14ac:dyDescent="0.35">
      <c r="A3570" t="s">
        <v>3518</v>
      </c>
      <c r="B3570">
        <v>40</v>
      </c>
      <c r="C3570" t="s">
        <v>4803</v>
      </c>
      <c r="D3570" t="s">
        <v>13</v>
      </c>
      <c r="E3570">
        <v>58</v>
      </c>
      <c r="F3570">
        <v>54</v>
      </c>
      <c r="G3570" t="s">
        <v>4799</v>
      </c>
      <c r="H3570" t="s">
        <v>4805</v>
      </c>
      <c r="I3570">
        <v>13.99</v>
      </c>
      <c r="J3570">
        <v>1</v>
      </c>
      <c r="K3570">
        <v>1.93</v>
      </c>
      <c r="L3570">
        <v>0</v>
      </c>
      <c r="M3570" t="s">
        <v>4812</v>
      </c>
      <c r="N3570" t="s">
        <v>4900</v>
      </c>
      <c r="O3570" t="s">
        <v>4910</v>
      </c>
    </row>
    <row r="3571" spans="1:15" x14ac:dyDescent="0.35">
      <c r="A3571" t="s">
        <v>3519</v>
      </c>
      <c r="B3571">
        <v>26</v>
      </c>
      <c r="C3571" t="s">
        <v>4803</v>
      </c>
      <c r="D3571" t="s">
        <v>15</v>
      </c>
      <c r="E3571">
        <v>105</v>
      </c>
      <c r="F3571">
        <v>28</v>
      </c>
      <c r="G3571" t="s">
        <v>4798</v>
      </c>
      <c r="H3571" t="s">
        <v>4804</v>
      </c>
      <c r="I3571">
        <v>17.989999999999998</v>
      </c>
      <c r="J3571">
        <v>5</v>
      </c>
      <c r="K3571">
        <v>3.5</v>
      </c>
      <c r="L3571">
        <v>0</v>
      </c>
      <c r="M3571" t="s">
        <v>4808</v>
      </c>
      <c r="N3571" t="s">
        <v>4900</v>
      </c>
      <c r="O3571" t="s">
        <v>4912</v>
      </c>
    </row>
    <row r="3572" spans="1:15" x14ac:dyDescent="0.35">
      <c r="A3572" t="s">
        <v>3520</v>
      </c>
      <c r="B3572">
        <v>40</v>
      </c>
      <c r="C3572" t="s">
        <v>4802</v>
      </c>
      <c r="D3572" t="s">
        <v>13</v>
      </c>
      <c r="E3572">
        <v>72</v>
      </c>
      <c r="F3572">
        <v>15</v>
      </c>
      <c r="G3572" t="s">
        <v>4797</v>
      </c>
      <c r="H3572" t="s">
        <v>4804</v>
      </c>
      <c r="I3572">
        <v>13.99</v>
      </c>
      <c r="J3572">
        <v>2</v>
      </c>
      <c r="K3572">
        <v>2.4</v>
      </c>
      <c r="L3572">
        <v>0</v>
      </c>
      <c r="M3572" t="s">
        <v>4810</v>
      </c>
      <c r="N3572" t="s">
        <v>4900</v>
      </c>
      <c r="O3572" t="s">
        <v>4910</v>
      </c>
    </row>
    <row r="3573" spans="1:15" x14ac:dyDescent="0.35">
      <c r="A3573" t="s">
        <v>3521</v>
      </c>
      <c r="B3573">
        <v>24</v>
      </c>
      <c r="C3573" t="s">
        <v>4802</v>
      </c>
      <c r="D3573" t="s">
        <v>13</v>
      </c>
      <c r="E3573">
        <v>78</v>
      </c>
      <c r="F3573">
        <v>23</v>
      </c>
      <c r="G3573" t="s">
        <v>4799</v>
      </c>
      <c r="H3573" t="s">
        <v>4805</v>
      </c>
      <c r="I3573">
        <v>13.99</v>
      </c>
      <c r="J3573">
        <v>3</v>
      </c>
      <c r="K3573">
        <v>2.6</v>
      </c>
      <c r="L3573">
        <v>0</v>
      </c>
      <c r="M3573" t="s">
        <v>4812</v>
      </c>
      <c r="N3573" t="s">
        <v>4900</v>
      </c>
      <c r="O3573" t="s">
        <v>4912</v>
      </c>
    </row>
    <row r="3574" spans="1:15" x14ac:dyDescent="0.35">
      <c r="A3574" t="s">
        <v>3522</v>
      </c>
      <c r="B3574">
        <v>62</v>
      </c>
      <c r="C3574" t="s">
        <v>4802</v>
      </c>
      <c r="D3574" t="s">
        <v>13</v>
      </c>
      <c r="E3574">
        <v>46</v>
      </c>
      <c r="F3574">
        <v>28</v>
      </c>
      <c r="G3574" t="s">
        <v>4799</v>
      </c>
      <c r="H3574" t="s">
        <v>4804</v>
      </c>
      <c r="I3574">
        <v>13.99</v>
      </c>
      <c r="J3574">
        <v>4</v>
      </c>
      <c r="K3574">
        <v>1.53</v>
      </c>
      <c r="L3574">
        <v>0</v>
      </c>
      <c r="M3574" t="s">
        <v>4811</v>
      </c>
      <c r="N3574" t="s">
        <v>4900</v>
      </c>
      <c r="O3574" t="s">
        <v>4911</v>
      </c>
    </row>
    <row r="3575" spans="1:15" x14ac:dyDescent="0.35">
      <c r="A3575" t="s">
        <v>3523</v>
      </c>
      <c r="B3575">
        <v>22</v>
      </c>
      <c r="C3575" t="s">
        <v>4803</v>
      </c>
      <c r="D3575" t="s">
        <v>13</v>
      </c>
      <c r="E3575">
        <v>59</v>
      </c>
      <c r="F3575">
        <v>18</v>
      </c>
      <c r="G3575" t="s">
        <v>4798</v>
      </c>
      <c r="H3575" t="s">
        <v>4804</v>
      </c>
      <c r="I3575">
        <v>13.99</v>
      </c>
      <c r="J3575">
        <v>3</v>
      </c>
      <c r="K3575">
        <v>1.97</v>
      </c>
      <c r="L3575">
        <v>0</v>
      </c>
      <c r="M3575" t="s">
        <v>4811</v>
      </c>
      <c r="N3575" t="s">
        <v>4900</v>
      </c>
      <c r="O3575" t="s">
        <v>4912</v>
      </c>
    </row>
    <row r="3576" spans="1:15" x14ac:dyDescent="0.35">
      <c r="A3576" t="s">
        <v>3524</v>
      </c>
      <c r="B3576">
        <v>43</v>
      </c>
      <c r="C3576" t="s">
        <v>4803</v>
      </c>
      <c r="D3576" t="s">
        <v>13</v>
      </c>
      <c r="E3576">
        <v>41</v>
      </c>
      <c r="F3576">
        <v>3</v>
      </c>
      <c r="G3576" t="s">
        <v>4800</v>
      </c>
      <c r="H3576" t="s">
        <v>4804</v>
      </c>
      <c r="I3576">
        <v>13.99</v>
      </c>
      <c r="J3576">
        <v>1</v>
      </c>
      <c r="K3576">
        <v>1.37</v>
      </c>
      <c r="L3576">
        <v>0</v>
      </c>
      <c r="M3576" t="s">
        <v>4812</v>
      </c>
      <c r="N3576" t="s">
        <v>4900</v>
      </c>
      <c r="O3576" t="s">
        <v>4910</v>
      </c>
    </row>
    <row r="3577" spans="1:15" x14ac:dyDescent="0.35">
      <c r="A3577" t="s">
        <v>3525</v>
      </c>
      <c r="B3577">
        <v>42</v>
      </c>
      <c r="C3577" t="s">
        <v>4803</v>
      </c>
      <c r="D3577" t="s">
        <v>13</v>
      </c>
      <c r="E3577">
        <v>56</v>
      </c>
      <c r="F3577">
        <v>12</v>
      </c>
      <c r="G3577" t="s">
        <v>4801</v>
      </c>
      <c r="H3577" t="s">
        <v>4804</v>
      </c>
      <c r="I3577">
        <v>13.99</v>
      </c>
      <c r="J3577">
        <v>3</v>
      </c>
      <c r="K3577">
        <v>1.87</v>
      </c>
      <c r="L3577">
        <v>0</v>
      </c>
      <c r="M3577" t="s">
        <v>4812</v>
      </c>
      <c r="N3577" t="s">
        <v>4900</v>
      </c>
      <c r="O3577" t="s">
        <v>4910</v>
      </c>
    </row>
    <row r="3578" spans="1:15" x14ac:dyDescent="0.35">
      <c r="A3578" t="s">
        <v>3526</v>
      </c>
      <c r="B3578">
        <v>42</v>
      </c>
      <c r="C3578" t="s">
        <v>4802</v>
      </c>
      <c r="D3578" t="s">
        <v>13</v>
      </c>
      <c r="E3578">
        <v>80</v>
      </c>
      <c r="F3578">
        <v>40</v>
      </c>
      <c r="G3578" t="s">
        <v>4797</v>
      </c>
      <c r="H3578" t="s">
        <v>4806</v>
      </c>
      <c r="I3578">
        <v>13.99</v>
      </c>
      <c r="J3578">
        <v>1</v>
      </c>
      <c r="K3578">
        <v>2.67</v>
      </c>
      <c r="L3578">
        <v>0</v>
      </c>
      <c r="M3578" t="s">
        <v>4809</v>
      </c>
      <c r="N3578" t="s">
        <v>4900</v>
      </c>
      <c r="O3578" t="s">
        <v>4910</v>
      </c>
    </row>
    <row r="3579" spans="1:15" x14ac:dyDescent="0.35">
      <c r="A3579" t="s">
        <v>3527</v>
      </c>
      <c r="B3579">
        <v>51</v>
      </c>
      <c r="C3579" t="s">
        <v>4802</v>
      </c>
      <c r="D3579" t="s">
        <v>13</v>
      </c>
      <c r="E3579">
        <v>62</v>
      </c>
      <c r="F3579">
        <v>25</v>
      </c>
      <c r="G3579" t="s">
        <v>4798</v>
      </c>
      <c r="H3579" t="s">
        <v>4804</v>
      </c>
      <c r="I3579">
        <v>13.99</v>
      </c>
      <c r="J3579">
        <v>1</v>
      </c>
      <c r="K3579">
        <v>2.0699999999999998</v>
      </c>
      <c r="L3579">
        <v>0</v>
      </c>
      <c r="M3579" t="s">
        <v>4811</v>
      </c>
      <c r="N3579" t="s">
        <v>4900</v>
      </c>
      <c r="O3579" t="s">
        <v>4910</v>
      </c>
    </row>
    <row r="3580" spans="1:15" x14ac:dyDescent="0.35">
      <c r="A3580" t="s">
        <v>3528</v>
      </c>
      <c r="B3580">
        <v>65</v>
      </c>
      <c r="C3580" t="s">
        <v>4802</v>
      </c>
      <c r="D3580" t="s">
        <v>15</v>
      </c>
      <c r="E3580">
        <v>75</v>
      </c>
      <c r="F3580">
        <v>15</v>
      </c>
      <c r="G3580" t="s">
        <v>4799</v>
      </c>
      <c r="H3580" t="s">
        <v>4805</v>
      </c>
      <c r="I3580">
        <v>17.989999999999998</v>
      </c>
      <c r="J3580">
        <v>4</v>
      </c>
      <c r="K3580">
        <v>2.5</v>
      </c>
      <c r="L3580">
        <v>0</v>
      </c>
      <c r="M3580" t="s">
        <v>4811</v>
      </c>
      <c r="N3580" t="s">
        <v>4900</v>
      </c>
      <c r="O3580" t="s">
        <v>4911</v>
      </c>
    </row>
    <row r="3581" spans="1:15" x14ac:dyDescent="0.35">
      <c r="A3581" t="s">
        <v>3529</v>
      </c>
      <c r="B3581">
        <v>64</v>
      </c>
      <c r="C3581" t="s">
        <v>4802</v>
      </c>
      <c r="D3581" t="s">
        <v>15</v>
      </c>
      <c r="E3581">
        <v>118</v>
      </c>
      <c r="F3581">
        <v>33</v>
      </c>
      <c r="G3581" t="s">
        <v>4799</v>
      </c>
      <c r="H3581" t="s">
        <v>4804</v>
      </c>
      <c r="I3581">
        <v>17.989999999999998</v>
      </c>
      <c r="J3581">
        <v>2</v>
      </c>
      <c r="K3581">
        <v>3.93</v>
      </c>
      <c r="L3581">
        <v>1</v>
      </c>
      <c r="M3581" t="s">
        <v>4810</v>
      </c>
      <c r="N3581" t="s">
        <v>4899</v>
      </c>
      <c r="O3581" t="s">
        <v>4911</v>
      </c>
    </row>
    <row r="3582" spans="1:15" x14ac:dyDescent="0.35">
      <c r="A3582" t="s">
        <v>3530</v>
      </c>
      <c r="B3582">
        <v>28</v>
      </c>
      <c r="C3582" t="s">
        <v>4803</v>
      </c>
      <c r="D3582" t="s">
        <v>14</v>
      </c>
      <c r="E3582">
        <v>48</v>
      </c>
      <c r="F3582">
        <v>59</v>
      </c>
      <c r="G3582" t="s">
        <v>4797</v>
      </c>
      <c r="H3582" t="s">
        <v>4804</v>
      </c>
      <c r="I3582">
        <v>8.99</v>
      </c>
      <c r="J3582">
        <v>2</v>
      </c>
      <c r="K3582">
        <v>1.6</v>
      </c>
      <c r="L3582">
        <v>0</v>
      </c>
      <c r="M3582" t="s">
        <v>4808</v>
      </c>
      <c r="N3582" t="s">
        <v>4900</v>
      </c>
      <c r="O3582" t="s">
        <v>4912</v>
      </c>
    </row>
    <row r="3583" spans="1:15" x14ac:dyDescent="0.35">
      <c r="A3583" t="s">
        <v>3531</v>
      </c>
      <c r="B3583">
        <v>21</v>
      </c>
      <c r="C3583" t="s">
        <v>4803</v>
      </c>
      <c r="D3583" t="s">
        <v>15</v>
      </c>
      <c r="E3583">
        <v>84</v>
      </c>
      <c r="F3583">
        <v>35</v>
      </c>
      <c r="G3583" t="s">
        <v>4797</v>
      </c>
      <c r="H3583" t="s">
        <v>4804</v>
      </c>
      <c r="I3583">
        <v>17.989999999999998</v>
      </c>
      <c r="J3583">
        <v>2</v>
      </c>
      <c r="K3583">
        <v>2.8</v>
      </c>
      <c r="L3583">
        <v>0</v>
      </c>
      <c r="M3583" t="s">
        <v>4809</v>
      </c>
      <c r="N3583" t="s">
        <v>4900</v>
      </c>
      <c r="O3583" t="s">
        <v>4912</v>
      </c>
    </row>
    <row r="3584" spans="1:15" x14ac:dyDescent="0.35">
      <c r="A3584" t="s">
        <v>3532</v>
      </c>
      <c r="B3584">
        <v>57</v>
      </c>
      <c r="C3584" t="s">
        <v>4802</v>
      </c>
      <c r="D3584" t="s">
        <v>13</v>
      </c>
      <c r="E3584">
        <v>50</v>
      </c>
      <c r="F3584">
        <v>32</v>
      </c>
      <c r="G3584" t="s">
        <v>4799</v>
      </c>
      <c r="H3584" t="s">
        <v>4806</v>
      </c>
      <c r="I3584">
        <v>13.99</v>
      </c>
      <c r="J3584">
        <v>4</v>
      </c>
      <c r="K3584">
        <v>1.67</v>
      </c>
      <c r="L3584">
        <v>1</v>
      </c>
      <c r="M3584" t="s">
        <v>4808</v>
      </c>
      <c r="N3584" t="s">
        <v>4899</v>
      </c>
      <c r="O3584" t="s">
        <v>4911</v>
      </c>
    </row>
    <row r="3585" spans="1:15" x14ac:dyDescent="0.35">
      <c r="A3585" t="s">
        <v>3533</v>
      </c>
      <c r="B3585">
        <v>32</v>
      </c>
      <c r="C3585" t="s">
        <v>4803</v>
      </c>
      <c r="D3585" t="s">
        <v>13</v>
      </c>
      <c r="E3585">
        <v>56</v>
      </c>
      <c r="F3585">
        <v>48</v>
      </c>
      <c r="G3585" t="s">
        <v>4797</v>
      </c>
      <c r="H3585" t="s">
        <v>4806</v>
      </c>
      <c r="I3585">
        <v>13.99</v>
      </c>
      <c r="J3585">
        <v>1</v>
      </c>
      <c r="K3585">
        <v>1.87</v>
      </c>
      <c r="L3585">
        <v>0</v>
      </c>
      <c r="M3585" t="s">
        <v>4811</v>
      </c>
      <c r="N3585" t="s">
        <v>4900</v>
      </c>
      <c r="O3585" t="s">
        <v>4912</v>
      </c>
    </row>
    <row r="3586" spans="1:15" x14ac:dyDescent="0.35">
      <c r="A3586" t="s">
        <v>3534</v>
      </c>
      <c r="B3586">
        <v>37</v>
      </c>
      <c r="C3586" t="s">
        <v>4802</v>
      </c>
      <c r="D3586" t="s">
        <v>15</v>
      </c>
      <c r="E3586">
        <v>101</v>
      </c>
      <c r="F3586">
        <v>5</v>
      </c>
      <c r="G3586" t="s">
        <v>4799</v>
      </c>
      <c r="H3586" t="s">
        <v>4805</v>
      </c>
      <c r="I3586">
        <v>17.989999999999998</v>
      </c>
      <c r="J3586">
        <v>3</v>
      </c>
      <c r="K3586">
        <v>3.37</v>
      </c>
      <c r="L3586">
        <v>0</v>
      </c>
      <c r="M3586" t="s">
        <v>4808</v>
      </c>
      <c r="N3586" t="s">
        <v>4900</v>
      </c>
      <c r="O3586" t="s">
        <v>4910</v>
      </c>
    </row>
    <row r="3587" spans="1:15" x14ac:dyDescent="0.35">
      <c r="A3587" t="s">
        <v>3535</v>
      </c>
      <c r="B3587">
        <v>49</v>
      </c>
      <c r="C3587" t="s">
        <v>4802</v>
      </c>
      <c r="D3587" t="s">
        <v>15</v>
      </c>
      <c r="E3587">
        <v>79</v>
      </c>
      <c r="F3587">
        <v>25</v>
      </c>
      <c r="G3587" t="s">
        <v>4799</v>
      </c>
      <c r="H3587" t="s">
        <v>4805</v>
      </c>
      <c r="I3587">
        <v>17.989999999999998</v>
      </c>
      <c r="J3587">
        <v>3</v>
      </c>
      <c r="K3587">
        <v>2.63</v>
      </c>
      <c r="L3587">
        <v>0</v>
      </c>
      <c r="M3587" t="s">
        <v>4811</v>
      </c>
      <c r="N3587" t="s">
        <v>4900</v>
      </c>
      <c r="O3587" t="s">
        <v>4910</v>
      </c>
    </row>
    <row r="3588" spans="1:15" x14ac:dyDescent="0.35">
      <c r="A3588" t="s">
        <v>3536</v>
      </c>
      <c r="B3588">
        <v>45</v>
      </c>
      <c r="C3588" t="s">
        <v>4803</v>
      </c>
      <c r="D3588" t="s">
        <v>15</v>
      </c>
      <c r="E3588">
        <v>56</v>
      </c>
      <c r="F3588">
        <v>43</v>
      </c>
      <c r="G3588" t="s">
        <v>4798</v>
      </c>
      <c r="H3588" t="s">
        <v>4805</v>
      </c>
      <c r="I3588">
        <v>17.989999999999998</v>
      </c>
      <c r="J3588">
        <v>4</v>
      </c>
      <c r="K3588">
        <v>1.87</v>
      </c>
      <c r="L3588">
        <v>1</v>
      </c>
      <c r="M3588" t="s">
        <v>4811</v>
      </c>
      <c r="N3588" t="s">
        <v>4899</v>
      </c>
      <c r="O3588" t="s">
        <v>4910</v>
      </c>
    </row>
    <row r="3589" spans="1:15" x14ac:dyDescent="0.35">
      <c r="A3589" t="s">
        <v>3537</v>
      </c>
      <c r="B3589">
        <v>36</v>
      </c>
      <c r="C3589" t="s">
        <v>4802</v>
      </c>
      <c r="D3589" t="s">
        <v>13</v>
      </c>
      <c r="E3589">
        <v>79</v>
      </c>
      <c r="F3589">
        <v>23</v>
      </c>
      <c r="G3589" t="s">
        <v>4798</v>
      </c>
      <c r="H3589" t="s">
        <v>4806</v>
      </c>
      <c r="I3589">
        <v>13.99</v>
      </c>
      <c r="J3589">
        <v>3</v>
      </c>
      <c r="K3589">
        <v>2.63</v>
      </c>
      <c r="L3589">
        <v>0</v>
      </c>
      <c r="M3589" t="s">
        <v>4808</v>
      </c>
      <c r="N3589" t="s">
        <v>4900</v>
      </c>
      <c r="O3589" t="s">
        <v>4910</v>
      </c>
    </row>
    <row r="3590" spans="1:15" x14ac:dyDescent="0.35">
      <c r="A3590" t="s">
        <v>3538</v>
      </c>
      <c r="B3590">
        <v>39</v>
      </c>
      <c r="C3590" t="s">
        <v>4802</v>
      </c>
      <c r="D3590" t="s">
        <v>15</v>
      </c>
      <c r="E3590">
        <v>67</v>
      </c>
      <c r="F3590">
        <v>19</v>
      </c>
      <c r="G3590" t="s">
        <v>4800</v>
      </c>
      <c r="H3590" t="s">
        <v>4804</v>
      </c>
      <c r="I3590">
        <v>17.989999999999998</v>
      </c>
      <c r="J3590">
        <v>5</v>
      </c>
      <c r="K3590">
        <v>2.23</v>
      </c>
      <c r="L3590">
        <v>0</v>
      </c>
      <c r="M3590" t="s">
        <v>4808</v>
      </c>
      <c r="N3590" t="s">
        <v>4900</v>
      </c>
      <c r="O3590" t="s">
        <v>4910</v>
      </c>
    </row>
    <row r="3591" spans="1:15" x14ac:dyDescent="0.35">
      <c r="A3591" t="s">
        <v>3539</v>
      </c>
      <c r="B3591">
        <v>46</v>
      </c>
      <c r="C3591" t="s">
        <v>4802</v>
      </c>
      <c r="D3591" t="s">
        <v>13</v>
      </c>
      <c r="E3591">
        <v>37</v>
      </c>
      <c r="F3591">
        <v>38</v>
      </c>
      <c r="G3591" t="s">
        <v>4797</v>
      </c>
      <c r="H3591" t="s">
        <v>4805</v>
      </c>
      <c r="I3591">
        <v>13.99</v>
      </c>
      <c r="J3591">
        <v>1</v>
      </c>
      <c r="K3591">
        <v>2.0299999999999998</v>
      </c>
      <c r="L3591">
        <v>0</v>
      </c>
      <c r="M3591" t="s">
        <v>4811</v>
      </c>
      <c r="N3591" t="s">
        <v>4900</v>
      </c>
      <c r="O3591" t="s">
        <v>4910</v>
      </c>
    </row>
    <row r="3592" spans="1:15" x14ac:dyDescent="0.35">
      <c r="A3592" t="s">
        <v>3540</v>
      </c>
      <c r="B3592">
        <v>55</v>
      </c>
      <c r="C3592" t="s">
        <v>4802</v>
      </c>
      <c r="D3592" t="s">
        <v>15</v>
      </c>
      <c r="E3592">
        <v>102</v>
      </c>
      <c r="F3592">
        <v>32</v>
      </c>
      <c r="G3592" t="s">
        <v>4798</v>
      </c>
      <c r="H3592" t="s">
        <v>4804</v>
      </c>
      <c r="I3592">
        <v>17.989999999999998</v>
      </c>
      <c r="J3592">
        <v>4</v>
      </c>
      <c r="K3592">
        <v>3.4</v>
      </c>
      <c r="L3592">
        <v>0</v>
      </c>
      <c r="M3592" t="s">
        <v>4810</v>
      </c>
      <c r="N3592" t="s">
        <v>4900</v>
      </c>
      <c r="O3592" t="s">
        <v>4911</v>
      </c>
    </row>
    <row r="3593" spans="1:15" x14ac:dyDescent="0.35">
      <c r="A3593" t="s">
        <v>3541</v>
      </c>
      <c r="B3593">
        <v>25</v>
      </c>
      <c r="C3593" t="s">
        <v>4803</v>
      </c>
      <c r="D3593" t="s">
        <v>14</v>
      </c>
      <c r="E3593">
        <v>79</v>
      </c>
      <c r="F3593">
        <v>33</v>
      </c>
      <c r="G3593" t="s">
        <v>4799</v>
      </c>
      <c r="H3593" t="s">
        <v>4805</v>
      </c>
      <c r="I3593">
        <v>8.99</v>
      </c>
      <c r="J3593">
        <v>1</v>
      </c>
      <c r="K3593">
        <v>2.63</v>
      </c>
      <c r="L3593">
        <v>1</v>
      </c>
      <c r="M3593" t="s">
        <v>4809</v>
      </c>
      <c r="N3593" t="s">
        <v>4899</v>
      </c>
      <c r="O3593" t="s">
        <v>4912</v>
      </c>
    </row>
    <row r="3594" spans="1:15" x14ac:dyDescent="0.35">
      <c r="A3594" t="s">
        <v>3542</v>
      </c>
      <c r="B3594">
        <v>41</v>
      </c>
      <c r="C3594" t="s">
        <v>4802</v>
      </c>
      <c r="D3594" t="s">
        <v>13</v>
      </c>
      <c r="E3594">
        <v>72</v>
      </c>
      <c r="F3594">
        <v>53</v>
      </c>
      <c r="G3594" t="s">
        <v>4798</v>
      </c>
      <c r="H3594" t="s">
        <v>4805</v>
      </c>
      <c r="I3594">
        <v>13.99</v>
      </c>
      <c r="J3594">
        <v>3</v>
      </c>
      <c r="K3594">
        <v>2.4</v>
      </c>
      <c r="L3594">
        <v>1</v>
      </c>
      <c r="M3594" t="s">
        <v>4810</v>
      </c>
      <c r="N3594" t="s">
        <v>4899</v>
      </c>
      <c r="O3594" t="s">
        <v>4910</v>
      </c>
    </row>
    <row r="3595" spans="1:15" x14ac:dyDescent="0.35">
      <c r="A3595" t="s">
        <v>3543</v>
      </c>
      <c r="B3595">
        <v>58</v>
      </c>
      <c r="C3595" t="s">
        <v>4803</v>
      </c>
      <c r="D3595" t="s">
        <v>14</v>
      </c>
      <c r="E3595">
        <v>32</v>
      </c>
      <c r="F3595">
        <v>24</v>
      </c>
      <c r="G3595" t="s">
        <v>4798</v>
      </c>
      <c r="H3595" t="s">
        <v>4806</v>
      </c>
      <c r="I3595">
        <v>8.99</v>
      </c>
      <c r="J3595">
        <v>2</v>
      </c>
      <c r="K3595">
        <v>1.07</v>
      </c>
      <c r="L3595">
        <v>0</v>
      </c>
      <c r="M3595" t="s">
        <v>4811</v>
      </c>
      <c r="N3595" t="s">
        <v>4900</v>
      </c>
      <c r="O3595" t="s">
        <v>4911</v>
      </c>
    </row>
    <row r="3596" spans="1:15" x14ac:dyDescent="0.35">
      <c r="A3596" t="s">
        <v>3544</v>
      </c>
      <c r="B3596">
        <v>48</v>
      </c>
      <c r="C3596" t="s">
        <v>4803</v>
      </c>
      <c r="D3596" t="s">
        <v>15</v>
      </c>
      <c r="E3596">
        <v>63</v>
      </c>
      <c r="F3596">
        <v>54</v>
      </c>
      <c r="G3596" t="s">
        <v>4798</v>
      </c>
      <c r="H3596" t="s">
        <v>4804</v>
      </c>
      <c r="I3596">
        <v>17.989999999999998</v>
      </c>
      <c r="J3596">
        <v>4</v>
      </c>
      <c r="K3596">
        <v>2.1</v>
      </c>
      <c r="L3596">
        <v>0</v>
      </c>
      <c r="M3596" t="s">
        <v>4809</v>
      </c>
      <c r="N3596" t="s">
        <v>4900</v>
      </c>
      <c r="O3596" t="s">
        <v>4910</v>
      </c>
    </row>
    <row r="3597" spans="1:15" x14ac:dyDescent="0.35">
      <c r="A3597" t="s">
        <v>3545</v>
      </c>
      <c r="B3597">
        <v>40</v>
      </c>
      <c r="C3597" t="s">
        <v>4803</v>
      </c>
      <c r="D3597" t="s">
        <v>15</v>
      </c>
      <c r="E3597">
        <v>107</v>
      </c>
      <c r="F3597">
        <v>39</v>
      </c>
      <c r="G3597" t="s">
        <v>4798</v>
      </c>
      <c r="H3597" t="s">
        <v>4806</v>
      </c>
      <c r="I3597">
        <v>17.989999999999998</v>
      </c>
      <c r="J3597">
        <v>5</v>
      </c>
      <c r="K3597">
        <v>2.0299999999999998</v>
      </c>
      <c r="L3597">
        <v>0</v>
      </c>
      <c r="M3597" t="s">
        <v>4810</v>
      </c>
      <c r="N3597" t="s">
        <v>4900</v>
      </c>
      <c r="O3597" t="s">
        <v>4910</v>
      </c>
    </row>
    <row r="3598" spans="1:15" x14ac:dyDescent="0.35">
      <c r="A3598" t="s">
        <v>3546</v>
      </c>
      <c r="B3598">
        <v>52</v>
      </c>
      <c r="C3598" t="s">
        <v>4803</v>
      </c>
      <c r="D3598" t="s">
        <v>13</v>
      </c>
      <c r="E3598">
        <v>80</v>
      </c>
      <c r="F3598">
        <v>20</v>
      </c>
      <c r="G3598" t="s">
        <v>4798</v>
      </c>
      <c r="H3598" t="s">
        <v>4805</v>
      </c>
      <c r="I3598">
        <v>13.99</v>
      </c>
      <c r="J3598">
        <v>1</v>
      </c>
      <c r="K3598">
        <v>2.67</v>
      </c>
      <c r="L3598">
        <v>0</v>
      </c>
      <c r="M3598" t="s">
        <v>4809</v>
      </c>
      <c r="N3598" t="s">
        <v>4900</v>
      </c>
      <c r="O3598" t="s">
        <v>4910</v>
      </c>
    </row>
    <row r="3599" spans="1:15" x14ac:dyDescent="0.35">
      <c r="A3599" t="s">
        <v>3547</v>
      </c>
      <c r="B3599">
        <v>36</v>
      </c>
      <c r="C3599" t="s">
        <v>4803</v>
      </c>
      <c r="D3599" t="s">
        <v>15</v>
      </c>
      <c r="E3599">
        <v>57</v>
      </c>
      <c r="F3599">
        <v>33</v>
      </c>
      <c r="G3599" t="s">
        <v>4797</v>
      </c>
      <c r="H3599" t="s">
        <v>4804</v>
      </c>
      <c r="I3599">
        <v>17.989999999999998</v>
      </c>
      <c r="J3599">
        <v>3</v>
      </c>
      <c r="K3599">
        <v>5</v>
      </c>
      <c r="L3599">
        <v>0</v>
      </c>
      <c r="M3599" t="s">
        <v>4811</v>
      </c>
      <c r="N3599" t="s">
        <v>4900</v>
      </c>
      <c r="O3599" t="s">
        <v>4910</v>
      </c>
    </row>
    <row r="3600" spans="1:15" x14ac:dyDescent="0.35">
      <c r="A3600" t="s">
        <v>3548</v>
      </c>
      <c r="B3600">
        <v>40</v>
      </c>
      <c r="C3600" t="s">
        <v>4803</v>
      </c>
      <c r="D3600" t="s">
        <v>13</v>
      </c>
      <c r="E3600">
        <v>74</v>
      </c>
      <c r="F3600">
        <v>10</v>
      </c>
      <c r="G3600" t="s">
        <v>4799</v>
      </c>
      <c r="H3600" t="s">
        <v>4805</v>
      </c>
      <c r="I3600">
        <v>13.99</v>
      </c>
      <c r="J3600">
        <v>3</v>
      </c>
      <c r="K3600">
        <v>2.4700000000000002</v>
      </c>
      <c r="L3600">
        <v>0</v>
      </c>
      <c r="M3600" t="s">
        <v>4809</v>
      </c>
      <c r="N3600" t="s">
        <v>4900</v>
      </c>
      <c r="O3600" t="s">
        <v>4910</v>
      </c>
    </row>
    <row r="3601" spans="1:15" x14ac:dyDescent="0.35">
      <c r="A3601" t="s">
        <v>3549</v>
      </c>
      <c r="B3601">
        <v>39</v>
      </c>
      <c r="C3601" t="s">
        <v>4802</v>
      </c>
      <c r="D3601" t="s">
        <v>13</v>
      </c>
      <c r="E3601">
        <v>36</v>
      </c>
      <c r="F3601">
        <v>10</v>
      </c>
      <c r="G3601" t="s">
        <v>4798</v>
      </c>
      <c r="H3601" t="s">
        <v>4806</v>
      </c>
      <c r="I3601">
        <v>13.99</v>
      </c>
      <c r="J3601">
        <v>2</v>
      </c>
      <c r="K3601">
        <v>1.2</v>
      </c>
      <c r="L3601">
        <v>0</v>
      </c>
      <c r="M3601" t="s">
        <v>4809</v>
      </c>
      <c r="N3601" t="s">
        <v>4900</v>
      </c>
      <c r="O3601" t="s">
        <v>4910</v>
      </c>
    </row>
    <row r="3602" spans="1:15" x14ac:dyDescent="0.35">
      <c r="A3602" t="s">
        <v>3550</v>
      </c>
      <c r="B3602">
        <v>48</v>
      </c>
      <c r="C3602" t="s">
        <v>4802</v>
      </c>
      <c r="D3602" t="s">
        <v>14</v>
      </c>
      <c r="E3602">
        <v>14</v>
      </c>
      <c r="F3602">
        <v>18</v>
      </c>
      <c r="G3602" t="s">
        <v>4798</v>
      </c>
      <c r="H3602" t="s">
        <v>4804</v>
      </c>
      <c r="I3602">
        <v>8.99</v>
      </c>
      <c r="J3602">
        <v>1</v>
      </c>
      <c r="K3602">
        <v>0.47</v>
      </c>
      <c r="L3602">
        <v>1</v>
      </c>
      <c r="M3602" t="s">
        <v>4811</v>
      </c>
      <c r="N3602" t="s">
        <v>4899</v>
      </c>
      <c r="O3602" t="s">
        <v>4910</v>
      </c>
    </row>
    <row r="3603" spans="1:15" x14ac:dyDescent="0.35">
      <c r="A3603" t="s">
        <v>3551</v>
      </c>
      <c r="B3603">
        <v>56</v>
      </c>
      <c r="C3603" t="s">
        <v>4803</v>
      </c>
      <c r="D3603" t="s">
        <v>13</v>
      </c>
      <c r="E3603">
        <v>40</v>
      </c>
      <c r="F3603">
        <v>52</v>
      </c>
      <c r="G3603" t="s">
        <v>4798</v>
      </c>
      <c r="H3603" t="s">
        <v>4804</v>
      </c>
      <c r="I3603">
        <v>13.99</v>
      </c>
      <c r="J3603">
        <v>1</v>
      </c>
      <c r="K3603">
        <v>1.33</v>
      </c>
      <c r="L3603">
        <v>1</v>
      </c>
      <c r="M3603" t="s">
        <v>4808</v>
      </c>
      <c r="N3603" t="s">
        <v>4899</v>
      </c>
      <c r="O3603" t="s">
        <v>4911</v>
      </c>
    </row>
    <row r="3604" spans="1:15" x14ac:dyDescent="0.35">
      <c r="A3604" t="s">
        <v>3552</v>
      </c>
      <c r="B3604">
        <v>42</v>
      </c>
      <c r="C3604" t="s">
        <v>4802</v>
      </c>
      <c r="D3604" t="s">
        <v>13</v>
      </c>
      <c r="E3604">
        <v>50</v>
      </c>
      <c r="F3604">
        <v>35</v>
      </c>
      <c r="G3604" t="s">
        <v>4798</v>
      </c>
      <c r="H3604" t="s">
        <v>4804</v>
      </c>
      <c r="I3604">
        <v>13.99</v>
      </c>
      <c r="J3604">
        <v>3</v>
      </c>
      <c r="K3604">
        <v>1.67</v>
      </c>
      <c r="L3604">
        <v>1</v>
      </c>
      <c r="M3604" t="s">
        <v>4812</v>
      </c>
      <c r="N3604" t="s">
        <v>4899</v>
      </c>
      <c r="O3604" t="s">
        <v>4910</v>
      </c>
    </row>
    <row r="3605" spans="1:15" x14ac:dyDescent="0.35">
      <c r="A3605" t="s">
        <v>3553</v>
      </c>
      <c r="B3605">
        <v>34</v>
      </c>
      <c r="C3605" t="s">
        <v>4802</v>
      </c>
      <c r="D3605" t="s">
        <v>14</v>
      </c>
      <c r="E3605">
        <v>39</v>
      </c>
      <c r="F3605">
        <v>35</v>
      </c>
      <c r="G3605" t="s">
        <v>4798</v>
      </c>
      <c r="H3605" t="s">
        <v>4804</v>
      </c>
      <c r="I3605">
        <v>8.99</v>
      </c>
      <c r="J3605">
        <v>1</v>
      </c>
      <c r="K3605">
        <v>1.3</v>
      </c>
      <c r="L3605">
        <v>0</v>
      </c>
      <c r="M3605" t="s">
        <v>4812</v>
      </c>
      <c r="N3605" t="s">
        <v>4900</v>
      </c>
      <c r="O3605" t="s">
        <v>4912</v>
      </c>
    </row>
    <row r="3606" spans="1:15" x14ac:dyDescent="0.35">
      <c r="A3606" t="s">
        <v>3554</v>
      </c>
      <c r="B3606">
        <v>55</v>
      </c>
      <c r="C3606" t="s">
        <v>4802</v>
      </c>
      <c r="D3606" t="s">
        <v>13</v>
      </c>
      <c r="E3606">
        <v>79</v>
      </c>
      <c r="F3606">
        <v>33</v>
      </c>
      <c r="G3606" t="s">
        <v>4798</v>
      </c>
      <c r="H3606" t="s">
        <v>4805</v>
      </c>
      <c r="I3606">
        <v>13.99</v>
      </c>
      <c r="J3606">
        <v>3</v>
      </c>
      <c r="K3606">
        <v>2.63</v>
      </c>
      <c r="L3606">
        <v>0</v>
      </c>
      <c r="M3606" t="s">
        <v>4812</v>
      </c>
      <c r="N3606" t="s">
        <v>4900</v>
      </c>
      <c r="O3606" t="s">
        <v>4911</v>
      </c>
    </row>
    <row r="3607" spans="1:15" x14ac:dyDescent="0.35">
      <c r="A3607" t="s">
        <v>3555</v>
      </c>
      <c r="B3607">
        <v>47</v>
      </c>
      <c r="C3607" t="s">
        <v>4803</v>
      </c>
      <c r="D3607" t="s">
        <v>13</v>
      </c>
      <c r="E3607">
        <v>42</v>
      </c>
      <c r="F3607">
        <v>44</v>
      </c>
      <c r="G3607" t="s">
        <v>4799</v>
      </c>
      <c r="H3607" t="s">
        <v>4806</v>
      </c>
      <c r="I3607">
        <v>13.99</v>
      </c>
      <c r="J3607">
        <v>1</v>
      </c>
      <c r="K3607">
        <v>1.4</v>
      </c>
      <c r="L3607">
        <v>0</v>
      </c>
      <c r="M3607" t="s">
        <v>4811</v>
      </c>
      <c r="N3607" t="s">
        <v>4900</v>
      </c>
      <c r="O3607" t="s">
        <v>4910</v>
      </c>
    </row>
    <row r="3608" spans="1:15" x14ac:dyDescent="0.35">
      <c r="A3608" t="s">
        <v>3556</v>
      </c>
      <c r="B3608">
        <v>41</v>
      </c>
      <c r="C3608" t="s">
        <v>4802</v>
      </c>
      <c r="D3608" t="s">
        <v>13</v>
      </c>
      <c r="E3608">
        <v>51</v>
      </c>
      <c r="F3608">
        <v>27</v>
      </c>
      <c r="G3608" t="s">
        <v>4797</v>
      </c>
      <c r="H3608" t="s">
        <v>4805</v>
      </c>
      <c r="I3608">
        <v>13.99</v>
      </c>
      <c r="J3608">
        <v>2</v>
      </c>
      <c r="K3608">
        <v>1.7</v>
      </c>
      <c r="L3608">
        <v>0</v>
      </c>
      <c r="M3608" t="s">
        <v>4809</v>
      </c>
      <c r="N3608" t="s">
        <v>4900</v>
      </c>
      <c r="O3608" t="s">
        <v>4910</v>
      </c>
    </row>
    <row r="3609" spans="1:15" x14ac:dyDescent="0.35">
      <c r="A3609" t="s">
        <v>3557</v>
      </c>
      <c r="B3609">
        <v>63</v>
      </c>
      <c r="C3609" t="s">
        <v>4803</v>
      </c>
      <c r="D3609" t="s">
        <v>13</v>
      </c>
      <c r="E3609">
        <v>42</v>
      </c>
      <c r="F3609">
        <v>59</v>
      </c>
      <c r="G3609" t="s">
        <v>4800</v>
      </c>
      <c r="H3609" t="s">
        <v>4804</v>
      </c>
      <c r="I3609">
        <v>13.99</v>
      </c>
      <c r="J3609">
        <v>4</v>
      </c>
      <c r="K3609">
        <v>2.0299999999999998</v>
      </c>
      <c r="L3609">
        <v>1</v>
      </c>
      <c r="M3609" t="s">
        <v>4808</v>
      </c>
      <c r="N3609" t="s">
        <v>4899</v>
      </c>
      <c r="O3609" t="s">
        <v>4911</v>
      </c>
    </row>
    <row r="3610" spans="1:15" x14ac:dyDescent="0.35">
      <c r="A3610" t="s">
        <v>3558</v>
      </c>
      <c r="B3610">
        <v>22</v>
      </c>
      <c r="C3610" t="s">
        <v>4803</v>
      </c>
      <c r="D3610" t="s">
        <v>15</v>
      </c>
      <c r="E3610">
        <v>95</v>
      </c>
      <c r="F3610">
        <v>7</v>
      </c>
      <c r="G3610" t="s">
        <v>4799</v>
      </c>
      <c r="H3610" t="s">
        <v>4805</v>
      </c>
      <c r="I3610">
        <v>17.989999999999998</v>
      </c>
      <c r="J3610">
        <v>5</v>
      </c>
      <c r="K3610">
        <v>3.17</v>
      </c>
      <c r="L3610">
        <v>0</v>
      </c>
      <c r="M3610" t="s">
        <v>4810</v>
      </c>
      <c r="N3610" t="s">
        <v>4900</v>
      </c>
      <c r="O3610" t="s">
        <v>4912</v>
      </c>
    </row>
    <row r="3611" spans="1:15" x14ac:dyDescent="0.35">
      <c r="A3611" t="s">
        <v>3559</v>
      </c>
      <c r="B3611">
        <v>44</v>
      </c>
      <c r="C3611" t="s">
        <v>4802</v>
      </c>
      <c r="D3611" t="s">
        <v>13</v>
      </c>
      <c r="E3611">
        <v>60</v>
      </c>
      <c r="F3611">
        <v>24</v>
      </c>
      <c r="G3611" t="s">
        <v>4799</v>
      </c>
      <c r="H3611" t="s">
        <v>4807</v>
      </c>
      <c r="I3611">
        <v>13.99</v>
      </c>
      <c r="J3611">
        <v>4</v>
      </c>
      <c r="K3611">
        <v>2</v>
      </c>
      <c r="L3611">
        <v>0</v>
      </c>
      <c r="M3611" t="s">
        <v>4811</v>
      </c>
      <c r="N3611" t="s">
        <v>4900</v>
      </c>
      <c r="O3611" t="s">
        <v>4910</v>
      </c>
    </row>
    <row r="3612" spans="1:15" x14ac:dyDescent="0.35">
      <c r="A3612" t="s">
        <v>3560</v>
      </c>
      <c r="B3612">
        <v>47</v>
      </c>
      <c r="C3612" t="s">
        <v>4802</v>
      </c>
      <c r="D3612" t="s">
        <v>13</v>
      </c>
      <c r="E3612">
        <v>60</v>
      </c>
      <c r="F3612">
        <v>6</v>
      </c>
      <c r="G3612" t="s">
        <v>4799</v>
      </c>
      <c r="H3612" t="s">
        <v>4805</v>
      </c>
      <c r="I3612">
        <v>13.99</v>
      </c>
      <c r="J3612">
        <v>1</v>
      </c>
      <c r="K3612">
        <v>2.0299999999999998</v>
      </c>
      <c r="L3612">
        <v>0</v>
      </c>
      <c r="M3612" t="s">
        <v>4810</v>
      </c>
      <c r="N3612" t="s">
        <v>4900</v>
      </c>
      <c r="O3612" t="s">
        <v>4910</v>
      </c>
    </row>
    <row r="3613" spans="1:15" x14ac:dyDescent="0.35">
      <c r="A3613" t="s">
        <v>3561</v>
      </c>
      <c r="B3613">
        <v>20</v>
      </c>
      <c r="C3613" t="s">
        <v>4802</v>
      </c>
      <c r="D3613" t="s">
        <v>13</v>
      </c>
      <c r="E3613">
        <v>41</v>
      </c>
      <c r="F3613">
        <v>46</v>
      </c>
      <c r="G3613" t="s">
        <v>4797</v>
      </c>
      <c r="H3613" t="s">
        <v>4805</v>
      </c>
      <c r="I3613">
        <v>13.99</v>
      </c>
      <c r="J3613">
        <v>4</v>
      </c>
      <c r="K3613">
        <v>1.37</v>
      </c>
      <c r="L3613">
        <v>0</v>
      </c>
      <c r="M3613" t="s">
        <v>4812</v>
      </c>
      <c r="N3613" t="s">
        <v>4900</v>
      </c>
      <c r="O3613" t="s">
        <v>4912</v>
      </c>
    </row>
    <row r="3614" spans="1:15" x14ac:dyDescent="0.35">
      <c r="A3614" t="s">
        <v>3562</v>
      </c>
      <c r="B3614">
        <v>60</v>
      </c>
      <c r="C3614" t="s">
        <v>4802</v>
      </c>
      <c r="D3614" t="s">
        <v>13</v>
      </c>
      <c r="E3614">
        <v>56</v>
      </c>
      <c r="F3614">
        <v>18</v>
      </c>
      <c r="G3614" t="s">
        <v>4798</v>
      </c>
      <c r="H3614" t="s">
        <v>4805</v>
      </c>
      <c r="I3614">
        <v>13.99</v>
      </c>
      <c r="J3614">
        <v>3</v>
      </c>
      <c r="K3614">
        <v>1.87</v>
      </c>
      <c r="L3614">
        <v>0</v>
      </c>
      <c r="M3614" t="s">
        <v>4810</v>
      </c>
      <c r="N3614" t="s">
        <v>4900</v>
      </c>
      <c r="O3614" t="s">
        <v>4911</v>
      </c>
    </row>
    <row r="3615" spans="1:15" x14ac:dyDescent="0.35">
      <c r="A3615" t="s">
        <v>3563</v>
      </c>
      <c r="B3615">
        <v>63</v>
      </c>
      <c r="C3615" t="s">
        <v>4803</v>
      </c>
      <c r="D3615" t="s">
        <v>13</v>
      </c>
      <c r="E3615">
        <v>36</v>
      </c>
      <c r="F3615">
        <v>23</v>
      </c>
      <c r="G3615" t="s">
        <v>4798</v>
      </c>
      <c r="H3615" t="s">
        <v>4806</v>
      </c>
      <c r="I3615">
        <v>13.99</v>
      </c>
      <c r="J3615">
        <v>3</v>
      </c>
      <c r="K3615">
        <v>1.2</v>
      </c>
      <c r="L3615">
        <v>0</v>
      </c>
      <c r="M3615" t="s">
        <v>4808</v>
      </c>
      <c r="N3615" t="s">
        <v>4900</v>
      </c>
      <c r="O3615" t="s">
        <v>4911</v>
      </c>
    </row>
    <row r="3616" spans="1:15" x14ac:dyDescent="0.35">
      <c r="A3616" t="s">
        <v>3564</v>
      </c>
      <c r="B3616">
        <v>22</v>
      </c>
      <c r="C3616" t="s">
        <v>4802</v>
      </c>
      <c r="D3616" t="s">
        <v>13</v>
      </c>
      <c r="E3616">
        <v>58</v>
      </c>
      <c r="F3616">
        <v>1</v>
      </c>
      <c r="G3616" t="s">
        <v>4800</v>
      </c>
      <c r="H3616" t="s">
        <v>4805</v>
      </c>
      <c r="I3616">
        <v>13.99</v>
      </c>
      <c r="J3616">
        <v>3</v>
      </c>
      <c r="K3616">
        <v>1.93</v>
      </c>
      <c r="L3616">
        <v>0</v>
      </c>
      <c r="M3616" t="s">
        <v>4809</v>
      </c>
      <c r="N3616" t="s">
        <v>4900</v>
      </c>
      <c r="O3616" t="s">
        <v>4912</v>
      </c>
    </row>
    <row r="3617" spans="1:15" x14ac:dyDescent="0.35">
      <c r="A3617" t="s">
        <v>3565</v>
      </c>
      <c r="B3617">
        <v>60</v>
      </c>
      <c r="C3617" t="s">
        <v>4803</v>
      </c>
      <c r="D3617" t="s">
        <v>15</v>
      </c>
      <c r="E3617">
        <v>92</v>
      </c>
      <c r="F3617">
        <v>40</v>
      </c>
      <c r="G3617" t="s">
        <v>4797</v>
      </c>
      <c r="H3617" t="s">
        <v>4806</v>
      </c>
      <c r="I3617">
        <v>17.989999999999998</v>
      </c>
      <c r="J3617">
        <v>5</v>
      </c>
      <c r="K3617">
        <v>3.07</v>
      </c>
      <c r="L3617">
        <v>0</v>
      </c>
      <c r="M3617" t="s">
        <v>4809</v>
      </c>
      <c r="N3617" t="s">
        <v>4900</v>
      </c>
      <c r="O3617" t="s">
        <v>4911</v>
      </c>
    </row>
    <row r="3618" spans="1:15" x14ac:dyDescent="0.35">
      <c r="A3618" t="s">
        <v>3566</v>
      </c>
      <c r="B3618">
        <v>39</v>
      </c>
      <c r="C3618" t="s">
        <v>4802</v>
      </c>
      <c r="D3618" t="s">
        <v>13</v>
      </c>
      <c r="E3618">
        <v>70</v>
      </c>
      <c r="F3618">
        <v>13</v>
      </c>
      <c r="G3618" t="s">
        <v>4799</v>
      </c>
      <c r="H3618" t="s">
        <v>4805</v>
      </c>
      <c r="I3618">
        <v>13.99</v>
      </c>
      <c r="J3618">
        <v>2</v>
      </c>
      <c r="K3618">
        <v>2.33</v>
      </c>
      <c r="L3618">
        <v>0</v>
      </c>
      <c r="M3618" t="s">
        <v>4809</v>
      </c>
      <c r="N3618" t="s">
        <v>4900</v>
      </c>
      <c r="O3618" t="s">
        <v>4910</v>
      </c>
    </row>
    <row r="3619" spans="1:15" x14ac:dyDescent="0.35">
      <c r="A3619" t="s">
        <v>3567</v>
      </c>
      <c r="B3619">
        <v>29</v>
      </c>
      <c r="C3619" t="s">
        <v>4802</v>
      </c>
      <c r="D3619" t="s">
        <v>13</v>
      </c>
      <c r="E3619">
        <v>42</v>
      </c>
      <c r="F3619">
        <v>59</v>
      </c>
      <c r="G3619" t="s">
        <v>4798</v>
      </c>
      <c r="H3619" t="s">
        <v>4805</v>
      </c>
      <c r="I3619">
        <v>13.99</v>
      </c>
      <c r="J3619">
        <v>3</v>
      </c>
      <c r="K3619">
        <v>1.4</v>
      </c>
      <c r="L3619">
        <v>0</v>
      </c>
      <c r="M3619" t="s">
        <v>4811</v>
      </c>
      <c r="N3619" t="s">
        <v>4900</v>
      </c>
      <c r="O3619" t="s">
        <v>4912</v>
      </c>
    </row>
    <row r="3620" spans="1:15" x14ac:dyDescent="0.35">
      <c r="A3620" t="s">
        <v>3568</v>
      </c>
      <c r="B3620">
        <v>51</v>
      </c>
      <c r="C3620" t="s">
        <v>4803</v>
      </c>
      <c r="D3620" t="s">
        <v>15</v>
      </c>
      <c r="E3620">
        <v>81</v>
      </c>
      <c r="F3620">
        <v>59</v>
      </c>
      <c r="G3620" t="s">
        <v>4797</v>
      </c>
      <c r="H3620" t="s">
        <v>4805</v>
      </c>
      <c r="I3620">
        <v>17.989999999999998</v>
      </c>
      <c r="J3620">
        <v>3</v>
      </c>
      <c r="K3620">
        <v>2.7</v>
      </c>
      <c r="L3620">
        <v>0</v>
      </c>
      <c r="M3620" t="s">
        <v>4810</v>
      </c>
      <c r="N3620" t="s">
        <v>4900</v>
      </c>
      <c r="O3620" t="s">
        <v>4910</v>
      </c>
    </row>
    <row r="3621" spans="1:15" x14ac:dyDescent="0.35">
      <c r="A3621" t="s">
        <v>3569</v>
      </c>
      <c r="B3621">
        <v>39</v>
      </c>
      <c r="C3621" t="s">
        <v>4803</v>
      </c>
      <c r="D3621" t="s">
        <v>13</v>
      </c>
      <c r="E3621">
        <v>75</v>
      </c>
      <c r="F3621">
        <v>24</v>
      </c>
      <c r="G3621" t="s">
        <v>4798</v>
      </c>
      <c r="H3621" t="s">
        <v>4805</v>
      </c>
      <c r="I3621">
        <v>13.99</v>
      </c>
      <c r="J3621">
        <v>1</v>
      </c>
      <c r="K3621">
        <v>2.5</v>
      </c>
      <c r="L3621">
        <v>0</v>
      </c>
      <c r="M3621" t="s">
        <v>4809</v>
      </c>
      <c r="N3621" t="s">
        <v>4900</v>
      </c>
      <c r="O3621" t="s">
        <v>4910</v>
      </c>
    </row>
    <row r="3622" spans="1:15" x14ac:dyDescent="0.35">
      <c r="A3622" t="s">
        <v>3570</v>
      </c>
      <c r="B3622">
        <v>55</v>
      </c>
      <c r="C3622" t="s">
        <v>4803</v>
      </c>
      <c r="D3622" t="s">
        <v>15</v>
      </c>
      <c r="E3622">
        <v>68</v>
      </c>
      <c r="F3622">
        <v>55</v>
      </c>
      <c r="G3622" t="s">
        <v>4797</v>
      </c>
      <c r="H3622" t="s">
        <v>4804</v>
      </c>
      <c r="I3622">
        <v>17.989999999999998</v>
      </c>
      <c r="J3622">
        <v>5</v>
      </c>
      <c r="K3622">
        <v>2.27</v>
      </c>
      <c r="L3622">
        <v>0</v>
      </c>
      <c r="M3622" t="s">
        <v>4812</v>
      </c>
      <c r="N3622" t="s">
        <v>4900</v>
      </c>
      <c r="O3622" t="s">
        <v>4911</v>
      </c>
    </row>
    <row r="3623" spans="1:15" x14ac:dyDescent="0.35">
      <c r="A3623" t="s">
        <v>3571</v>
      </c>
      <c r="B3623">
        <v>46</v>
      </c>
      <c r="C3623" t="s">
        <v>4803</v>
      </c>
      <c r="D3623" t="s">
        <v>14</v>
      </c>
      <c r="E3623">
        <v>39</v>
      </c>
      <c r="F3623">
        <v>41</v>
      </c>
      <c r="G3623" t="s">
        <v>4799</v>
      </c>
      <c r="H3623" t="s">
        <v>4805</v>
      </c>
      <c r="I3623">
        <v>8.99</v>
      </c>
      <c r="J3623">
        <v>2</v>
      </c>
      <c r="K3623">
        <v>1.3</v>
      </c>
      <c r="L3623">
        <v>0</v>
      </c>
      <c r="M3623" t="s">
        <v>4808</v>
      </c>
      <c r="N3623" t="s">
        <v>4900</v>
      </c>
      <c r="O3623" t="s">
        <v>4910</v>
      </c>
    </row>
    <row r="3624" spans="1:15" x14ac:dyDescent="0.35">
      <c r="A3624" t="s">
        <v>3572</v>
      </c>
      <c r="B3624">
        <v>21</v>
      </c>
      <c r="C3624" t="s">
        <v>4803</v>
      </c>
      <c r="D3624" t="s">
        <v>14</v>
      </c>
      <c r="E3624">
        <v>21</v>
      </c>
      <c r="F3624">
        <v>39</v>
      </c>
      <c r="G3624" t="s">
        <v>4799</v>
      </c>
      <c r="H3624" t="s">
        <v>4807</v>
      </c>
      <c r="I3624">
        <v>8.99</v>
      </c>
      <c r="J3624">
        <v>2</v>
      </c>
      <c r="K3624">
        <v>0.7</v>
      </c>
      <c r="L3624">
        <v>0</v>
      </c>
      <c r="M3624" t="s">
        <v>4808</v>
      </c>
      <c r="N3624" t="s">
        <v>4900</v>
      </c>
      <c r="O3624" t="s">
        <v>4912</v>
      </c>
    </row>
    <row r="3625" spans="1:15" x14ac:dyDescent="0.35">
      <c r="A3625" t="s">
        <v>3573</v>
      </c>
      <c r="B3625">
        <v>19</v>
      </c>
      <c r="C3625" t="s">
        <v>4803</v>
      </c>
      <c r="D3625" t="s">
        <v>13</v>
      </c>
      <c r="E3625">
        <v>37</v>
      </c>
      <c r="F3625">
        <v>29</v>
      </c>
      <c r="G3625" t="s">
        <v>4798</v>
      </c>
      <c r="H3625" t="s">
        <v>4805</v>
      </c>
      <c r="I3625">
        <v>13.99</v>
      </c>
      <c r="J3625">
        <v>2</v>
      </c>
      <c r="K3625">
        <v>1.23</v>
      </c>
      <c r="L3625">
        <v>0</v>
      </c>
      <c r="M3625" t="s">
        <v>4809</v>
      </c>
      <c r="N3625" t="s">
        <v>4900</v>
      </c>
      <c r="O3625" t="s">
        <v>4912</v>
      </c>
    </row>
    <row r="3626" spans="1:15" x14ac:dyDescent="0.35">
      <c r="A3626" t="s">
        <v>3574</v>
      </c>
      <c r="B3626">
        <v>34</v>
      </c>
      <c r="C3626" t="s">
        <v>4803</v>
      </c>
      <c r="D3626" t="s">
        <v>15</v>
      </c>
      <c r="E3626">
        <v>70</v>
      </c>
      <c r="F3626">
        <v>2</v>
      </c>
      <c r="G3626" t="s">
        <v>4797</v>
      </c>
      <c r="H3626" t="s">
        <v>4805</v>
      </c>
      <c r="I3626">
        <v>17.989999999999998</v>
      </c>
      <c r="J3626">
        <v>2</v>
      </c>
      <c r="K3626">
        <v>2.33</v>
      </c>
      <c r="L3626">
        <v>0</v>
      </c>
      <c r="M3626" t="s">
        <v>4809</v>
      </c>
      <c r="N3626" t="s">
        <v>4900</v>
      </c>
      <c r="O3626" t="s">
        <v>4912</v>
      </c>
    </row>
    <row r="3627" spans="1:15" x14ac:dyDescent="0.35">
      <c r="A3627" t="s">
        <v>3575</v>
      </c>
      <c r="B3627">
        <v>31</v>
      </c>
      <c r="C3627" t="s">
        <v>4803</v>
      </c>
      <c r="D3627" t="s">
        <v>13</v>
      </c>
      <c r="E3627">
        <v>71</v>
      </c>
      <c r="F3627">
        <v>59</v>
      </c>
      <c r="G3627" t="s">
        <v>4799</v>
      </c>
      <c r="H3627" t="s">
        <v>4805</v>
      </c>
      <c r="I3627">
        <v>13.99</v>
      </c>
      <c r="J3627">
        <v>4</v>
      </c>
      <c r="K3627">
        <v>2.37</v>
      </c>
      <c r="L3627">
        <v>0</v>
      </c>
      <c r="M3627" t="s">
        <v>4809</v>
      </c>
      <c r="N3627" t="s">
        <v>4900</v>
      </c>
      <c r="O3627" t="s">
        <v>4912</v>
      </c>
    </row>
    <row r="3628" spans="1:15" x14ac:dyDescent="0.35">
      <c r="A3628" t="s">
        <v>3576</v>
      </c>
      <c r="B3628">
        <v>29</v>
      </c>
      <c r="C3628" t="s">
        <v>4803</v>
      </c>
      <c r="D3628" t="s">
        <v>13</v>
      </c>
      <c r="E3628">
        <v>40</v>
      </c>
      <c r="F3628">
        <v>56</v>
      </c>
      <c r="G3628" t="s">
        <v>4801</v>
      </c>
      <c r="H3628" t="s">
        <v>4805</v>
      </c>
      <c r="I3628">
        <v>13.99</v>
      </c>
      <c r="J3628">
        <v>4</v>
      </c>
      <c r="K3628">
        <v>1.33</v>
      </c>
      <c r="L3628">
        <v>1</v>
      </c>
      <c r="M3628" t="s">
        <v>4808</v>
      </c>
      <c r="N3628" t="s">
        <v>4899</v>
      </c>
      <c r="O3628" t="s">
        <v>4912</v>
      </c>
    </row>
    <row r="3629" spans="1:15" x14ac:dyDescent="0.35">
      <c r="A3629" t="s">
        <v>3577</v>
      </c>
      <c r="B3629">
        <v>30</v>
      </c>
      <c r="C3629" t="s">
        <v>4802</v>
      </c>
      <c r="D3629" t="s">
        <v>13</v>
      </c>
      <c r="E3629">
        <v>53</v>
      </c>
      <c r="F3629" t="s">
        <v>4814</v>
      </c>
      <c r="G3629" t="s">
        <v>4799</v>
      </c>
      <c r="H3629" t="s">
        <v>4804</v>
      </c>
      <c r="I3629">
        <v>13.99</v>
      </c>
      <c r="J3629">
        <v>4</v>
      </c>
      <c r="K3629">
        <v>1.77</v>
      </c>
      <c r="L3629">
        <v>0</v>
      </c>
      <c r="M3629" t="s">
        <v>4810</v>
      </c>
      <c r="N3629" t="s">
        <v>4900</v>
      </c>
      <c r="O3629" t="s">
        <v>4912</v>
      </c>
    </row>
    <row r="3630" spans="1:15" x14ac:dyDescent="0.35">
      <c r="A3630" t="s">
        <v>3578</v>
      </c>
      <c r="B3630">
        <v>58</v>
      </c>
      <c r="C3630" t="s">
        <v>4803</v>
      </c>
      <c r="D3630" t="s">
        <v>13</v>
      </c>
      <c r="E3630">
        <v>67</v>
      </c>
      <c r="F3630">
        <v>33</v>
      </c>
      <c r="G3630" t="s">
        <v>4800</v>
      </c>
      <c r="H3630" t="s">
        <v>4805</v>
      </c>
      <c r="I3630">
        <v>13.99</v>
      </c>
      <c r="J3630">
        <v>1</v>
      </c>
      <c r="K3630">
        <v>2.23</v>
      </c>
      <c r="L3630">
        <v>0</v>
      </c>
      <c r="M3630" t="s">
        <v>4810</v>
      </c>
      <c r="N3630" t="s">
        <v>4900</v>
      </c>
      <c r="O3630" t="s">
        <v>4911</v>
      </c>
    </row>
    <row r="3631" spans="1:15" x14ac:dyDescent="0.35">
      <c r="A3631" t="s">
        <v>3579</v>
      </c>
      <c r="B3631">
        <v>60</v>
      </c>
      <c r="C3631" t="s">
        <v>4802</v>
      </c>
      <c r="D3631" t="s">
        <v>13</v>
      </c>
      <c r="E3631">
        <v>31</v>
      </c>
      <c r="F3631">
        <v>30</v>
      </c>
      <c r="G3631" t="s">
        <v>4798</v>
      </c>
      <c r="H3631" t="s">
        <v>4806</v>
      </c>
      <c r="I3631">
        <v>13.99</v>
      </c>
      <c r="J3631">
        <v>2</v>
      </c>
      <c r="K3631">
        <v>2.0299999999999998</v>
      </c>
      <c r="L3631">
        <v>0</v>
      </c>
      <c r="M3631" t="s">
        <v>4809</v>
      </c>
      <c r="N3631" t="s">
        <v>4900</v>
      </c>
      <c r="O3631" t="s">
        <v>4911</v>
      </c>
    </row>
    <row r="3632" spans="1:15" x14ac:dyDescent="0.35">
      <c r="A3632" t="s">
        <v>3580</v>
      </c>
      <c r="B3632">
        <v>18</v>
      </c>
      <c r="C3632" t="s">
        <v>4802</v>
      </c>
      <c r="D3632" t="s">
        <v>14</v>
      </c>
      <c r="E3632">
        <v>49</v>
      </c>
      <c r="F3632">
        <v>7</v>
      </c>
      <c r="G3632" t="s">
        <v>4798</v>
      </c>
      <c r="H3632" t="s">
        <v>4806</v>
      </c>
      <c r="I3632">
        <v>8.99</v>
      </c>
      <c r="J3632">
        <v>2</v>
      </c>
      <c r="K3632">
        <v>1.63</v>
      </c>
      <c r="L3632">
        <v>0</v>
      </c>
      <c r="M3632" t="s">
        <v>4810</v>
      </c>
      <c r="N3632" t="s">
        <v>4900</v>
      </c>
      <c r="O3632" t="s">
        <v>4912</v>
      </c>
    </row>
    <row r="3633" spans="1:15" x14ac:dyDescent="0.35">
      <c r="A3633" t="s">
        <v>3581</v>
      </c>
      <c r="B3633">
        <v>47</v>
      </c>
      <c r="C3633" t="s">
        <v>4802</v>
      </c>
      <c r="D3633" t="s">
        <v>15</v>
      </c>
      <c r="E3633">
        <v>101</v>
      </c>
      <c r="F3633">
        <v>999</v>
      </c>
      <c r="G3633" t="s">
        <v>4798</v>
      </c>
      <c r="H3633" t="s">
        <v>4807</v>
      </c>
      <c r="I3633">
        <v>17.989999999999998</v>
      </c>
      <c r="J3633">
        <v>2</v>
      </c>
      <c r="K3633">
        <v>3.37</v>
      </c>
      <c r="L3633">
        <v>0</v>
      </c>
      <c r="M3633" t="s">
        <v>4812</v>
      </c>
      <c r="N3633" t="s">
        <v>4900</v>
      </c>
      <c r="O3633" t="s">
        <v>4910</v>
      </c>
    </row>
    <row r="3634" spans="1:15" x14ac:dyDescent="0.35">
      <c r="A3634" t="s">
        <v>3582</v>
      </c>
      <c r="B3634">
        <v>65</v>
      </c>
      <c r="C3634" t="s">
        <v>4803</v>
      </c>
      <c r="D3634" t="s">
        <v>15</v>
      </c>
      <c r="E3634">
        <v>76</v>
      </c>
      <c r="F3634">
        <v>47</v>
      </c>
      <c r="G3634" t="s">
        <v>4797</v>
      </c>
      <c r="H3634" t="s">
        <v>4806</v>
      </c>
      <c r="I3634">
        <v>17.989999999999998</v>
      </c>
      <c r="J3634">
        <v>2</v>
      </c>
      <c r="K3634">
        <v>2.5299999999999998</v>
      </c>
      <c r="L3634">
        <v>0</v>
      </c>
      <c r="M3634" t="s">
        <v>4812</v>
      </c>
      <c r="N3634" t="s">
        <v>4900</v>
      </c>
      <c r="O3634" t="s">
        <v>4911</v>
      </c>
    </row>
    <row r="3635" spans="1:15" x14ac:dyDescent="0.35">
      <c r="A3635" t="s">
        <v>4846</v>
      </c>
      <c r="B3635">
        <v>38</v>
      </c>
      <c r="C3635" t="s">
        <v>4802</v>
      </c>
      <c r="D3635" t="s">
        <v>13</v>
      </c>
      <c r="E3635">
        <v>41</v>
      </c>
      <c r="F3635">
        <v>43</v>
      </c>
      <c r="G3635" t="s">
        <v>4797</v>
      </c>
      <c r="H3635" t="s">
        <v>4804</v>
      </c>
      <c r="I3635">
        <v>13.99</v>
      </c>
      <c r="J3635">
        <v>1</v>
      </c>
      <c r="K3635">
        <v>1.37</v>
      </c>
      <c r="L3635">
        <v>0</v>
      </c>
      <c r="M3635" t="s">
        <v>4808</v>
      </c>
      <c r="N3635" t="s">
        <v>4900</v>
      </c>
      <c r="O3635" t="s">
        <v>4910</v>
      </c>
    </row>
    <row r="3636" spans="1:15" x14ac:dyDescent="0.35">
      <c r="A3636" t="s">
        <v>3583</v>
      </c>
      <c r="B3636">
        <v>48</v>
      </c>
      <c r="C3636" t="s">
        <v>4803</v>
      </c>
      <c r="D3636" t="s">
        <v>13</v>
      </c>
      <c r="E3636">
        <v>56</v>
      </c>
      <c r="F3636">
        <v>48</v>
      </c>
      <c r="G3636" t="s">
        <v>4797</v>
      </c>
      <c r="H3636" t="s">
        <v>4805</v>
      </c>
      <c r="I3636">
        <v>13.99</v>
      </c>
      <c r="J3636">
        <v>2</v>
      </c>
      <c r="K3636">
        <v>5</v>
      </c>
      <c r="L3636">
        <v>0</v>
      </c>
      <c r="M3636" t="s">
        <v>4810</v>
      </c>
      <c r="N3636" t="s">
        <v>4900</v>
      </c>
      <c r="O3636" t="s">
        <v>4910</v>
      </c>
    </row>
    <row r="3637" spans="1:15" x14ac:dyDescent="0.35">
      <c r="A3637" t="s">
        <v>3584</v>
      </c>
      <c r="B3637">
        <v>41</v>
      </c>
      <c r="C3637" t="s">
        <v>4802</v>
      </c>
      <c r="D3637" t="s">
        <v>13</v>
      </c>
      <c r="E3637">
        <v>72</v>
      </c>
      <c r="F3637">
        <v>32</v>
      </c>
      <c r="G3637" t="s">
        <v>4798</v>
      </c>
      <c r="H3637" t="s">
        <v>4805</v>
      </c>
      <c r="I3637">
        <v>13.99</v>
      </c>
      <c r="J3637">
        <v>2</v>
      </c>
      <c r="K3637">
        <v>2.4</v>
      </c>
      <c r="L3637">
        <v>0</v>
      </c>
      <c r="M3637" t="s">
        <v>4810</v>
      </c>
      <c r="N3637" t="s">
        <v>4900</v>
      </c>
      <c r="O3637" t="s">
        <v>4910</v>
      </c>
    </row>
    <row r="3638" spans="1:15" x14ac:dyDescent="0.35">
      <c r="A3638" t="s">
        <v>3585</v>
      </c>
      <c r="B3638">
        <v>57</v>
      </c>
      <c r="C3638" t="s">
        <v>4803</v>
      </c>
      <c r="D3638" t="s">
        <v>15</v>
      </c>
      <c r="E3638">
        <v>109</v>
      </c>
      <c r="F3638">
        <v>30</v>
      </c>
      <c r="G3638" t="s">
        <v>4798</v>
      </c>
      <c r="H3638" t="s">
        <v>4805</v>
      </c>
      <c r="I3638">
        <v>17.989999999999998</v>
      </c>
      <c r="J3638">
        <v>5</v>
      </c>
      <c r="K3638">
        <v>3.63</v>
      </c>
      <c r="L3638">
        <v>0</v>
      </c>
      <c r="M3638" t="s">
        <v>4808</v>
      </c>
      <c r="N3638" t="s">
        <v>4900</v>
      </c>
      <c r="O3638" t="s">
        <v>4911</v>
      </c>
    </row>
    <row r="3639" spans="1:15" x14ac:dyDescent="0.35">
      <c r="A3639" t="s">
        <v>3586</v>
      </c>
      <c r="B3639">
        <v>42</v>
      </c>
      <c r="C3639" t="s">
        <v>4803</v>
      </c>
      <c r="D3639" t="s">
        <v>13</v>
      </c>
      <c r="E3639">
        <v>70</v>
      </c>
      <c r="F3639">
        <v>60</v>
      </c>
      <c r="G3639" t="s">
        <v>4799</v>
      </c>
      <c r="H3639" t="s">
        <v>4804</v>
      </c>
      <c r="I3639">
        <v>13.99</v>
      </c>
      <c r="J3639">
        <v>1</v>
      </c>
      <c r="K3639">
        <v>2.33</v>
      </c>
      <c r="L3639">
        <v>0</v>
      </c>
      <c r="M3639" t="s">
        <v>4808</v>
      </c>
      <c r="N3639" t="s">
        <v>4900</v>
      </c>
      <c r="O3639" t="s">
        <v>4910</v>
      </c>
    </row>
    <row r="3640" spans="1:15" x14ac:dyDescent="0.35">
      <c r="A3640" t="s">
        <v>3587</v>
      </c>
      <c r="B3640">
        <v>52</v>
      </c>
      <c r="C3640" t="s">
        <v>4803</v>
      </c>
      <c r="D3640" t="s">
        <v>13</v>
      </c>
      <c r="E3640">
        <v>60</v>
      </c>
      <c r="F3640">
        <v>51</v>
      </c>
      <c r="G3640" t="s">
        <v>4798</v>
      </c>
      <c r="H3640" t="s">
        <v>4804</v>
      </c>
      <c r="I3640">
        <v>13.99</v>
      </c>
      <c r="J3640">
        <v>1</v>
      </c>
      <c r="K3640">
        <v>2</v>
      </c>
      <c r="L3640">
        <v>0</v>
      </c>
      <c r="M3640" t="s">
        <v>4809</v>
      </c>
      <c r="N3640" t="s">
        <v>4900</v>
      </c>
      <c r="O3640" t="s">
        <v>4910</v>
      </c>
    </row>
    <row r="3641" spans="1:15" x14ac:dyDescent="0.35">
      <c r="A3641" t="s">
        <v>3588</v>
      </c>
      <c r="B3641">
        <v>35</v>
      </c>
      <c r="C3641" t="s">
        <v>4803</v>
      </c>
      <c r="D3641" t="s">
        <v>15</v>
      </c>
      <c r="E3641">
        <v>58</v>
      </c>
      <c r="F3641">
        <v>2</v>
      </c>
      <c r="G3641" t="s">
        <v>4797</v>
      </c>
      <c r="H3641" t="s">
        <v>4804</v>
      </c>
      <c r="I3641">
        <v>17.989999999999998</v>
      </c>
      <c r="J3641">
        <v>5</v>
      </c>
      <c r="K3641">
        <v>1.93</v>
      </c>
      <c r="L3641">
        <v>0</v>
      </c>
      <c r="M3641" t="s">
        <v>4810</v>
      </c>
      <c r="N3641" t="s">
        <v>4900</v>
      </c>
      <c r="O3641" t="s">
        <v>4910</v>
      </c>
    </row>
    <row r="3642" spans="1:15" x14ac:dyDescent="0.35">
      <c r="A3642" t="s">
        <v>3589</v>
      </c>
      <c r="B3642">
        <v>20</v>
      </c>
      <c r="C3642" t="s">
        <v>4802</v>
      </c>
      <c r="D3642" t="s">
        <v>13</v>
      </c>
      <c r="E3642">
        <v>61</v>
      </c>
      <c r="F3642">
        <v>29</v>
      </c>
      <c r="G3642" t="s">
        <v>4797</v>
      </c>
      <c r="H3642" t="s">
        <v>4805</v>
      </c>
      <c r="I3642">
        <v>13.99</v>
      </c>
      <c r="J3642">
        <v>1</v>
      </c>
      <c r="K3642">
        <v>2.0299999999999998</v>
      </c>
      <c r="L3642">
        <v>0</v>
      </c>
      <c r="M3642" t="s">
        <v>4810</v>
      </c>
      <c r="N3642" t="s">
        <v>4900</v>
      </c>
      <c r="O3642" t="s">
        <v>4912</v>
      </c>
    </row>
    <row r="3643" spans="1:15" x14ac:dyDescent="0.35">
      <c r="A3643" t="s">
        <v>3590</v>
      </c>
      <c r="B3643">
        <v>56</v>
      </c>
      <c r="C3643" t="s">
        <v>4802</v>
      </c>
      <c r="D3643" t="s">
        <v>13</v>
      </c>
      <c r="E3643">
        <v>75</v>
      </c>
      <c r="F3643">
        <v>8</v>
      </c>
      <c r="G3643" t="s">
        <v>4797</v>
      </c>
      <c r="H3643" t="s">
        <v>4804</v>
      </c>
      <c r="I3643">
        <v>13.99</v>
      </c>
      <c r="J3643">
        <v>2</v>
      </c>
      <c r="K3643">
        <v>2.5</v>
      </c>
      <c r="L3643">
        <v>0</v>
      </c>
      <c r="M3643" t="s">
        <v>4810</v>
      </c>
      <c r="N3643" t="s">
        <v>4900</v>
      </c>
      <c r="O3643" t="s">
        <v>4911</v>
      </c>
    </row>
    <row r="3644" spans="1:15" x14ac:dyDescent="0.35">
      <c r="A3644" t="s">
        <v>3591</v>
      </c>
      <c r="B3644">
        <v>65</v>
      </c>
      <c r="C3644" t="s">
        <v>4802</v>
      </c>
      <c r="D3644" t="s">
        <v>13</v>
      </c>
      <c r="E3644">
        <v>70</v>
      </c>
      <c r="F3644">
        <v>1</v>
      </c>
      <c r="G3644" t="s">
        <v>4798</v>
      </c>
      <c r="H3644" t="s">
        <v>4805</v>
      </c>
      <c r="I3644">
        <v>13.99</v>
      </c>
      <c r="J3644">
        <v>3</v>
      </c>
      <c r="K3644">
        <v>2.33</v>
      </c>
      <c r="L3644">
        <v>0</v>
      </c>
      <c r="M3644" t="s">
        <v>4811</v>
      </c>
      <c r="N3644" t="s">
        <v>4900</v>
      </c>
      <c r="O3644" t="s">
        <v>4911</v>
      </c>
    </row>
    <row r="3645" spans="1:15" x14ac:dyDescent="0.35">
      <c r="A3645" t="s">
        <v>3592</v>
      </c>
      <c r="B3645">
        <v>24</v>
      </c>
      <c r="C3645" t="s">
        <v>4803</v>
      </c>
      <c r="D3645" t="s">
        <v>13</v>
      </c>
      <c r="E3645">
        <v>57</v>
      </c>
      <c r="F3645">
        <v>60</v>
      </c>
      <c r="G3645" t="s">
        <v>4799</v>
      </c>
      <c r="H3645" t="s">
        <v>4806</v>
      </c>
      <c r="I3645">
        <v>13.99</v>
      </c>
      <c r="J3645">
        <v>2</v>
      </c>
      <c r="K3645">
        <v>1.9</v>
      </c>
      <c r="L3645">
        <v>0</v>
      </c>
      <c r="M3645" t="s">
        <v>4810</v>
      </c>
      <c r="N3645" t="s">
        <v>4900</v>
      </c>
      <c r="O3645" t="s">
        <v>4912</v>
      </c>
    </row>
    <row r="3646" spans="1:15" x14ac:dyDescent="0.35">
      <c r="A3646" t="s">
        <v>3593</v>
      </c>
      <c r="B3646">
        <v>40</v>
      </c>
      <c r="C3646" t="s">
        <v>4802</v>
      </c>
      <c r="D3646" t="s">
        <v>13</v>
      </c>
      <c r="E3646">
        <v>62</v>
      </c>
      <c r="F3646">
        <v>59</v>
      </c>
      <c r="G3646" t="s">
        <v>4798</v>
      </c>
      <c r="H3646" t="s">
        <v>4804</v>
      </c>
      <c r="I3646">
        <v>13.99</v>
      </c>
      <c r="J3646">
        <v>3</v>
      </c>
      <c r="K3646">
        <v>2.0699999999999998</v>
      </c>
      <c r="L3646">
        <v>0</v>
      </c>
      <c r="M3646" t="s">
        <v>4808</v>
      </c>
      <c r="N3646" t="s">
        <v>4900</v>
      </c>
      <c r="O3646" t="s">
        <v>4910</v>
      </c>
    </row>
    <row r="3647" spans="1:15" x14ac:dyDescent="0.35">
      <c r="A3647" t="s">
        <v>3594</v>
      </c>
      <c r="B3647">
        <v>54</v>
      </c>
      <c r="C3647" t="s">
        <v>4803</v>
      </c>
      <c r="D3647" t="s">
        <v>13</v>
      </c>
      <c r="E3647">
        <v>72</v>
      </c>
      <c r="F3647">
        <v>999</v>
      </c>
      <c r="G3647" t="s">
        <v>4799</v>
      </c>
      <c r="H3647" t="s">
        <v>4805</v>
      </c>
      <c r="I3647">
        <v>13.99</v>
      </c>
      <c r="J3647">
        <v>1</v>
      </c>
      <c r="K3647">
        <v>2.4</v>
      </c>
      <c r="L3647">
        <v>0</v>
      </c>
      <c r="M3647" t="s">
        <v>4810</v>
      </c>
      <c r="N3647" t="s">
        <v>4900</v>
      </c>
      <c r="O3647" t="s">
        <v>4910</v>
      </c>
    </row>
    <row r="3648" spans="1:15" x14ac:dyDescent="0.35">
      <c r="A3648" t="s">
        <v>3595</v>
      </c>
      <c r="B3648">
        <v>54</v>
      </c>
      <c r="C3648" t="s">
        <v>4803</v>
      </c>
      <c r="D3648" t="s">
        <v>13</v>
      </c>
      <c r="E3648">
        <v>47</v>
      </c>
      <c r="F3648">
        <v>40</v>
      </c>
      <c r="G3648" t="s">
        <v>4798</v>
      </c>
      <c r="H3648" t="s">
        <v>4807</v>
      </c>
      <c r="I3648">
        <v>13.99</v>
      </c>
      <c r="J3648">
        <v>1</v>
      </c>
      <c r="K3648">
        <v>1.57</v>
      </c>
      <c r="L3648">
        <v>0</v>
      </c>
      <c r="M3648" t="s">
        <v>4811</v>
      </c>
      <c r="N3648" t="s">
        <v>4900</v>
      </c>
      <c r="O3648" t="s">
        <v>4910</v>
      </c>
    </row>
    <row r="3649" spans="1:15" x14ac:dyDescent="0.35">
      <c r="A3649" t="s">
        <v>3596</v>
      </c>
      <c r="B3649">
        <v>20</v>
      </c>
      <c r="C3649" t="s">
        <v>4803</v>
      </c>
      <c r="D3649" t="s">
        <v>15</v>
      </c>
      <c r="E3649">
        <v>109</v>
      </c>
      <c r="F3649">
        <v>0</v>
      </c>
      <c r="G3649" t="s">
        <v>4798</v>
      </c>
      <c r="H3649" t="s">
        <v>4805</v>
      </c>
      <c r="I3649">
        <v>17.989999999999998</v>
      </c>
      <c r="J3649">
        <v>2</v>
      </c>
      <c r="K3649">
        <v>3.63</v>
      </c>
      <c r="L3649">
        <v>0</v>
      </c>
      <c r="M3649" t="s">
        <v>4810</v>
      </c>
      <c r="N3649" t="s">
        <v>4900</v>
      </c>
      <c r="O3649" t="s">
        <v>4912</v>
      </c>
    </row>
    <row r="3650" spans="1:15" x14ac:dyDescent="0.35">
      <c r="A3650" t="s">
        <v>3597</v>
      </c>
      <c r="B3650">
        <v>22</v>
      </c>
      <c r="C3650" t="s">
        <v>4803</v>
      </c>
      <c r="D3650" t="s">
        <v>14</v>
      </c>
      <c r="E3650">
        <v>38</v>
      </c>
      <c r="F3650">
        <v>45</v>
      </c>
      <c r="G3650" t="s">
        <v>4797</v>
      </c>
      <c r="H3650" t="s">
        <v>4805</v>
      </c>
      <c r="I3650">
        <v>8.99</v>
      </c>
      <c r="J3650">
        <v>2</v>
      </c>
      <c r="K3650">
        <v>5</v>
      </c>
      <c r="L3650">
        <v>1</v>
      </c>
      <c r="M3650" t="s">
        <v>4811</v>
      </c>
      <c r="N3650" t="s">
        <v>4899</v>
      </c>
      <c r="O3650" t="s">
        <v>4912</v>
      </c>
    </row>
    <row r="3651" spans="1:15" x14ac:dyDescent="0.35">
      <c r="A3651" t="s">
        <v>3598</v>
      </c>
      <c r="B3651">
        <v>63</v>
      </c>
      <c r="C3651" t="s">
        <v>4802</v>
      </c>
      <c r="D3651" t="s">
        <v>13</v>
      </c>
      <c r="E3651">
        <v>68</v>
      </c>
      <c r="F3651">
        <v>41</v>
      </c>
      <c r="G3651" t="s">
        <v>4797</v>
      </c>
      <c r="H3651" t="s">
        <v>4804</v>
      </c>
      <c r="I3651">
        <v>13.99</v>
      </c>
      <c r="J3651">
        <v>4</v>
      </c>
      <c r="K3651">
        <v>2.27</v>
      </c>
      <c r="L3651">
        <v>0</v>
      </c>
      <c r="M3651" t="s">
        <v>4812</v>
      </c>
      <c r="N3651" t="s">
        <v>4900</v>
      </c>
      <c r="O3651" t="s">
        <v>4911</v>
      </c>
    </row>
    <row r="3652" spans="1:15" x14ac:dyDescent="0.35">
      <c r="A3652" t="s">
        <v>3599</v>
      </c>
      <c r="B3652">
        <v>59</v>
      </c>
      <c r="C3652" t="s">
        <v>4803</v>
      </c>
      <c r="D3652" t="s">
        <v>15</v>
      </c>
      <c r="E3652">
        <v>120</v>
      </c>
      <c r="F3652">
        <v>0</v>
      </c>
      <c r="G3652" t="s">
        <v>4797</v>
      </c>
      <c r="H3652" t="s">
        <v>4805</v>
      </c>
      <c r="I3652">
        <v>17.989999999999998</v>
      </c>
      <c r="J3652">
        <v>5</v>
      </c>
      <c r="K3652">
        <v>4</v>
      </c>
      <c r="L3652">
        <v>0</v>
      </c>
      <c r="M3652" t="s">
        <v>4809</v>
      </c>
      <c r="N3652" t="s">
        <v>4900</v>
      </c>
      <c r="O3652" t="s">
        <v>4911</v>
      </c>
    </row>
    <row r="3653" spans="1:15" x14ac:dyDescent="0.35">
      <c r="A3653" t="s">
        <v>3600</v>
      </c>
      <c r="B3653">
        <v>50</v>
      </c>
      <c r="C3653" t="s">
        <v>4802</v>
      </c>
      <c r="D3653" t="s">
        <v>13</v>
      </c>
      <c r="E3653">
        <v>46</v>
      </c>
      <c r="F3653">
        <v>7</v>
      </c>
      <c r="G3653" t="s">
        <v>4797</v>
      </c>
      <c r="H3653" t="s">
        <v>4805</v>
      </c>
      <c r="I3653">
        <v>13.99</v>
      </c>
      <c r="J3653">
        <v>4</v>
      </c>
      <c r="K3653">
        <v>1.53</v>
      </c>
      <c r="L3653">
        <v>0</v>
      </c>
      <c r="M3653" t="s">
        <v>4808</v>
      </c>
      <c r="N3653" t="s">
        <v>4900</v>
      </c>
      <c r="O3653" t="s">
        <v>4910</v>
      </c>
    </row>
    <row r="3654" spans="1:15" x14ac:dyDescent="0.35">
      <c r="A3654" t="s">
        <v>3601</v>
      </c>
      <c r="B3654">
        <v>31</v>
      </c>
      <c r="C3654" t="s">
        <v>4802</v>
      </c>
      <c r="D3654" t="s">
        <v>13</v>
      </c>
      <c r="E3654">
        <v>66</v>
      </c>
      <c r="F3654">
        <v>42</v>
      </c>
      <c r="G3654" t="s">
        <v>4798</v>
      </c>
      <c r="H3654" t="s">
        <v>4805</v>
      </c>
      <c r="I3654">
        <v>13.99</v>
      </c>
      <c r="J3654">
        <v>1</v>
      </c>
      <c r="K3654">
        <v>2.2000000000000002</v>
      </c>
      <c r="L3654">
        <v>0</v>
      </c>
      <c r="M3654" t="s">
        <v>4809</v>
      </c>
      <c r="N3654" t="s">
        <v>4900</v>
      </c>
      <c r="O3654" t="s">
        <v>4912</v>
      </c>
    </row>
    <row r="3655" spans="1:15" x14ac:dyDescent="0.35">
      <c r="A3655" t="s">
        <v>3602</v>
      </c>
      <c r="B3655">
        <v>55</v>
      </c>
      <c r="C3655" t="s">
        <v>4803</v>
      </c>
      <c r="D3655" t="s">
        <v>13</v>
      </c>
      <c r="E3655">
        <v>39</v>
      </c>
      <c r="F3655">
        <v>26</v>
      </c>
      <c r="G3655" t="s">
        <v>4799</v>
      </c>
      <c r="H3655" t="s">
        <v>4805</v>
      </c>
      <c r="I3655">
        <v>13.99</v>
      </c>
      <c r="J3655">
        <v>1</v>
      </c>
      <c r="K3655">
        <v>1.3</v>
      </c>
      <c r="L3655">
        <v>0</v>
      </c>
      <c r="M3655" t="s">
        <v>4810</v>
      </c>
      <c r="N3655" t="s">
        <v>4900</v>
      </c>
      <c r="O3655" t="s">
        <v>4911</v>
      </c>
    </row>
    <row r="3656" spans="1:15" x14ac:dyDescent="0.35">
      <c r="A3656" t="s">
        <v>3603</v>
      </c>
      <c r="B3656">
        <v>27</v>
      </c>
      <c r="C3656" t="s">
        <v>4802</v>
      </c>
      <c r="D3656" t="s">
        <v>13</v>
      </c>
      <c r="E3656">
        <v>45</v>
      </c>
      <c r="F3656">
        <v>19</v>
      </c>
      <c r="G3656" t="s">
        <v>4798</v>
      </c>
      <c r="H3656" t="s">
        <v>4805</v>
      </c>
      <c r="I3656">
        <v>13.99</v>
      </c>
      <c r="J3656">
        <v>3</v>
      </c>
      <c r="K3656">
        <v>1.5</v>
      </c>
      <c r="L3656">
        <v>0</v>
      </c>
      <c r="M3656" t="s">
        <v>4810</v>
      </c>
      <c r="N3656" t="s">
        <v>4900</v>
      </c>
      <c r="O3656" t="s">
        <v>4912</v>
      </c>
    </row>
    <row r="3657" spans="1:15" x14ac:dyDescent="0.35">
      <c r="A3657" t="s">
        <v>3604</v>
      </c>
      <c r="B3657">
        <v>41</v>
      </c>
      <c r="C3657" t="s">
        <v>4803</v>
      </c>
      <c r="D3657" t="s">
        <v>13</v>
      </c>
      <c r="E3657">
        <v>47</v>
      </c>
      <c r="F3657">
        <v>31</v>
      </c>
      <c r="G3657" t="s">
        <v>4798</v>
      </c>
      <c r="H3657" t="s">
        <v>4805</v>
      </c>
      <c r="I3657">
        <v>13.99</v>
      </c>
      <c r="J3657">
        <v>2</v>
      </c>
      <c r="K3657">
        <v>5</v>
      </c>
      <c r="L3657">
        <v>0</v>
      </c>
      <c r="M3657" t="s">
        <v>4811</v>
      </c>
      <c r="N3657" t="s">
        <v>4900</v>
      </c>
      <c r="O3657" t="s">
        <v>4910</v>
      </c>
    </row>
    <row r="3658" spans="1:15" x14ac:dyDescent="0.35">
      <c r="A3658" t="s">
        <v>3605</v>
      </c>
      <c r="B3658">
        <v>65</v>
      </c>
      <c r="C3658" t="s">
        <v>4802</v>
      </c>
      <c r="D3658" t="s">
        <v>13</v>
      </c>
      <c r="E3658">
        <v>41</v>
      </c>
      <c r="F3658">
        <v>999</v>
      </c>
      <c r="G3658" t="s">
        <v>4799</v>
      </c>
      <c r="H3658" t="s">
        <v>4805</v>
      </c>
      <c r="I3658">
        <v>13.99</v>
      </c>
      <c r="J3658">
        <v>3</v>
      </c>
      <c r="K3658">
        <v>5</v>
      </c>
      <c r="L3658">
        <v>0</v>
      </c>
      <c r="M3658" t="s">
        <v>4810</v>
      </c>
      <c r="N3658" t="s">
        <v>4900</v>
      </c>
      <c r="O3658" t="s">
        <v>4911</v>
      </c>
    </row>
    <row r="3659" spans="1:15" x14ac:dyDescent="0.35">
      <c r="A3659" t="s">
        <v>3606</v>
      </c>
      <c r="B3659">
        <v>45</v>
      </c>
      <c r="C3659" t="s">
        <v>4803</v>
      </c>
      <c r="D3659" t="s">
        <v>15</v>
      </c>
      <c r="E3659">
        <v>55</v>
      </c>
      <c r="F3659">
        <v>48</v>
      </c>
      <c r="G3659" t="s">
        <v>4798</v>
      </c>
      <c r="H3659" t="s">
        <v>4806</v>
      </c>
      <c r="I3659">
        <v>17.989999999999998</v>
      </c>
      <c r="J3659">
        <v>4</v>
      </c>
      <c r="K3659">
        <v>1.83</v>
      </c>
      <c r="L3659">
        <v>0</v>
      </c>
      <c r="M3659" t="s">
        <v>4811</v>
      </c>
      <c r="N3659" t="s">
        <v>4900</v>
      </c>
      <c r="O3659" t="s">
        <v>4910</v>
      </c>
    </row>
    <row r="3660" spans="1:15" x14ac:dyDescent="0.35">
      <c r="A3660" t="s">
        <v>3607</v>
      </c>
      <c r="B3660">
        <v>26</v>
      </c>
      <c r="C3660" t="s">
        <v>4802</v>
      </c>
      <c r="D3660" t="s">
        <v>15</v>
      </c>
      <c r="E3660">
        <v>53</v>
      </c>
      <c r="F3660">
        <v>36</v>
      </c>
      <c r="G3660" t="s">
        <v>4797</v>
      </c>
      <c r="H3660" t="s">
        <v>4805</v>
      </c>
      <c r="I3660">
        <v>17.989999999999998</v>
      </c>
      <c r="J3660">
        <v>4</v>
      </c>
      <c r="K3660">
        <v>1.77</v>
      </c>
      <c r="L3660">
        <v>0</v>
      </c>
      <c r="M3660" t="s">
        <v>4809</v>
      </c>
      <c r="N3660" t="s">
        <v>4900</v>
      </c>
      <c r="O3660" t="s">
        <v>4912</v>
      </c>
    </row>
    <row r="3661" spans="1:15" x14ac:dyDescent="0.35">
      <c r="A3661" t="s">
        <v>3608</v>
      </c>
      <c r="B3661">
        <v>42</v>
      </c>
      <c r="C3661" t="s">
        <v>4803</v>
      </c>
      <c r="D3661" t="s">
        <v>13</v>
      </c>
      <c r="E3661">
        <v>39</v>
      </c>
      <c r="F3661">
        <v>27</v>
      </c>
      <c r="G3661" t="s">
        <v>4799</v>
      </c>
      <c r="H3661" t="s">
        <v>4804</v>
      </c>
      <c r="I3661">
        <v>13.99</v>
      </c>
      <c r="J3661">
        <v>2</v>
      </c>
      <c r="K3661">
        <v>1.3</v>
      </c>
      <c r="L3661">
        <v>1</v>
      </c>
      <c r="M3661" t="s">
        <v>4809</v>
      </c>
      <c r="N3661" t="s">
        <v>4899</v>
      </c>
      <c r="O3661" t="s">
        <v>4910</v>
      </c>
    </row>
    <row r="3662" spans="1:15" x14ac:dyDescent="0.35">
      <c r="A3662" t="s">
        <v>3609</v>
      </c>
      <c r="B3662">
        <v>31</v>
      </c>
      <c r="C3662" t="s">
        <v>4802</v>
      </c>
      <c r="D3662" t="s">
        <v>13</v>
      </c>
      <c r="E3662">
        <v>45</v>
      </c>
      <c r="F3662">
        <v>10</v>
      </c>
      <c r="G3662" t="s">
        <v>4799</v>
      </c>
      <c r="H3662" t="s">
        <v>4804</v>
      </c>
      <c r="I3662">
        <v>13.99</v>
      </c>
      <c r="J3662">
        <v>1</v>
      </c>
      <c r="K3662">
        <v>1.5</v>
      </c>
      <c r="L3662">
        <v>0</v>
      </c>
      <c r="M3662" t="s">
        <v>4810</v>
      </c>
      <c r="N3662" t="s">
        <v>4900</v>
      </c>
      <c r="O3662" t="s">
        <v>4912</v>
      </c>
    </row>
    <row r="3663" spans="1:15" x14ac:dyDescent="0.35">
      <c r="A3663" t="s">
        <v>3610</v>
      </c>
      <c r="B3663">
        <v>38</v>
      </c>
      <c r="C3663" t="s">
        <v>4803</v>
      </c>
      <c r="D3663" t="s">
        <v>13</v>
      </c>
      <c r="E3663">
        <v>37</v>
      </c>
      <c r="F3663">
        <v>45</v>
      </c>
      <c r="G3663" t="s">
        <v>4798</v>
      </c>
      <c r="H3663" t="s">
        <v>4804</v>
      </c>
      <c r="I3663">
        <v>13.99</v>
      </c>
      <c r="J3663">
        <v>2</v>
      </c>
      <c r="K3663">
        <v>1.23</v>
      </c>
      <c r="L3663">
        <v>0</v>
      </c>
      <c r="M3663" t="s">
        <v>4808</v>
      </c>
      <c r="N3663" t="s">
        <v>4900</v>
      </c>
      <c r="O3663" t="s">
        <v>4910</v>
      </c>
    </row>
    <row r="3664" spans="1:15" x14ac:dyDescent="0.35">
      <c r="A3664" t="s">
        <v>3611</v>
      </c>
      <c r="B3664">
        <v>45</v>
      </c>
      <c r="C3664" t="s">
        <v>4803</v>
      </c>
      <c r="D3664" t="s">
        <v>13</v>
      </c>
      <c r="E3664">
        <v>48</v>
      </c>
      <c r="F3664">
        <v>22</v>
      </c>
      <c r="G3664" t="s">
        <v>4798</v>
      </c>
      <c r="H3664" t="s">
        <v>4805</v>
      </c>
      <c r="I3664">
        <v>13.99</v>
      </c>
      <c r="J3664">
        <v>3</v>
      </c>
      <c r="K3664">
        <v>1.6</v>
      </c>
      <c r="L3664">
        <v>0</v>
      </c>
      <c r="M3664" t="s">
        <v>4808</v>
      </c>
      <c r="N3664" t="s">
        <v>4900</v>
      </c>
      <c r="O3664" t="s">
        <v>4910</v>
      </c>
    </row>
    <row r="3665" spans="1:15" x14ac:dyDescent="0.35">
      <c r="A3665" t="s">
        <v>3612</v>
      </c>
      <c r="B3665">
        <v>28</v>
      </c>
      <c r="C3665" t="s">
        <v>4803</v>
      </c>
      <c r="D3665" t="s">
        <v>14</v>
      </c>
      <c r="E3665">
        <v>50</v>
      </c>
      <c r="F3665">
        <v>29</v>
      </c>
      <c r="G3665" t="s">
        <v>4800</v>
      </c>
      <c r="H3665" t="s">
        <v>4805</v>
      </c>
      <c r="I3665">
        <v>8.99</v>
      </c>
      <c r="J3665">
        <v>2</v>
      </c>
      <c r="K3665">
        <v>1.67</v>
      </c>
      <c r="L3665">
        <v>0</v>
      </c>
      <c r="M3665" t="s">
        <v>4810</v>
      </c>
      <c r="N3665" t="s">
        <v>4900</v>
      </c>
      <c r="O3665" t="s">
        <v>4912</v>
      </c>
    </row>
    <row r="3666" spans="1:15" x14ac:dyDescent="0.35">
      <c r="A3666" t="s">
        <v>3613</v>
      </c>
      <c r="B3666">
        <v>29</v>
      </c>
      <c r="C3666" t="s">
        <v>4802</v>
      </c>
      <c r="D3666" t="s">
        <v>13</v>
      </c>
      <c r="E3666">
        <v>68</v>
      </c>
      <c r="F3666">
        <v>43</v>
      </c>
      <c r="G3666" t="s">
        <v>4798</v>
      </c>
      <c r="H3666" t="s">
        <v>4805</v>
      </c>
      <c r="I3666">
        <v>13.99</v>
      </c>
      <c r="J3666">
        <v>2</v>
      </c>
      <c r="K3666">
        <v>2.0299999999999998</v>
      </c>
      <c r="L3666">
        <v>0</v>
      </c>
      <c r="M3666" t="s">
        <v>4810</v>
      </c>
      <c r="N3666" t="s">
        <v>4900</v>
      </c>
      <c r="O3666" t="s">
        <v>4912</v>
      </c>
    </row>
    <row r="3667" spans="1:15" x14ac:dyDescent="0.35">
      <c r="A3667" t="s">
        <v>3614</v>
      </c>
      <c r="B3667">
        <v>37</v>
      </c>
      <c r="C3667" t="s">
        <v>4802</v>
      </c>
      <c r="D3667" t="s">
        <v>13</v>
      </c>
      <c r="E3667">
        <v>62</v>
      </c>
      <c r="F3667">
        <v>13</v>
      </c>
      <c r="G3667" t="s">
        <v>4797</v>
      </c>
      <c r="H3667" t="s">
        <v>4806</v>
      </c>
      <c r="I3667">
        <v>13.99</v>
      </c>
      <c r="J3667">
        <v>1</v>
      </c>
      <c r="K3667">
        <v>2.0699999999999998</v>
      </c>
      <c r="L3667">
        <v>0</v>
      </c>
      <c r="M3667" t="s">
        <v>4808</v>
      </c>
      <c r="N3667" t="s">
        <v>4900</v>
      </c>
      <c r="O3667" t="s">
        <v>4910</v>
      </c>
    </row>
    <row r="3668" spans="1:15" x14ac:dyDescent="0.35">
      <c r="A3668" t="s">
        <v>3615</v>
      </c>
      <c r="B3668">
        <v>60</v>
      </c>
      <c r="C3668" t="s">
        <v>4802</v>
      </c>
      <c r="D3668" t="s">
        <v>13</v>
      </c>
      <c r="E3668">
        <v>69</v>
      </c>
      <c r="F3668">
        <v>51</v>
      </c>
      <c r="G3668" t="s">
        <v>4798</v>
      </c>
      <c r="H3668" t="s">
        <v>4805</v>
      </c>
      <c r="I3668">
        <v>13.99</v>
      </c>
      <c r="J3668">
        <v>2</v>
      </c>
      <c r="K3668">
        <v>2.2999999999999998</v>
      </c>
      <c r="L3668">
        <v>0</v>
      </c>
      <c r="M3668" t="s">
        <v>4810</v>
      </c>
      <c r="N3668" t="s">
        <v>4900</v>
      </c>
      <c r="O3668" t="s">
        <v>4911</v>
      </c>
    </row>
    <row r="3669" spans="1:15" x14ac:dyDescent="0.35">
      <c r="A3669" t="s">
        <v>3616</v>
      </c>
      <c r="B3669">
        <v>62</v>
      </c>
      <c r="C3669" t="s">
        <v>4802</v>
      </c>
      <c r="D3669" t="s">
        <v>13</v>
      </c>
      <c r="E3669">
        <v>61</v>
      </c>
      <c r="F3669">
        <v>40</v>
      </c>
      <c r="G3669" t="s">
        <v>4798</v>
      </c>
      <c r="H3669" t="s">
        <v>4805</v>
      </c>
      <c r="I3669">
        <v>13.99</v>
      </c>
      <c r="J3669">
        <v>3</v>
      </c>
      <c r="K3669">
        <v>2.0299999999999998</v>
      </c>
      <c r="L3669">
        <v>0</v>
      </c>
      <c r="M3669" t="s">
        <v>4811</v>
      </c>
      <c r="N3669" t="s">
        <v>4900</v>
      </c>
      <c r="O3669" t="s">
        <v>4911</v>
      </c>
    </row>
    <row r="3670" spans="1:15" x14ac:dyDescent="0.35">
      <c r="A3670" t="s">
        <v>3617</v>
      </c>
      <c r="B3670">
        <v>28</v>
      </c>
      <c r="C3670" t="s">
        <v>4802</v>
      </c>
      <c r="D3670" t="s">
        <v>13</v>
      </c>
      <c r="E3670">
        <v>58</v>
      </c>
      <c r="F3670">
        <v>38</v>
      </c>
      <c r="G3670" t="s">
        <v>4799</v>
      </c>
      <c r="H3670" t="s">
        <v>4804</v>
      </c>
      <c r="I3670">
        <v>13.99</v>
      </c>
      <c r="J3670">
        <v>2</v>
      </c>
      <c r="K3670">
        <v>1.93</v>
      </c>
      <c r="L3670">
        <v>0</v>
      </c>
      <c r="M3670" t="s">
        <v>4809</v>
      </c>
      <c r="N3670" t="s">
        <v>4900</v>
      </c>
      <c r="O3670" t="s">
        <v>4912</v>
      </c>
    </row>
    <row r="3671" spans="1:15" x14ac:dyDescent="0.35">
      <c r="A3671" t="s">
        <v>3618</v>
      </c>
      <c r="B3671">
        <v>32</v>
      </c>
      <c r="C3671" t="s">
        <v>4803</v>
      </c>
      <c r="D3671" t="s">
        <v>13</v>
      </c>
      <c r="E3671">
        <v>33</v>
      </c>
      <c r="F3671">
        <v>34</v>
      </c>
      <c r="G3671" t="s">
        <v>4798</v>
      </c>
      <c r="H3671" t="s">
        <v>4805</v>
      </c>
      <c r="I3671">
        <v>13.99</v>
      </c>
      <c r="J3671">
        <v>3</v>
      </c>
      <c r="K3671">
        <v>1.1000000000000001</v>
      </c>
      <c r="L3671">
        <v>0</v>
      </c>
      <c r="M3671" t="s">
        <v>4810</v>
      </c>
      <c r="N3671" t="s">
        <v>4900</v>
      </c>
      <c r="O3671" t="s">
        <v>4912</v>
      </c>
    </row>
    <row r="3672" spans="1:15" x14ac:dyDescent="0.35">
      <c r="A3672" t="s">
        <v>3619</v>
      </c>
      <c r="B3672">
        <v>40</v>
      </c>
      <c r="C3672" t="s">
        <v>4802</v>
      </c>
      <c r="D3672" t="s">
        <v>13</v>
      </c>
      <c r="E3672">
        <v>74</v>
      </c>
      <c r="F3672">
        <v>51</v>
      </c>
      <c r="G3672" t="s">
        <v>4799</v>
      </c>
      <c r="H3672" t="s">
        <v>4806</v>
      </c>
      <c r="I3672">
        <v>13.99</v>
      </c>
      <c r="J3672">
        <v>4</v>
      </c>
      <c r="K3672">
        <v>2.4700000000000002</v>
      </c>
      <c r="L3672">
        <v>0</v>
      </c>
      <c r="M3672" t="s">
        <v>4808</v>
      </c>
      <c r="N3672" t="s">
        <v>4900</v>
      </c>
      <c r="O3672" t="s">
        <v>4910</v>
      </c>
    </row>
    <row r="3673" spans="1:15" x14ac:dyDescent="0.35">
      <c r="A3673" t="s">
        <v>3620</v>
      </c>
      <c r="B3673">
        <v>63</v>
      </c>
      <c r="C3673" t="s">
        <v>4803</v>
      </c>
      <c r="D3673" t="s">
        <v>15</v>
      </c>
      <c r="E3673">
        <v>59</v>
      </c>
      <c r="F3673">
        <v>57</v>
      </c>
      <c r="G3673" t="s">
        <v>4797</v>
      </c>
      <c r="H3673" t="s">
        <v>4805</v>
      </c>
      <c r="I3673">
        <v>17.989999999999998</v>
      </c>
      <c r="J3673">
        <v>4</v>
      </c>
      <c r="K3673">
        <v>1.97</v>
      </c>
      <c r="L3673">
        <v>0</v>
      </c>
      <c r="M3673" t="s">
        <v>4809</v>
      </c>
      <c r="N3673" t="s">
        <v>4900</v>
      </c>
      <c r="O3673" t="s">
        <v>4911</v>
      </c>
    </row>
    <row r="3674" spans="1:15" x14ac:dyDescent="0.35">
      <c r="A3674" t="s">
        <v>3621</v>
      </c>
      <c r="B3674">
        <v>53</v>
      </c>
      <c r="C3674" t="s">
        <v>4803</v>
      </c>
      <c r="D3674" t="s">
        <v>13</v>
      </c>
      <c r="E3674">
        <v>74</v>
      </c>
      <c r="F3674">
        <v>5</v>
      </c>
      <c r="G3674" t="s">
        <v>4797</v>
      </c>
      <c r="H3674" t="s">
        <v>4805</v>
      </c>
      <c r="I3674">
        <v>13.99</v>
      </c>
      <c r="J3674">
        <v>4</v>
      </c>
      <c r="K3674">
        <v>2.4700000000000002</v>
      </c>
      <c r="L3674">
        <v>0</v>
      </c>
      <c r="M3674" t="s">
        <v>4808</v>
      </c>
      <c r="N3674" t="s">
        <v>4900</v>
      </c>
      <c r="O3674" t="s">
        <v>4910</v>
      </c>
    </row>
    <row r="3675" spans="1:15" x14ac:dyDescent="0.35">
      <c r="A3675" t="s">
        <v>3622</v>
      </c>
      <c r="B3675">
        <v>30</v>
      </c>
      <c r="C3675" t="s">
        <v>4803</v>
      </c>
      <c r="D3675" t="s">
        <v>13</v>
      </c>
      <c r="E3675">
        <v>55</v>
      </c>
      <c r="F3675">
        <v>47</v>
      </c>
      <c r="G3675" t="s">
        <v>4798</v>
      </c>
      <c r="H3675" t="s">
        <v>4805</v>
      </c>
      <c r="I3675">
        <v>13.99</v>
      </c>
      <c r="J3675">
        <v>1</v>
      </c>
      <c r="K3675">
        <v>1.83</v>
      </c>
      <c r="L3675">
        <v>1</v>
      </c>
      <c r="M3675" t="s">
        <v>4810</v>
      </c>
      <c r="N3675" t="s">
        <v>4899</v>
      </c>
      <c r="O3675" t="s">
        <v>4912</v>
      </c>
    </row>
    <row r="3676" spans="1:15" x14ac:dyDescent="0.35">
      <c r="A3676" t="s">
        <v>3623</v>
      </c>
      <c r="B3676">
        <v>53</v>
      </c>
      <c r="C3676" t="s">
        <v>4803</v>
      </c>
      <c r="D3676" t="s">
        <v>13</v>
      </c>
      <c r="E3676">
        <v>70</v>
      </c>
      <c r="F3676">
        <v>34</v>
      </c>
      <c r="G3676" t="s">
        <v>4799</v>
      </c>
      <c r="H3676" t="s">
        <v>4805</v>
      </c>
      <c r="I3676">
        <v>13.99</v>
      </c>
      <c r="J3676">
        <v>4</v>
      </c>
      <c r="K3676">
        <v>2.33</v>
      </c>
      <c r="L3676">
        <v>0</v>
      </c>
      <c r="M3676" t="s">
        <v>4808</v>
      </c>
      <c r="N3676" t="s">
        <v>4900</v>
      </c>
      <c r="O3676" t="s">
        <v>4910</v>
      </c>
    </row>
    <row r="3677" spans="1:15" x14ac:dyDescent="0.35">
      <c r="A3677" t="s">
        <v>3624</v>
      </c>
      <c r="B3677">
        <v>49</v>
      </c>
      <c r="C3677" t="s">
        <v>4802</v>
      </c>
      <c r="D3677" t="s">
        <v>13</v>
      </c>
      <c r="E3677">
        <v>40</v>
      </c>
      <c r="F3677">
        <v>22</v>
      </c>
      <c r="G3677" t="s">
        <v>4799</v>
      </c>
      <c r="H3677" t="s">
        <v>4806</v>
      </c>
      <c r="I3677">
        <v>13.99</v>
      </c>
      <c r="J3677">
        <v>4</v>
      </c>
      <c r="K3677">
        <v>1.33</v>
      </c>
      <c r="L3677">
        <v>0</v>
      </c>
      <c r="M3677" t="s">
        <v>4811</v>
      </c>
      <c r="N3677" t="s">
        <v>4900</v>
      </c>
      <c r="O3677" t="s">
        <v>4910</v>
      </c>
    </row>
    <row r="3678" spans="1:15" x14ac:dyDescent="0.35">
      <c r="A3678" t="s">
        <v>3625</v>
      </c>
      <c r="B3678">
        <v>30</v>
      </c>
      <c r="C3678" t="s">
        <v>4803</v>
      </c>
      <c r="D3678" t="s">
        <v>13</v>
      </c>
      <c r="E3678">
        <v>36</v>
      </c>
      <c r="F3678">
        <v>1</v>
      </c>
      <c r="G3678" t="s">
        <v>4799</v>
      </c>
      <c r="H3678" t="s">
        <v>4805</v>
      </c>
      <c r="I3678">
        <v>13.99</v>
      </c>
      <c r="J3678">
        <v>3</v>
      </c>
      <c r="K3678">
        <v>1.2</v>
      </c>
      <c r="L3678">
        <v>0</v>
      </c>
      <c r="M3678" t="s">
        <v>4811</v>
      </c>
      <c r="N3678" t="s">
        <v>4900</v>
      </c>
      <c r="O3678" t="s">
        <v>4912</v>
      </c>
    </row>
    <row r="3679" spans="1:15" x14ac:dyDescent="0.35">
      <c r="A3679" t="s">
        <v>3626</v>
      </c>
      <c r="B3679">
        <v>45</v>
      </c>
      <c r="C3679" t="s">
        <v>4802</v>
      </c>
      <c r="D3679" t="s">
        <v>15</v>
      </c>
      <c r="E3679">
        <v>37</v>
      </c>
      <c r="F3679">
        <v>22</v>
      </c>
      <c r="G3679" t="s">
        <v>4797</v>
      </c>
      <c r="H3679" t="s">
        <v>4806</v>
      </c>
      <c r="I3679">
        <v>17.989999999999998</v>
      </c>
      <c r="J3679">
        <v>1</v>
      </c>
      <c r="K3679">
        <v>1.23</v>
      </c>
      <c r="L3679">
        <v>0</v>
      </c>
      <c r="M3679" t="s">
        <v>4808</v>
      </c>
      <c r="N3679" t="s">
        <v>4900</v>
      </c>
      <c r="O3679" t="s">
        <v>4910</v>
      </c>
    </row>
    <row r="3680" spans="1:15" x14ac:dyDescent="0.35">
      <c r="A3680" t="s">
        <v>3627</v>
      </c>
      <c r="B3680">
        <v>42</v>
      </c>
      <c r="C3680" t="s">
        <v>4802</v>
      </c>
      <c r="D3680" t="s">
        <v>13</v>
      </c>
      <c r="E3680">
        <v>56</v>
      </c>
      <c r="F3680">
        <v>19</v>
      </c>
      <c r="G3680" t="s">
        <v>4797</v>
      </c>
      <c r="H3680" t="s">
        <v>4804</v>
      </c>
      <c r="I3680">
        <v>13.99</v>
      </c>
      <c r="J3680">
        <v>4</v>
      </c>
      <c r="K3680">
        <v>2.0299999999999998</v>
      </c>
      <c r="L3680">
        <v>0</v>
      </c>
      <c r="M3680" t="s">
        <v>4808</v>
      </c>
      <c r="N3680" t="s">
        <v>4900</v>
      </c>
      <c r="O3680" t="s">
        <v>4910</v>
      </c>
    </row>
    <row r="3681" spans="1:15" x14ac:dyDescent="0.35">
      <c r="A3681" t="s">
        <v>3628</v>
      </c>
      <c r="B3681">
        <v>43</v>
      </c>
      <c r="C3681" t="s">
        <v>4803</v>
      </c>
      <c r="D3681" t="s">
        <v>13</v>
      </c>
      <c r="E3681">
        <v>51</v>
      </c>
      <c r="F3681">
        <v>50</v>
      </c>
      <c r="G3681" t="s">
        <v>4797</v>
      </c>
      <c r="H3681" t="s">
        <v>4807</v>
      </c>
      <c r="I3681">
        <v>13.99</v>
      </c>
      <c r="J3681">
        <v>2</v>
      </c>
      <c r="K3681">
        <v>1.7</v>
      </c>
      <c r="L3681">
        <v>1</v>
      </c>
      <c r="M3681" t="s">
        <v>4812</v>
      </c>
      <c r="N3681" t="s">
        <v>4899</v>
      </c>
      <c r="O3681" t="s">
        <v>4910</v>
      </c>
    </row>
    <row r="3682" spans="1:15" x14ac:dyDescent="0.35">
      <c r="A3682" t="s">
        <v>3629</v>
      </c>
      <c r="B3682">
        <v>51</v>
      </c>
      <c r="C3682" t="s">
        <v>4803</v>
      </c>
      <c r="D3682" t="s">
        <v>13</v>
      </c>
      <c r="E3682">
        <v>69</v>
      </c>
      <c r="F3682">
        <v>3</v>
      </c>
      <c r="G3682" t="s">
        <v>4798</v>
      </c>
      <c r="H3682" t="s">
        <v>4805</v>
      </c>
      <c r="I3682">
        <v>13.99</v>
      </c>
      <c r="J3682">
        <v>2</v>
      </c>
      <c r="K3682">
        <v>2.2999999999999998</v>
      </c>
      <c r="L3682">
        <v>0</v>
      </c>
      <c r="M3682" t="s">
        <v>4809</v>
      </c>
      <c r="N3682" t="s">
        <v>4900</v>
      </c>
      <c r="O3682" t="s">
        <v>4910</v>
      </c>
    </row>
    <row r="3683" spans="1:15" x14ac:dyDescent="0.35">
      <c r="A3683" t="s">
        <v>3630</v>
      </c>
      <c r="B3683">
        <v>32</v>
      </c>
      <c r="C3683" t="s">
        <v>4803</v>
      </c>
      <c r="D3683" t="s">
        <v>13</v>
      </c>
      <c r="E3683">
        <v>77</v>
      </c>
      <c r="F3683">
        <v>37</v>
      </c>
      <c r="G3683" t="s">
        <v>4797</v>
      </c>
      <c r="H3683" t="s">
        <v>4806</v>
      </c>
      <c r="I3683">
        <v>13.99</v>
      </c>
      <c r="J3683">
        <v>2</v>
      </c>
      <c r="K3683">
        <v>2.57</v>
      </c>
      <c r="L3683">
        <v>1</v>
      </c>
      <c r="M3683" t="s">
        <v>4812</v>
      </c>
      <c r="N3683" t="s">
        <v>4899</v>
      </c>
      <c r="O3683" t="s">
        <v>4912</v>
      </c>
    </row>
    <row r="3684" spans="1:15" x14ac:dyDescent="0.35">
      <c r="A3684" t="s">
        <v>3631</v>
      </c>
      <c r="B3684">
        <v>48</v>
      </c>
      <c r="C3684" t="s">
        <v>4803</v>
      </c>
      <c r="D3684" t="s">
        <v>13</v>
      </c>
      <c r="E3684">
        <v>41</v>
      </c>
      <c r="F3684">
        <v>2</v>
      </c>
      <c r="G3684" t="s">
        <v>4798</v>
      </c>
      <c r="H3684" t="s">
        <v>4804</v>
      </c>
      <c r="I3684">
        <v>13.99</v>
      </c>
      <c r="J3684">
        <v>3</v>
      </c>
      <c r="K3684">
        <v>1.37</v>
      </c>
      <c r="L3684">
        <v>0</v>
      </c>
      <c r="M3684" t="s">
        <v>4811</v>
      </c>
      <c r="N3684" t="s">
        <v>4900</v>
      </c>
      <c r="O3684" t="s">
        <v>4910</v>
      </c>
    </row>
    <row r="3685" spans="1:15" x14ac:dyDescent="0.35">
      <c r="A3685" t="s">
        <v>3632</v>
      </c>
      <c r="B3685">
        <v>25</v>
      </c>
      <c r="C3685" t="s">
        <v>4803</v>
      </c>
      <c r="D3685" t="s">
        <v>13</v>
      </c>
      <c r="E3685">
        <v>60</v>
      </c>
      <c r="F3685">
        <v>32</v>
      </c>
      <c r="G3685" t="s">
        <v>4798</v>
      </c>
      <c r="H3685" t="s">
        <v>4805</v>
      </c>
      <c r="I3685">
        <v>13.99</v>
      </c>
      <c r="J3685">
        <v>3</v>
      </c>
      <c r="K3685">
        <v>2</v>
      </c>
      <c r="L3685">
        <v>0</v>
      </c>
      <c r="M3685" t="s">
        <v>4812</v>
      </c>
      <c r="N3685" t="s">
        <v>4900</v>
      </c>
      <c r="O3685" t="s">
        <v>4912</v>
      </c>
    </row>
    <row r="3686" spans="1:15" x14ac:dyDescent="0.35">
      <c r="A3686" t="s">
        <v>3633</v>
      </c>
      <c r="B3686">
        <v>57</v>
      </c>
      <c r="C3686" t="s">
        <v>4802</v>
      </c>
      <c r="D3686" t="s">
        <v>13</v>
      </c>
      <c r="E3686">
        <v>30</v>
      </c>
      <c r="F3686">
        <v>55</v>
      </c>
      <c r="G3686" t="s">
        <v>4798</v>
      </c>
      <c r="H3686" t="s">
        <v>4805</v>
      </c>
      <c r="I3686">
        <v>13.99</v>
      </c>
      <c r="J3686">
        <v>4</v>
      </c>
      <c r="K3686">
        <v>1</v>
      </c>
      <c r="L3686">
        <v>0</v>
      </c>
      <c r="M3686" t="s">
        <v>4808</v>
      </c>
      <c r="N3686" t="s">
        <v>4900</v>
      </c>
      <c r="O3686" t="s">
        <v>4911</v>
      </c>
    </row>
    <row r="3687" spans="1:15" x14ac:dyDescent="0.35">
      <c r="A3687" t="s">
        <v>3634</v>
      </c>
      <c r="B3687">
        <v>22</v>
      </c>
      <c r="C3687" t="s">
        <v>4803</v>
      </c>
      <c r="D3687" t="s">
        <v>13</v>
      </c>
      <c r="E3687">
        <v>47</v>
      </c>
      <c r="F3687">
        <v>41</v>
      </c>
      <c r="G3687" t="s">
        <v>4798</v>
      </c>
      <c r="H3687" t="s">
        <v>4804</v>
      </c>
      <c r="I3687">
        <v>13.99</v>
      </c>
      <c r="J3687">
        <v>2</v>
      </c>
      <c r="K3687">
        <v>1.57</v>
      </c>
      <c r="L3687">
        <v>0</v>
      </c>
      <c r="M3687" t="s">
        <v>4811</v>
      </c>
      <c r="N3687" t="s">
        <v>4900</v>
      </c>
      <c r="O3687" t="s">
        <v>4912</v>
      </c>
    </row>
    <row r="3688" spans="1:15" x14ac:dyDescent="0.35">
      <c r="A3688" t="s">
        <v>3635</v>
      </c>
      <c r="B3688">
        <v>29</v>
      </c>
      <c r="C3688" t="s">
        <v>4802</v>
      </c>
      <c r="D3688" t="s">
        <v>15</v>
      </c>
      <c r="E3688">
        <v>62</v>
      </c>
      <c r="F3688">
        <v>48</v>
      </c>
      <c r="G3688" t="s">
        <v>4797</v>
      </c>
      <c r="H3688" t="s">
        <v>4804</v>
      </c>
      <c r="I3688">
        <v>17.989999999999998</v>
      </c>
      <c r="J3688">
        <v>4</v>
      </c>
      <c r="K3688">
        <v>2.0699999999999998</v>
      </c>
      <c r="L3688">
        <v>0</v>
      </c>
      <c r="M3688" t="s">
        <v>4808</v>
      </c>
      <c r="N3688" t="s">
        <v>4900</v>
      </c>
      <c r="O3688" t="s">
        <v>4912</v>
      </c>
    </row>
    <row r="3689" spans="1:15" x14ac:dyDescent="0.35">
      <c r="A3689" t="s">
        <v>3636</v>
      </c>
      <c r="B3689">
        <v>46</v>
      </c>
      <c r="C3689" t="s">
        <v>4802</v>
      </c>
      <c r="D3689" t="s">
        <v>13</v>
      </c>
      <c r="E3689">
        <v>79</v>
      </c>
      <c r="F3689">
        <v>41</v>
      </c>
      <c r="G3689" t="s">
        <v>4798</v>
      </c>
      <c r="H3689" t="s">
        <v>4805</v>
      </c>
      <c r="I3689">
        <v>13.99</v>
      </c>
      <c r="J3689">
        <v>2</v>
      </c>
      <c r="K3689">
        <v>2.63</v>
      </c>
      <c r="L3689">
        <v>1</v>
      </c>
      <c r="M3689" t="s">
        <v>4808</v>
      </c>
      <c r="N3689" t="s">
        <v>4899</v>
      </c>
      <c r="O3689" t="s">
        <v>4910</v>
      </c>
    </row>
    <row r="3690" spans="1:15" x14ac:dyDescent="0.35">
      <c r="A3690" t="s">
        <v>3637</v>
      </c>
      <c r="B3690">
        <v>45</v>
      </c>
      <c r="C3690" t="s">
        <v>4803</v>
      </c>
      <c r="D3690" t="s">
        <v>15</v>
      </c>
      <c r="E3690">
        <v>95</v>
      </c>
      <c r="F3690">
        <v>999</v>
      </c>
      <c r="G3690" t="s">
        <v>4798</v>
      </c>
      <c r="H3690" t="s">
        <v>4805</v>
      </c>
      <c r="I3690">
        <v>17.989999999999998</v>
      </c>
      <c r="J3690">
        <v>2</v>
      </c>
      <c r="K3690">
        <v>3.17</v>
      </c>
      <c r="L3690">
        <v>1</v>
      </c>
      <c r="M3690" t="s">
        <v>4808</v>
      </c>
      <c r="N3690" t="s">
        <v>4899</v>
      </c>
      <c r="O3690" t="s">
        <v>4910</v>
      </c>
    </row>
    <row r="3691" spans="1:15" x14ac:dyDescent="0.35">
      <c r="A3691" t="s">
        <v>3638</v>
      </c>
      <c r="B3691">
        <v>50</v>
      </c>
      <c r="C3691" t="s">
        <v>4803</v>
      </c>
      <c r="D3691" t="s">
        <v>13</v>
      </c>
      <c r="E3691">
        <v>45</v>
      </c>
      <c r="F3691">
        <v>35</v>
      </c>
      <c r="G3691" t="s">
        <v>4798</v>
      </c>
      <c r="H3691" t="s">
        <v>4805</v>
      </c>
      <c r="I3691">
        <v>13.99</v>
      </c>
      <c r="J3691">
        <v>2</v>
      </c>
      <c r="K3691">
        <v>1.5</v>
      </c>
      <c r="L3691">
        <v>1</v>
      </c>
      <c r="M3691" t="s">
        <v>4810</v>
      </c>
      <c r="N3691" t="s">
        <v>4899</v>
      </c>
      <c r="O3691" t="s">
        <v>4910</v>
      </c>
    </row>
    <row r="3692" spans="1:15" x14ac:dyDescent="0.35">
      <c r="A3692" t="s">
        <v>3639</v>
      </c>
      <c r="B3692">
        <v>41</v>
      </c>
      <c r="C3692" t="s">
        <v>4803</v>
      </c>
      <c r="D3692" t="s">
        <v>15</v>
      </c>
      <c r="E3692">
        <v>92</v>
      </c>
      <c r="F3692">
        <v>3</v>
      </c>
      <c r="G3692" t="s">
        <v>4800</v>
      </c>
      <c r="H3692" t="s">
        <v>4806</v>
      </c>
      <c r="I3692">
        <v>17.989999999999998</v>
      </c>
      <c r="J3692">
        <v>2</v>
      </c>
      <c r="K3692">
        <v>3.07</v>
      </c>
      <c r="L3692">
        <v>0</v>
      </c>
      <c r="M3692" t="s">
        <v>4809</v>
      </c>
      <c r="N3692" t="s">
        <v>4900</v>
      </c>
      <c r="O3692" t="s">
        <v>4910</v>
      </c>
    </row>
    <row r="3693" spans="1:15" x14ac:dyDescent="0.35">
      <c r="A3693" t="s">
        <v>3640</v>
      </c>
      <c r="B3693">
        <v>42</v>
      </c>
      <c r="C3693" t="s">
        <v>4802</v>
      </c>
      <c r="D3693" t="s">
        <v>14</v>
      </c>
      <c r="E3693">
        <v>36</v>
      </c>
      <c r="F3693">
        <v>16</v>
      </c>
      <c r="G3693" t="s">
        <v>4799</v>
      </c>
      <c r="H3693" t="s">
        <v>4804</v>
      </c>
      <c r="I3693">
        <v>8.99</v>
      </c>
      <c r="J3693">
        <v>1</v>
      </c>
      <c r="K3693">
        <v>1.2</v>
      </c>
      <c r="L3693">
        <v>0</v>
      </c>
      <c r="M3693" t="s">
        <v>4809</v>
      </c>
      <c r="N3693" t="s">
        <v>4900</v>
      </c>
      <c r="O3693" t="s">
        <v>4910</v>
      </c>
    </row>
    <row r="3694" spans="1:15" x14ac:dyDescent="0.35">
      <c r="A3694" t="s">
        <v>3641</v>
      </c>
      <c r="B3694">
        <v>38</v>
      </c>
      <c r="C3694" t="s">
        <v>4802</v>
      </c>
      <c r="D3694" t="s">
        <v>13</v>
      </c>
      <c r="E3694">
        <v>34</v>
      </c>
      <c r="F3694">
        <v>28</v>
      </c>
      <c r="G3694" t="s">
        <v>4797</v>
      </c>
      <c r="H3694" t="s">
        <v>4806</v>
      </c>
      <c r="I3694">
        <v>13.99</v>
      </c>
      <c r="J3694">
        <v>1</v>
      </c>
      <c r="K3694">
        <v>1.1299999999999999</v>
      </c>
      <c r="L3694">
        <v>0</v>
      </c>
      <c r="M3694" t="s">
        <v>4810</v>
      </c>
      <c r="N3694" t="s">
        <v>4900</v>
      </c>
      <c r="O3694" t="s">
        <v>4910</v>
      </c>
    </row>
    <row r="3695" spans="1:15" x14ac:dyDescent="0.35">
      <c r="A3695" t="s">
        <v>3642</v>
      </c>
      <c r="B3695">
        <v>61</v>
      </c>
      <c r="C3695" t="s">
        <v>4803</v>
      </c>
      <c r="D3695" t="s">
        <v>13</v>
      </c>
      <c r="E3695">
        <v>32</v>
      </c>
      <c r="F3695">
        <v>31</v>
      </c>
      <c r="G3695" t="s">
        <v>4797</v>
      </c>
      <c r="H3695" t="s">
        <v>4804</v>
      </c>
      <c r="I3695">
        <v>13.99</v>
      </c>
      <c r="J3695">
        <v>2</v>
      </c>
      <c r="K3695">
        <v>1.07</v>
      </c>
      <c r="L3695">
        <v>1</v>
      </c>
      <c r="M3695" t="s">
        <v>4811</v>
      </c>
      <c r="N3695" t="s">
        <v>4899</v>
      </c>
      <c r="O3695" t="s">
        <v>4911</v>
      </c>
    </row>
    <row r="3696" spans="1:15" x14ac:dyDescent="0.35">
      <c r="A3696" t="s">
        <v>3643</v>
      </c>
      <c r="B3696">
        <v>23</v>
      </c>
      <c r="C3696" t="s">
        <v>4803</v>
      </c>
      <c r="D3696" t="s">
        <v>13</v>
      </c>
      <c r="E3696">
        <v>60</v>
      </c>
      <c r="F3696">
        <v>51</v>
      </c>
      <c r="G3696" t="s">
        <v>4798</v>
      </c>
      <c r="H3696" t="s">
        <v>4805</v>
      </c>
      <c r="I3696">
        <v>13.99</v>
      </c>
      <c r="J3696">
        <v>3</v>
      </c>
      <c r="K3696">
        <v>2</v>
      </c>
      <c r="L3696">
        <v>1</v>
      </c>
      <c r="M3696" t="s">
        <v>4811</v>
      </c>
      <c r="N3696" t="s">
        <v>4899</v>
      </c>
      <c r="O3696" t="s">
        <v>4912</v>
      </c>
    </row>
    <row r="3697" spans="1:15" x14ac:dyDescent="0.35">
      <c r="A3697" t="s">
        <v>3644</v>
      </c>
      <c r="B3697">
        <v>26</v>
      </c>
      <c r="C3697" t="s">
        <v>4802</v>
      </c>
      <c r="D3697" t="s">
        <v>13</v>
      </c>
      <c r="E3697">
        <v>66</v>
      </c>
      <c r="F3697">
        <v>33</v>
      </c>
      <c r="G3697" t="s">
        <v>4799</v>
      </c>
      <c r="H3697" t="s">
        <v>4804</v>
      </c>
      <c r="I3697">
        <v>13.99</v>
      </c>
      <c r="J3697">
        <v>3</v>
      </c>
      <c r="K3697">
        <v>2.2000000000000002</v>
      </c>
      <c r="L3697">
        <v>0</v>
      </c>
      <c r="M3697" t="s">
        <v>4810</v>
      </c>
      <c r="N3697" t="s">
        <v>4900</v>
      </c>
      <c r="O3697" t="s">
        <v>4912</v>
      </c>
    </row>
    <row r="3698" spans="1:15" x14ac:dyDescent="0.35">
      <c r="A3698" t="s">
        <v>3645</v>
      </c>
      <c r="B3698">
        <v>40</v>
      </c>
      <c r="C3698" t="s">
        <v>4802</v>
      </c>
      <c r="D3698" t="s">
        <v>14</v>
      </c>
      <c r="E3698">
        <v>30</v>
      </c>
      <c r="F3698">
        <v>14</v>
      </c>
      <c r="G3698" t="s">
        <v>4799</v>
      </c>
      <c r="H3698" t="s">
        <v>4805</v>
      </c>
      <c r="I3698">
        <v>8.99</v>
      </c>
      <c r="J3698">
        <v>1</v>
      </c>
      <c r="K3698">
        <v>1</v>
      </c>
      <c r="L3698">
        <v>0</v>
      </c>
      <c r="M3698" t="s">
        <v>4808</v>
      </c>
      <c r="N3698" t="s">
        <v>4900</v>
      </c>
      <c r="O3698" t="s">
        <v>4910</v>
      </c>
    </row>
    <row r="3699" spans="1:15" x14ac:dyDescent="0.35">
      <c r="A3699" t="s">
        <v>3646</v>
      </c>
      <c r="B3699">
        <v>59</v>
      </c>
      <c r="C3699" t="s">
        <v>4802</v>
      </c>
      <c r="D3699" t="s">
        <v>15</v>
      </c>
      <c r="E3699">
        <v>31</v>
      </c>
      <c r="F3699">
        <v>29</v>
      </c>
      <c r="G3699" t="s">
        <v>4798</v>
      </c>
      <c r="H3699" t="s">
        <v>4804</v>
      </c>
      <c r="I3699">
        <v>17.989999999999998</v>
      </c>
      <c r="J3699">
        <v>3</v>
      </c>
      <c r="K3699">
        <v>1.03</v>
      </c>
      <c r="L3699">
        <v>0</v>
      </c>
      <c r="M3699" t="s">
        <v>4810</v>
      </c>
      <c r="N3699" t="s">
        <v>4900</v>
      </c>
      <c r="O3699" t="s">
        <v>4911</v>
      </c>
    </row>
    <row r="3700" spans="1:15" x14ac:dyDescent="0.35">
      <c r="A3700" t="s">
        <v>3647</v>
      </c>
      <c r="B3700">
        <v>22</v>
      </c>
      <c r="C3700" t="s">
        <v>4802</v>
      </c>
      <c r="D3700" t="s">
        <v>13</v>
      </c>
      <c r="E3700">
        <v>46</v>
      </c>
      <c r="F3700">
        <v>43</v>
      </c>
      <c r="G3700" t="s">
        <v>4801</v>
      </c>
      <c r="H3700" t="s">
        <v>4805</v>
      </c>
      <c r="I3700">
        <v>13.99</v>
      </c>
      <c r="J3700">
        <v>3</v>
      </c>
      <c r="K3700">
        <v>1.53</v>
      </c>
      <c r="L3700">
        <v>0</v>
      </c>
      <c r="M3700" t="s">
        <v>4811</v>
      </c>
      <c r="N3700" t="s">
        <v>4900</v>
      </c>
      <c r="O3700" t="s">
        <v>4912</v>
      </c>
    </row>
    <row r="3701" spans="1:15" x14ac:dyDescent="0.35">
      <c r="A3701" t="s">
        <v>3648</v>
      </c>
      <c r="B3701">
        <v>65</v>
      </c>
      <c r="C3701" t="s">
        <v>4803</v>
      </c>
      <c r="D3701" t="s">
        <v>15</v>
      </c>
      <c r="E3701">
        <v>72</v>
      </c>
      <c r="F3701">
        <v>56</v>
      </c>
      <c r="G3701" t="s">
        <v>4798</v>
      </c>
      <c r="H3701" t="s">
        <v>4805</v>
      </c>
      <c r="I3701">
        <v>17.989999999999998</v>
      </c>
      <c r="J3701">
        <v>4</v>
      </c>
      <c r="K3701">
        <v>2.4</v>
      </c>
      <c r="L3701">
        <v>0</v>
      </c>
      <c r="M3701" t="s">
        <v>4808</v>
      </c>
      <c r="N3701" t="s">
        <v>4900</v>
      </c>
      <c r="O3701" t="s">
        <v>4911</v>
      </c>
    </row>
    <row r="3702" spans="1:15" x14ac:dyDescent="0.35">
      <c r="A3702" t="s">
        <v>3649</v>
      </c>
      <c r="B3702">
        <v>32</v>
      </c>
      <c r="C3702" t="s">
        <v>4803</v>
      </c>
      <c r="D3702" t="s">
        <v>13</v>
      </c>
      <c r="E3702">
        <v>57</v>
      </c>
      <c r="F3702">
        <v>48</v>
      </c>
      <c r="G3702" t="s">
        <v>4798</v>
      </c>
      <c r="H3702" t="s">
        <v>4805</v>
      </c>
      <c r="I3702">
        <v>13.99</v>
      </c>
      <c r="J3702">
        <v>2</v>
      </c>
      <c r="K3702">
        <v>1.9</v>
      </c>
      <c r="L3702">
        <v>0</v>
      </c>
      <c r="M3702" t="s">
        <v>4811</v>
      </c>
      <c r="N3702" t="s">
        <v>4900</v>
      </c>
      <c r="O3702" t="s">
        <v>4912</v>
      </c>
    </row>
    <row r="3703" spans="1:15" x14ac:dyDescent="0.35">
      <c r="A3703" t="s">
        <v>3650</v>
      </c>
      <c r="B3703">
        <v>42</v>
      </c>
      <c r="C3703" t="s">
        <v>4803</v>
      </c>
      <c r="D3703" t="s">
        <v>13</v>
      </c>
      <c r="E3703">
        <v>43</v>
      </c>
      <c r="F3703">
        <v>24</v>
      </c>
      <c r="G3703" t="s">
        <v>4799</v>
      </c>
      <c r="H3703" t="s">
        <v>4805</v>
      </c>
      <c r="I3703">
        <v>13.99</v>
      </c>
      <c r="J3703">
        <v>4</v>
      </c>
      <c r="K3703">
        <v>1.43</v>
      </c>
      <c r="L3703">
        <v>1</v>
      </c>
      <c r="M3703" t="s">
        <v>4810</v>
      </c>
      <c r="N3703" t="s">
        <v>4899</v>
      </c>
      <c r="O3703" t="s">
        <v>4910</v>
      </c>
    </row>
    <row r="3704" spans="1:15" x14ac:dyDescent="0.35">
      <c r="A3704" t="s">
        <v>4847</v>
      </c>
      <c r="B3704">
        <v>32</v>
      </c>
      <c r="C3704" t="s">
        <v>4802</v>
      </c>
      <c r="D3704" t="s">
        <v>13</v>
      </c>
      <c r="E3704">
        <v>41</v>
      </c>
      <c r="F3704">
        <v>46</v>
      </c>
      <c r="G3704" t="s">
        <v>4800</v>
      </c>
      <c r="H3704" t="s">
        <v>4805</v>
      </c>
      <c r="I3704">
        <v>13.99</v>
      </c>
      <c r="J3704">
        <v>2</v>
      </c>
      <c r="K3704">
        <v>1.37</v>
      </c>
      <c r="L3704">
        <v>1</v>
      </c>
      <c r="M3704" t="s">
        <v>4810</v>
      </c>
      <c r="N3704" t="s">
        <v>4899</v>
      </c>
      <c r="O3704" t="s">
        <v>4912</v>
      </c>
    </row>
    <row r="3705" spans="1:15" x14ac:dyDescent="0.35">
      <c r="A3705" t="s">
        <v>3651</v>
      </c>
      <c r="B3705">
        <v>65</v>
      </c>
      <c r="C3705" t="s">
        <v>4802</v>
      </c>
      <c r="D3705" t="s">
        <v>13</v>
      </c>
      <c r="E3705">
        <v>78</v>
      </c>
      <c r="F3705">
        <v>53</v>
      </c>
      <c r="G3705" t="s">
        <v>4799</v>
      </c>
      <c r="H3705" t="s">
        <v>4805</v>
      </c>
      <c r="I3705">
        <v>13.99</v>
      </c>
      <c r="J3705">
        <v>3</v>
      </c>
      <c r="K3705">
        <v>2.6</v>
      </c>
      <c r="L3705">
        <v>1</v>
      </c>
      <c r="M3705" t="s">
        <v>4809</v>
      </c>
      <c r="N3705" t="s">
        <v>4899</v>
      </c>
      <c r="O3705" t="s">
        <v>4911</v>
      </c>
    </row>
    <row r="3706" spans="1:15" x14ac:dyDescent="0.35">
      <c r="A3706" t="s">
        <v>3652</v>
      </c>
      <c r="B3706">
        <v>50</v>
      </c>
      <c r="C3706" t="s">
        <v>4802</v>
      </c>
      <c r="D3706" t="s">
        <v>15</v>
      </c>
      <c r="E3706">
        <v>55</v>
      </c>
      <c r="F3706">
        <v>13</v>
      </c>
      <c r="G3706" t="s">
        <v>4799</v>
      </c>
      <c r="H3706" t="s">
        <v>4806</v>
      </c>
      <c r="I3706">
        <v>17.989999999999998</v>
      </c>
      <c r="J3706">
        <v>5</v>
      </c>
      <c r="K3706">
        <v>1.83</v>
      </c>
      <c r="L3706">
        <v>0</v>
      </c>
      <c r="M3706" t="s">
        <v>4810</v>
      </c>
      <c r="N3706" t="s">
        <v>4900</v>
      </c>
      <c r="O3706" t="s">
        <v>4910</v>
      </c>
    </row>
    <row r="3707" spans="1:15" x14ac:dyDescent="0.35">
      <c r="A3707" t="s">
        <v>3653</v>
      </c>
      <c r="B3707">
        <v>19</v>
      </c>
      <c r="C3707" t="s">
        <v>4802</v>
      </c>
      <c r="D3707" t="s">
        <v>13</v>
      </c>
      <c r="E3707">
        <v>50</v>
      </c>
      <c r="F3707">
        <v>46</v>
      </c>
      <c r="G3707" t="s">
        <v>4798</v>
      </c>
      <c r="H3707" t="s">
        <v>4805</v>
      </c>
      <c r="I3707">
        <v>13.99</v>
      </c>
      <c r="J3707">
        <v>4</v>
      </c>
      <c r="K3707">
        <v>2.0299999999999998</v>
      </c>
      <c r="L3707">
        <v>1</v>
      </c>
      <c r="M3707" t="s">
        <v>4812</v>
      </c>
      <c r="N3707" t="s">
        <v>4899</v>
      </c>
      <c r="O3707" t="s">
        <v>4912</v>
      </c>
    </row>
    <row r="3708" spans="1:15" x14ac:dyDescent="0.35">
      <c r="A3708" t="s">
        <v>3654</v>
      </c>
      <c r="B3708">
        <v>22</v>
      </c>
      <c r="C3708" t="s">
        <v>4802</v>
      </c>
      <c r="D3708" t="s">
        <v>13</v>
      </c>
      <c r="E3708">
        <v>42</v>
      </c>
      <c r="F3708">
        <v>38</v>
      </c>
      <c r="G3708" t="s">
        <v>4799</v>
      </c>
      <c r="H3708" t="s">
        <v>4805</v>
      </c>
      <c r="I3708">
        <v>13.99</v>
      </c>
      <c r="J3708">
        <v>3</v>
      </c>
      <c r="K3708">
        <v>1.4</v>
      </c>
      <c r="L3708">
        <v>0</v>
      </c>
      <c r="M3708" t="s">
        <v>4808</v>
      </c>
      <c r="N3708" t="s">
        <v>4900</v>
      </c>
      <c r="O3708" t="s">
        <v>4912</v>
      </c>
    </row>
    <row r="3709" spans="1:15" x14ac:dyDescent="0.35">
      <c r="A3709" t="s">
        <v>3655</v>
      </c>
      <c r="B3709">
        <v>35</v>
      </c>
      <c r="C3709" t="s">
        <v>4803</v>
      </c>
      <c r="D3709" t="s">
        <v>14</v>
      </c>
      <c r="E3709">
        <v>24</v>
      </c>
      <c r="F3709">
        <v>30</v>
      </c>
      <c r="G3709" t="s">
        <v>4798</v>
      </c>
      <c r="H3709" t="s">
        <v>4804</v>
      </c>
      <c r="I3709">
        <v>8.99</v>
      </c>
      <c r="J3709">
        <v>1</v>
      </c>
      <c r="K3709">
        <v>2.0299999999999998</v>
      </c>
      <c r="L3709">
        <v>0</v>
      </c>
      <c r="M3709" t="s">
        <v>4809</v>
      </c>
      <c r="N3709" t="s">
        <v>4900</v>
      </c>
      <c r="O3709" t="s">
        <v>4910</v>
      </c>
    </row>
    <row r="3710" spans="1:15" x14ac:dyDescent="0.35">
      <c r="A3710" t="s">
        <v>3656</v>
      </c>
      <c r="B3710">
        <v>22</v>
      </c>
      <c r="C3710" t="s">
        <v>4803</v>
      </c>
      <c r="D3710" t="s">
        <v>13</v>
      </c>
      <c r="E3710">
        <v>35</v>
      </c>
      <c r="F3710">
        <v>13</v>
      </c>
      <c r="G3710" t="s">
        <v>4798</v>
      </c>
      <c r="H3710" t="s">
        <v>4804</v>
      </c>
      <c r="I3710">
        <v>13.99</v>
      </c>
      <c r="J3710">
        <v>3</v>
      </c>
      <c r="K3710">
        <v>1.17</v>
      </c>
      <c r="L3710">
        <v>0</v>
      </c>
      <c r="M3710" t="s">
        <v>4812</v>
      </c>
      <c r="N3710" t="s">
        <v>4900</v>
      </c>
      <c r="O3710" t="s">
        <v>4912</v>
      </c>
    </row>
    <row r="3711" spans="1:15" x14ac:dyDescent="0.35">
      <c r="A3711" t="s">
        <v>3657</v>
      </c>
      <c r="B3711">
        <v>19</v>
      </c>
      <c r="C3711" t="s">
        <v>4802</v>
      </c>
      <c r="D3711" t="s">
        <v>15</v>
      </c>
      <c r="E3711">
        <v>99</v>
      </c>
      <c r="F3711">
        <v>23</v>
      </c>
      <c r="G3711" t="s">
        <v>4799</v>
      </c>
      <c r="H3711" t="s">
        <v>4806</v>
      </c>
      <c r="I3711">
        <v>17.989999999999998</v>
      </c>
      <c r="J3711">
        <v>4</v>
      </c>
      <c r="K3711">
        <v>3.3</v>
      </c>
      <c r="L3711">
        <v>0</v>
      </c>
      <c r="M3711" t="s">
        <v>4808</v>
      </c>
      <c r="N3711" t="s">
        <v>4900</v>
      </c>
      <c r="O3711" t="s">
        <v>4912</v>
      </c>
    </row>
    <row r="3712" spans="1:15" x14ac:dyDescent="0.35">
      <c r="A3712" t="s">
        <v>3658</v>
      </c>
      <c r="B3712">
        <v>30</v>
      </c>
      <c r="C3712" t="s">
        <v>4803</v>
      </c>
      <c r="D3712" t="s">
        <v>13</v>
      </c>
      <c r="E3712">
        <v>77</v>
      </c>
      <c r="F3712">
        <v>14</v>
      </c>
      <c r="G3712" t="s">
        <v>4797</v>
      </c>
      <c r="H3712" t="s">
        <v>4805</v>
      </c>
      <c r="I3712">
        <v>13.99</v>
      </c>
      <c r="J3712">
        <v>2</v>
      </c>
      <c r="K3712">
        <v>2.57</v>
      </c>
      <c r="L3712">
        <v>0</v>
      </c>
      <c r="M3712" t="s">
        <v>4808</v>
      </c>
      <c r="N3712" t="s">
        <v>4900</v>
      </c>
      <c r="O3712" t="s">
        <v>4912</v>
      </c>
    </row>
    <row r="3713" spans="1:15" x14ac:dyDescent="0.35">
      <c r="A3713" t="s">
        <v>3659</v>
      </c>
      <c r="B3713">
        <v>18</v>
      </c>
      <c r="C3713" t="s">
        <v>4802</v>
      </c>
      <c r="D3713" t="s">
        <v>13</v>
      </c>
      <c r="E3713">
        <v>63</v>
      </c>
      <c r="F3713">
        <v>15</v>
      </c>
      <c r="G3713" t="s">
        <v>4799</v>
      </c>
      <c r="H3713" t="s">
        <v>4805</v>
      </c>
      <c r="I3713">
        <v>13.99</v>
      </c>
      <c r="J3713">
        <v>1</v>
      </c>
      <c r="K3713">
        <v>5</v>
      </c>
      <c r="L3713">
        <v>0</v>
      </c>
      <c r="M3713" t="s">
        <v>4810</v>
      </c>
      <c r="N3713" t="s">
        <v>4900</v>
      </c>
      <c r="O3713" t="s">
        <v>4912</v>
      </c>
    </row>
    <row r="3714" spans="1:15" x14ac:dyDescent="0.35">
      <c r="A3714" t="s">
        <v>3660</v>
      </c>
      <c r="B3714">
        <v>36</v>
      </c>
      <c r="C3714" t="s">
        <v>4803</v>
      </c>
      <c r="D3714" t="s">
        <v>15</v>
      </c>
      <c r="E3714">
        <v>82</v>
      </c>
      <c r="F3714">
        <v>29</v>
      </c>
      <c r="G3714" t="s">
        <v>4799</v>
      </c>
      <c r="H3714" t="s">
        <v>4806</v>
      </c>
      <c r="I3714">
        <v>17.989999999999998</v>
      </c>
      <c r="J3714">
        <v>2</v>
      </c>
      <c r="K3714">
        <v>2.73</v>
      </c>
      <c r="L3714">
        <v>0</v>
      </c>
      <c r="M3714" t="s">
        <v>4811</v>
      </c>
      <c r="N3714" t="s">
        <v>4900</v>
      </c>
      <c r="O3714" t="s">
        <v>4910</v>
      </c>
    </row>
    <row r="3715" spans="1:15" x14ac:dyDescent="0.35">
      <c r="A3715" t="s">
        <v>3661</v>
      </c>
      <c r="B3715">
        <v>62</v>
      </c>
      <c r="C3715" t="s">
        <v>4803</v>
      </c>
      <c r="D3715" t="s">
        <v>13</v>
      </c>
      <c r="E3715">
        <v>70</v>
      </c>
      <c r="F3715">
        <v>13</v>
      </c>
      <c r="G3715" t="s">
        <v>4799</v>
      </c>
      <c r="H3715" t="s">
        <v>4806</v>
      </c>
      <c r="I3715">
        <v>13.99</v>
      </c>
      <c r="J3715">
        <v>3</v>
      </c>
      <c r="K3715">
        <v>2.33</v>
      </c>
      <c r="L3715">
        <v>0</v>
      </c>
      <c r="M3715" t="s">
        <v>4808</v>
      </c>
      <c r="N3715" t="s">
        <v>4900</v>
      </c>
      <c r="O3715" t="s">
        <v>4911</v>
      </c>
    </row>
    <row r="3716" spans="1:15" x14ac:dyDescent="0.35">
      <c r="A3716" t="s">
        <v>3662</v>
      </c>
      <c r="B3716">
        <v>37</v>
      </c>
      <c r="C3716" t="s">
        <v>4803</v>
      </c>
      <c r="D3716" t="s">
        <v>13</v>
      </c>
      <c r="E3716">
        <v>45</v>
      </c>
      <c r="F3716">
        <v>8</v>
      </c>
      <c r="G3716" t="s">
        <v>4799</v>
      </c>
      <c r="H3716" t="s">
        <v>4804</v>
      </c>
      <c r="I3716">
        <v>13.99</v>
      </c>
      <c r="J3716">
        <v>3</v>
      </c>
      <c r="K3716">
        <v>1.5</v>
      </c>
      <c r="L3716">
        <v>0</v>
      </c>
      <c r="M3716" t="s">
        <v>4810</v>
      </c>
      <c r="N3716" t="s">
        <v>4900</v>
      </c>
      <c r="O3716" t="s">
        <v>4910</v>
      </c>
    </row>
    <row r="3717" spans="1:15" x14ac:dyDescent="0.35">
      <c r="A3717" t="s">
        <v>3663</v>
      </c>
      <c r="B3717">
        <v>46</v>
      </c>
      <c r="C3717" t="s">
        <v>4802</v>
      </c>
      <c r="D3717" t="s">
        <v>13</v>
      </c>
      <c r="E3717">
        <v>56</v>
      </c>
      <c r="F3717">
        <v>46</v>
      </c>
      <c r="G3717" t="s">
        <v>4800</v>
      </c>
      <c r="H3717" t="s">
        <v>4804</v>
      </c>
      <c r="I3717">
        <v>13.99</v>
      </c>
      <c r="J3717">
        <v>2</v>
      </c>
      <c r="K3717">
        <v>1.87</v>
      </c>
      <c r="L3717">
        <v>0</v>
      </c>
      <c r="M3717" t="s">
        <v>4812</v>
      </c>
      <c r="N3717" t="s">
        <v>4900</v>
      </c>
      <c r="O3717" t="s">
        <v>4910</v>
      </c>
    </row>
    <row r="3718" spans="1:15" x14ac:dyDescent="0.35">
      <c r="A3718" t="s">
        <v>3664</v>
      </c>
      <c r="B3718">
        <v>44</v>
      </c>
      <c r="C3718" t="s">
        <v>4803</v>
      </c>
      <c r="D3718" t="s">
        <v>13</v>
      </c>
      <c r="E3718">
        <v>69</v>
      </c>
      <c r="F3718">
        <v>21</v>
      </c>
      <c r="G3718" t="s">
        <v>4798</v>
      </c>
      <c r="H3718" t="s">
        <v>4805</v>
      </c>
      <c r="I3718">
        <v>13.99</v>
      </c>
      <c r="J3718">
        <v>3</v>
      </c>
      <c r="K3718">
        <v>2.2999999999999998</v>
      </c>
      <c r="L3718">
        <v>0</v>
      </c>
      <c r="M3718" t="s">
        <v>4808</v>
      </c>
      <c r="N3718" t="s">
        <v>4900</v>
      </c>
      <c r="O3718" t="s">
        <v>4910</v>
      </c>
    </row>
    <row r="3719" spans="1:15" x14ac:dyDescent="0.35">
      <c r="A3719" t="s">
        <v>3665</v>
      </c>
      <c r="B3719">
        <v>59</v>
      </c>
      <c r="C3719" t="s">
        <v>4803</v>
      </c>
      <c r="D3719" t="s">
        <v>13</v>
      </c>
      <c r="E3719">
        <v>32</v>
      </c>
      <c r="F3719">
        <v>41</v>
      </c>
      <c r="G3719" t="s">
        <v>4800</v>
      </c>
      <c r="H3719" t="s">
        <v>4806</v>
      </c>
      <c r="I3719">
        <v>13.99</v>
      </c>
      <c r="J3719">
        <v>3</v>
      </c>
      <c r="K3719">
        <v>1.07</v>
      </c>
      <c r="L3719">
        <v>0</v>
      </c>
      <c r="M3719" t="s">
        <v>4808</v>
      </c>
      <c r="N3719" t="s">
        <v>4900</v>
      </c>
      <c r="O3719" t="s">
        <v>4911</v>
      </c>
    </row>
    <row r="3720" spans="1:15" x14ac:dyDescent="0.35">
      <c r="A3720" t="s">
        <v>3666</v>
      </c>
      <c r="B3720">
        <v>60</v>
      </c>
      <c r="C3720" t="s">
        <v>4803</v>
      </c>
      <c r="D3720" t="s">
        <v>15</v>
      </c>
      <c r="E3720">
        <v>111</v>
      </c>
      <c r="F3720">
        <v>10</v>
      </c>
      <c r="G3720" t="s">
        <v>4799</v>
      </c>
      <c r="H3720" t="s">
        <v>4806</v>
      </c>
      <c r="I3720">
        <v>17.989999999999998</v>
      </c>
      <c r="J3720">
        <v>4</v>
      </c>
      <c r="K3720">
        <v>3.7</v>
      </c>
      <c r="L3720">
        <v>0</v>
      </c>
      <c r="M3720" t="s">
        <v>4812</v>
      </c>
      <c r="N3720" t="s">
        <v>4900</v>
      </c>
      <c r="O3720" t="s">
        <v>4911</v>
      </c>
    </row>
    <row r="3721" spans="1:15" x14ac:dyDescent="0.35">
      <c r="A3721" t="s">
        <v>3667</v>
      </c>
      <c r="B3721">
        <v>58</v>
      </c>
      <c r="C3721" t="s">
        <v>4802</v>
      </c>
      <c r="D3721" t="s">
        <v>13</v>
      </c>
      <c r="E3721">
        <v>80</v>
      </c>
      <c r="F3721">
        <v>3</v>
      </c>
      <c r="G3721" t="s">
        <v>4798</v>
      </c>
      <c r="H3721" t="s">
        <v>4805</v>
      </c>
      <c r="I3721">
        <v>13.99</v>
      </c>
      <c r="J3721">
        <v>4</v>
      </c>
      <c r="K3721">
        <v>2.67</v>
      </c>
      <c r="L3721">
        <v>0</v>
      </c>
      <c r="M3721" t="s">
        <v>4811</v>
      </c>
      <c r="N3721" t="s">
        <v>4900</v>
      </c>
      <c r="O3721" t="s">
        <v>4911</v>
      </c>
    </row>
    <row r="3722" spans="1:15" x14ac:dyDescent="0.35">
      <c r="A3722" t="s">
        <v>3668</v>
      </c>
      <c r="B3722">
        <v>43</v>
      </c>
      <c r="C3722" t="s">
        <v>4803</v>
      </c>
      <c r="D3722" t="s">
        <v>13</v>
      </c>
      <c r="E3722">
        <v>44</v>
      </c>
      <c r="F3722">
        <v>38</v>
      </c>
      <c r="G3722" t="s">
        <v>4798</v>
      </c>
      <c r="H3722" t="s">
        <v>4805</v>
      </c>
      <c r="I3722">
        <v>13.99</v>
      </c>
      <c r="J3722">
        <v>3</v>
      </c>
      <c r="K3722">
        <v>1.47</v>
      </c>
      <c r="L3722">
        <v>0</v>
      </c>
      <c r="M3722" t="s">
        <v>4812</v>
      </c>
      <c r="N3722" t="s">
        <v>4900</v>
      </c>
      <c r="O3722" t="s">
        <v>4910</v>
      </c>
    </row>
    <row r="3723" spans="1:15" x14ac:dyDescent="0.35">
      <c r="A3723" t="s">
        <v>3669</v>
      </c>
      <c r="B3723">
        <v>39</v>
      </c>
      <c r="C3723" t="s">
        <v>4802</v>
      </c>
      <c r="D3723" t="s">
        <v>13</v>
      </c>
      <c r="E3723">
        <v>69</v>
      </c>
      <c r="F3723">
        <v>0</v>
      </c>
      <c r="G3723" t="s">
        <v>4798</v>
      </c>
      <c r="H3723" t="s">
        <v>4804</v>
      </c>
      <c r="I3723">
        <v>13.99</v>
      </c>
      <c r="J3723">
        <v>4</v>
      </c>
      <c r="K3723">
        <v>2.2999999999999998</v>
      </c>
      <c r="L3723">
        <v>0</v>
      </c>
      <c r="M3723" t="s">
        <v>4810</v>
      </c>
      <c r="N3723" t="s">
        <v>4900</v>
      </c>
      <c r="O3723" t="s">
        <v>4910</v>
      </c>
    </row>
    <row r="3724" spans="1:15" x14ac:dyDescent="0.35">
      <c r="A3724" t="s">
        <v>3670</v>
      </c>
      <c r="B3724">
        <v>64</v>
      </c>
      <c r="C3724" t="s">
        <v>4802</v>
      </c>
      <c r="D3724" t="s">
        <v>13</v>
      </c>
      <c r="E3724">
        <v>75</v>
      </c>
      <c r="F3724">
        <v>16</v>
      </c>
      <c r="G3724" t="s">
        <v>4798</v>
      </c>
      <c r="H3724" t="s">
        <v>4804</v>
      </c>
      <c r="I3724">
        <v>13.99</v>
      </c>
      <c r="J3724">
        <v>1</v>
      </c>
      <c r="K3724">
        <v>2.0299999999999998</v>
      </c>
      <c r="L3724">
        <v>0</v>
      </c>
      <c r="M3724" t="s">
        <v>4812</v>
      </c>
      <c r="N3724" t="s">
        <v>4900</v>
      </c>
      <c r="O3724" t="s">
        <v>4911</v>
      </c>
    </row>
    <row r="3725" spans="1:15" x14ac:dyDescent="0.35">
      <c r="A3725" t="s">
        <v>3671</v>
      </c>
      <c r="B3725">
        <v>51</v>
      </c>
      <c r="C3725" t="s">
        <v>4802</v>
      </c>
      <c r="D3725" t="s">
        <v>13</v>
      </c>
      <c r="E3725">
        <v>60</v>
      </c>
      <c r="F3725">
        <v>55</v>
      </c>
      <c r="G3725" t="s">
        <v>4797</v>
      </c>
      <c r="H3725" t="s">
        <v>4804</v>
      </c>
      <c r="I3725">
        <v>13.99</v>
      </c>
      <c r="J3725">
        <v>1</v>
      </c>
      <c r="K3725">
        <v>2</v>
      </c>
      <c r="L3725">
        <v>1</v>
      </c>
      <c r="M3725" t="s">
        <v>4812</v>
      </c>
      <c r="N3725" t="s">
        <v>4899</v>
      </c>
      <c r="O3725" t="s">
        <v>4910</v>
      </c>
    </row>
    <row r="3726" spans="1:15" x14ac:dyDescent="0.35">
      <c r="A3726" t="s">
        <v>3672</v>
      </c>
      <c r="B3726">
        <v>57</v>
      </c>
      <c r="C3726" t="s">
        <v>4802</v>
      </c>
      <c r="D3726" t="s">
        <v>15</v>
      </c>
      <c r="E3726">
        <v>84</v>
      </c>
      <c r="F3726">
        <v>47</v>
      </c>
      <c r="G3726" t="s">
        <v>4798</v>
      </c>
      <c r="H3726" t="s">
        <v>4805</v>
      </c>
      <c r="I3726">
        <v>17.989999999999998</v>
      </c>
      <c r="J3726">
        <v>3</v>
      </c>
      <c r="K3726">
        <v>2.8</v>
      </c>
      <c r="L3726">
        <v>0</v>
      </c>
      <c r="M3726" t="s">
        <v>4812</v>
      </c>
      <c r="N3726" t="s">
        <v>4900</v>
      </c>
      <c r="O3726" t="s">
        <v>4911</v>
      </c>
    </row>
    <row r="3727" spans="1:15" x14ac:dyDescent="0.35">
      <c r="A3727" t="s">
        <v>3673</v>
      </c>
      <c r="B3727">
        <v>18</v>
      </c>
      <c r="C3727" t="s">
        <v>4802</v>
      </c>
      <c r="D3727" t="s">
        <v>15</v>
      </c>
      <c r="E3727">
        <v>56</v>
      </c>
      <c r="F3727">
        <v>10</v>
      </c>
      <c r="G3727" t="s">
        <v>4797</v>
      </c>
      <c r="H3727" t="s">
        <v>4805</v>
      </c>
      <c r="I3727">
        <v>17.989999999999998</v>
      </c>
      <c r="J3727">
        <v>2</v>
      </c>
      <c r="K3727">
        <v>1.87</v>
      </c>
      <c r="L3727">
        <v>0</v>
      </c>
      <c r="M3727" t="s">
        <v>4811</v>
      </c>
      <c r="N3727" t="s">
        <v>4900</v>
      </c>
      <c r="O3727" t="s">
        <v>4912</v>
      </c>
    </row>
    <row r="3728" spans="1:15" x14ac:dyDescent="0.35">
      <c r="A3728" t="s">
        <v>3674</v>
      </c>
      <c r="B3728">
        <v>42</v>
      </c>
      <c r="C3728" t="s">
        <v>4802</v>
      </c>
      <c r="D3728" t="s">
        <v>13</v>
      </c>
      <c r="E3728">
        <v>47</v>
      </c>
      <c r="F3728">
        <v>27</v>
      </c>
      <c r="G3728" t="s">
        <v>4798</v>
      </c>
      <c r="H3728" t="s">
        <v>4804</v>
      </c>
      <c r="I3728">
        <v>13.99</v>
      </c>
      <c r="J3728">
        <v>4</v>
      </c>
      <c r="K3728">
        <v>1.57</v>
      </c>
      <c r="L3728">
        <v>0</v>
      </c>
      <c r="M3728" t="s">
        <v>4811</v>
      </c>
      <c r="N3728" t="s">
        <v>4900</v>
      </c>
      <c r="O3728" t="s">
        <v>4910</v>
      </c>
    </row>
    <row r="3729" spans="1:15" x14ac:dyDescent="0.35">
      <c r="A3729" t="s">
        <v>3675</v>
      </c>
      <c r="B3729">
        <v>59</v>
      </c>
      <c r="C3729" t="s">
        <v>4802</v>
      </c>
      <c r="D3729" t="s">
        <v>13</v>
      </c>
      <c r="E3729">
        <v>55</v>
      </c>
      <c r="F3729">
        <v>15</v>
      </c>
      <c r="G3729" t="s">
        <v>4799</v>
      </c>
      <c r="H3729" t="s">
        <v>4805</v>
      </c>
      <c r="I3729">
        <v>13.99</v>
      </c>
      <c r="J3729">
        <v>2</v>
      </c>
      <c r="K3729">
        <v>2.0299999999999998</v>
      </c>
      <c r="L3729">
        <v>0</v>
      </c>
      <c r="M3729" t="s">
        <v>4809</v>
      </c>
      <c r="N3729" t="s">
        <v>4900</v>
      </c>
      <c r="O3729" t="s">
        <v>4911</v>
      </c>
    </row>
    <row r="3730" spans="1:15" x14ac:dyDescent="0.35">
      <c r="A3730" t="s">
        <v>3676</v>
      </c>
      <c r="B3730">
        <v>45</v>
      </c>
      <c r="C3730" t="s">
        <v>4803</v>
      </c>
      <c r="D3730" t="s">
        <v>15</v>
      </c>
      <c r="E3730">
        <v>52</v>
      </c>
      <c r="F3730">
        <v>23</v>
      </c>
      <c r="G3730" t="s">
        <v>4799</v>
      </c>
      <c r="H3730" t="s">
        <v>4805</v>
      </c>
      <c r="I3730">
        <v>17.989999999999998</v>
      </c>
      <c r="J3730">
        <v>2</v>
      </c>
      <c r="K3730">
        <v>1.73</v>
      </c>
      <c r="L3730">
        <v>1</v>
      </c>
      <c r="M3730" t="s">
        <v>4809</v>
      </c>
      <c r="N3730" t="s">
        <v>4899</v>
      </c>
      <c r="O3730" t="s">
        <v>4910</v>
      </c>
    </row>
    <row r="3731" spans="1:15" x14ac:dyDescent="0.35">
      <c r="A3731" t="s">
        <v>3677</v>
      </c>
      <c r="B3731">
        <v>19</v>
      </c>
      <c r="C3731" t="s">
        <v>4803</v>
      </c>
      <c r="D3731" t="s">
        <v>13</v>
      </c>
      <c r="E3731">
        <v>78</v>
      </c>
      <c r="F3731">
        <v>14</v>
      </c>
      <c r="G3731" t="s">
        <v>4798</v>
      </c>
      <c r="H3731" t="s">
        <v>4806</v>
      </c>
      <c r="I3731">
        <v>13.99</v>
      </c>
      <c r="J3731">
        <v>1</v>
      </c>
      <c r="K3731">
        <v>2.6</v>
      </c>
      <c r="L3731">
        <v>0</v>
      </c>
      <c r="M3731" t="s">
        <v>4808</v>
      </c>
      <c r="N3731" t="s">
        <v>4900</v>
      </c>
      <c r="O3731" t="s">
        <v>4912</v>
      </c>
    </row>
    <row r="3732" spans="1:15" x14ac:dyDescent="0.35">
      <c r="A3732" t="s">
        <v>3678</v>
      </c>
      <c r="B3732">
        <v>64</v>
      </c>
      <c r="C3732" t="s">
        <v>4802</v>
      </c>
      <c r="D3732" t="s">
        <v>15</v>
      </c>
      <c r="E3732">
        <v>118</v>
      </c>
      <c r="F3732">
        <v>26</v>
      </c>
      <c r="G3732" t="s">
        <v>4798</v>
      </c>
      <c r="H3732" t="s">
        <v>4806</v>
      </c>
      <c r="I3732">
        <v>17.989999999999998</v>
      </c>
      <c r="J3732">
        <v>3</v>
      </c>
      <c r="K3732">
        <v>3.93</v>
      </c>
      <c r="L3732">
        <v>0</v>
      </c>
      <c r="M3732" t="s">
        <v>4811</v>
      </c>
      <c r="N3732" t="s">
        <v>4900</v>
      </c>
      <c r="O3732" t="s">
        <v>4911</v>
      </c>
    </row>
    <row r="3733" spans="1:15" x14ac:dyDescent="0.35">
      <c r="A3733" t="s">
        <v>3679</v>
      </c>
      <c r="B3733">
        <v>48</v>
      </c>
      <c r="C3733" t="s">
        <v>4803</v>
      </c>
      <c r="D3733" t="s">
        <v>15</v>
      </c>
      <c r="E3733">
        <v>63</v>
      </c>
      <c r="F3733">
        <v>50</v>
      </c>
      <c r="G3733" t="s">
        <v>4799</v>
      </c>
      <c r="H3733" t="s">
        <v>4805</v>
      </c>
      <c r="I3733">
        <v>17.989999999999998</v>
      </c>
      <c r="J3733">
        <v>2</v>
      </c>
      <c r="K3733">
        <v>2.1</v>
      </c>
      <c r="L3733">
        <v>0</v>
      </c>
      <c r="M3733" t="s">
        <v>4811</v>
      </c>
      <c r="N3733" t="s">
        <v>4900</v>
      </c>
      <c r="O3733" t="s">
        <v>4910</v>
      </c>
    </row>
    <row r="3734" spans="1:15" x14ac:dyDescent="0.35">
      <c r="A3734" t="s">
        <v>3680</v>
      </c>
      <c r="B3734">
        <v>49</v>
      </c>
      <c r="C3734" t="s">
        <v>4802</v>
      </c>
      <c r="D3734" t="s">
        <v>13</v>
      </c>
      <c r="E3734">
        <v>32</v>
      </c>
      <c r="F3734">
        <v>21</v>
      </c>
      <c r="G3734" t="s">
        <v>4797</v>
      </c>
      <c r="H3734" t="s">
        <v>4805</v>
      </c>
      <c r="I3734">
        <v>13.99</v>
      </c>
      <c r="J3734">
        <v>1</v>
      </c>
      <c r="K3734">
        <v>2.0299999999999998</v>
      </c>
      <c r="L3734">
        <v>0</v>
      </c>
      <c r="M3734" t="s">
        <v>4809</v>
      </c>
      <c r="N3734" t="s">
        <v>4900</v>
      </c>
      <c r="O3734" t="s">
        <v>4910</v>
      </c>
    </row>
    <row r="3735" spans="1:15" x14ac:dyDescent="0.35">
      <c r="A3735" t="s">
        <v>3681</v>
      </c>
      <c r="B3735">
        <v>50</v>
      </c>
      <c r="C3735" t="s">
        <v>4803</v>
      </c>
      <c r="D3735" t="s">
        <v>13</v>
      </c>
      <c r="E3735">
        <v>50</v>
      </c>
      <c r="F3735">
        <v>50</v>
      </c>
      <c r="G3735" t="s">
        <v>4799</v>
      </c>
      <c r="H3735" t="s">
        <v>4805</v>
      </c>
      <c r="I3735">
        <v>13.99</v>
      </c>
      <c r="J3735">
        <v>1</v>
      </c>
      <c r="K3735">
        <v>1.67</v>
      </c>
      <c r="L3735">
        <v>0</v>
      </c>
      <c r="M3735" t="s">
        <v>4812</v>
      </c>
      <c r="N3735" t="s">
        <v>4900</v>
      </c>
      <c r="O3735" t="s">
        <v>4910</v>
      </c>
    </row>
    <row r="3736" spans="1:15" x14ac:dyDescent="0.35">
      <c r="A3736" t="s">
        <v>3682</v>
      </c>
      <c r="B3736">
        <v>49</v>
      </c>
      <c r="C3736" t="s">
        <v>4802</v>
      </c>
      <c r="D3736" t="s">
        <v>13</v>
      </c>
      <c r="E3736">
        <v>78</v>
      </c>
      <c r="F3736">
        <v>45</v>
      </c>
      <c r="G3736" t="s">
        <v>4798</v>
      </c>
      <c r="H3736" t="s">
        <v>4805</v>
      </c>
      <c r="I3736">
        <v>13.99</v>
      </c>
      <c r="J3736">
        <v>3</v>
      </c>
      <c r="K3736">
        <v>2.6</v>
      </c>
      <c r="L3736">
        <v>0</v>
      </c>
      <c r="M3736" t="s">
        <v>4812</v>
      </c>
      <c r="N3736" t="s">
        <v>4900</v>
      </c>
      <c r="O3736" t="s">
        <v>4910</v>
      </c>
    </row>
    <row r="3737" spans="1:15" x14ac:dyDescent="0.35">
      <c r="A3737" t="s">
        <v>3683</v>
      </c>
      <c r="B3737">
        <v>40</v>
      </c>
      <c r="C3737" t="s">
        <v>4802</v>
      </c>
      <c r="D3737" t="s">
        <v>13</v>
      </c>
      <c r="E3737">
        <v>69</v>
      </c>
      <c r="F3737">
        <v>28</v>
      </c>
      <c r="G3737" t="s">
        <v>4798</v>
      </c>
      <c r="H3737" t="s">
        <v>4804</v>
      </c>
      <c r="I3737">
        <v>13.99</v>
      </c>
      <c r="J3737">
        <v>2</v>
      </c>
      <c r="K3737">
        <v>2.2999999999999998</v>
      </c>
      <c r="L3737">
        <v>1</v>
      </c>
      <c r="M3737" t="s">
        <v>4810</v>
      </c>
      <c r="N3737" t="s">
        <v>4899</v>
      </c>
      <c r="O3737" t="s">
        <v>4910</v>
      </c>
    </row>
    <row r="3738" spans="1:15" x14ac:dyDescent="0.35">
      <c r="A3738" t="s">
        <v>3684</v>
      </c>
      <c r="B3738">
        <v>26</v>
      </c>
      <c r="C3738" t="s">
        <v>4802</v>
      </c>
      <c r="D3738" t="s">
        <v>13</v>
      </c>
      <c r="E3738">
        <v>41</v>
      </c>
      <c r="F3738">
        <v>5</v>
      </c>
      <c r="G3738" t="s">
        <v>4797</v>
      </c>
      <c r="H3738" t="s">
        <v>4805</v>
      </c>
      <c r="I3738">
        <v>13.99</v>
      </c>
      <c r="J3738">
        <v>4</v>
      </c>
      <c r="K3738">
        <v>1.37</v>
      </c>
      <c r="L3738">
        <v>0</v>
      </c>
      <c r="M3738" t="s">
        <v>4811</v>
      </c>
      <c r="N3738" t="s">
        <v>4900</v>
      </c>
      <c r="O3738" t="s">
        <v>4912</v>
      </c>
    </row>
    <row r="3739" spans="1:15" x14ac:dyDescent="0.35">
      <c r="A3739" t="s">
        <v>3685</v>
      </c>
      <c r="B3739">
        <v>48</v>
      </c>
      <c r="C3739" t="s">
        <v>4802</v>
      </c>
      <c r="D3739" t="s">
        <v>13</v>
      </c>
      <c r="E3739">
        <v>33</v>
      </c>
      <c r="F3739">
        <v>5</v>
      </c>
      <c r="G3739" t="s">
        <v>4799</v>
      </c>
      <c r="H3739" t="s">
        <v>4805</v>
      </c>
      <c r="I3739">
        <v>13.99</v>
      </c>
      <c r="J3739">
        <v>1</v>
      </c>
      <c r="K3739">
        <v>1.1000000000000001</v>
      </c>
      <c r="L3739">
        <v>0</v>
      </c>
      <c r="M3739" t="s">
        <v>4809</v>
      </c>
      <c r="N3739" t="s">
        <v>4900</v>
      </c>
      <c r="O3739" t="s">
        <v>4910</v>
      </c>
    </row>
    <row r="3740" spans="1:15" x14ac:dyDescent="0.35">
      <c r="A3740" t="s">
        <v>3686</v>
      </c>
      <c r="B3740">
        <v>60</v>
      </c>
      <c r="C3740" t="s">
        <v>4802</v>
      </c>
      <c r="D3740" t="s">
        <v>15</v>
      </c>
      <c r="E3740">
        <v>56</v>
      </c>
      <c r="F3740">
        <v>11</v>
      </c>
      <c r="G3740" t="s">
        <v>4799</v>
      </c>
      <c r="H3740" t="s">
        <v>4804</v>
      </c>
      <c r="I3740">
        <v>17.989999999999998</v>
      </c>
      <c r="J3740">
        <v>4</v>
      </c>
      <c r="K3740">
        <v>1.87</v>
      </c>
      <c r="L3740">
        <v>0</v>
      </c>
      <c r="M3740" t="s">
        <v>4809</v>
      </c>
      <c r="N3740" t="s">
        <v>4900</v>
      </c>
      <c r="O3740" t="s">
        <v>4911</v>
      </c>
    </row>
    <row r="3741" spans="1:15" x14ac:dyDescent="0.35">
      <c r="A3741" t="s">
        <v>4884</v>
      </c>
      <c r="B3741">
        <v>30</v>
      </c>
      <c r="C3741" t="s">
        <v>4802</v>
      </c>
      <c r="D3741" t="s">
        <v>13</v>
      </c>
      <c r="E3741">
        <v>57</v>
      </c>
      <c r="F3741">
        <v>14</v>
      </c>
      <c r="G3741" t="s">
        <v>4798</v>
      </c>
      <c r="H3741" t="s">
        <v>4805</v>
      </c>
      <c r="I3741">
        <v>13.99</v>
      </c>
      <c r="J3741">
        <v>2</v>
      </c>
      <c r="K3741">
        <v>1.9</v>
      </c>
      <c r="L3741">
        <v>0</v>
      </c>
      <c r="M3741" t="s">
        <v>4812</v>
      </c>
      <c r="N3741" t="s">
        <v>4900</v>
      </c>
      <c r="O3741" t="s">
        <v>4912</v>
      </c>
    </row>
    <row r="3742" spans="1:15" x14ac:dyDescent="0.35">
      <c r="A3742" t="s">
        <v>3687</v>
      </c>
      <c r="B3742">
        <v>28</v>
      </c>
      <c r="C3742" t="s">
        <v>4802</v>
      </c>
      <c r="D3742" t="s">
        <v>13</v>
      </c>
      <c r="E3742">
        <v>61</v>
      </c>
      <c r="F3742">
        <v>19</v>
      </c>
      <c r="G3742" t="s">
        <v>4798</v>
      </c>
      <c r="H3742" t="s">
        <v>4806</v>
      </c>
      <c r="I3742">
        <v>13.99</v>
      </c>
      <c r="J3742">
        <v>3</v>
      </c>
      <c r="K3742">
        <v>2.0299999999999998</v>
      </c>
      <c r="L3742">
        <v>0</v>
      </c>
      <c r="M3742" t="s">
        <v>4812</v>
      </c>
      <c r="N3742" t="s">
        <v>4900</v>
      </c>
      <c r="O3742" t="s">
        <v>4912</v>
      </c>
    </row>
    <row r="3743" spans="1:15" x14ac:dyDescent="0.35">
      <c r="A3743" t="s">
        <v>3688</v>
      </c>
      <c r="B3743">
        <v>23</v>
      </c>
      <c r="C3743" t="s">
        <v>4802</v>
      </c>
      <c r="D3743" t="s">
        <v>13</v>
      </c>
      <c r="E3743">
        <v>34</v>
      </c>
      <c r="F3743">
        <v>43</v>
      </c>
      <c r="G3743" t="s">
        <v>4797</v>
      </c>
      <c r="H3743" t="s">
        <v>4805</v>
      </c>
      <c r="I3743">
        <v>13.99</v>
      </c>
      <c r="J3743">
        <v>3</v>
      </c>
      <c r="K3743">
        <v>1.1299999999999999</v>
      </c>
      <c r="L3743">
        <v>1</v>
      </c>
      <c r="M3743" t="s">
        <v>4808</v>
      </c>
      <c r="N3743" t="s">
        <v>4899</v>
      </c>
      <c r="O3743" t="s">
        <v>4912</v>
      </c>
    </row>
    <row r="3744" spans="1:15" x14ac:dyDescent="0.35">
      <c r="A3744" t="s">
        <v>3689</v>
      </c>
      <c r="B3744">
        <v>36</v>
      </c>
      <c r="C3744" t="s">
        <v>4802</v>
      </c>
      <c r="D3744" t="s">
        <v>13</v>
      </c>
      <c r="E3744">
        <v>72</v>
      </c>
      <c r="F3744">
        <v>36</v>
      </c>
      <c r="G3744" t="s">
        <v>4798</v>
      </c>
      <c r="H3744" t="s">
        <v>4804</v>
      </c>
      <c r="I3744">
        <v>13.99</v>
      </c>
      <c r="J3744">
        <v>3</v>
      </c>
      <c r="K3744">
        <v>2.4</v>
      </c>
      <c r="L3744">
        <v>0</v>
      </c>
      <c r="M3744" t="s">
        <v>4812</v>
      </c>
      <c r="N3744" t="s">
        <v>4900</v>
      </c>
      <c r="O3744" t="s">
        <v>4910</v>
      </c>
    </row>
    <row r="3745" spans="1:15" x14ac:dyDescent="0.35">
      <c r="A3745" t="s">
        <v>3690</v>
      </c>
      <c r="B3745">
        <v>31</v>
      </c>
      <c r="C3745" t="s">
        <v>4802</v>
      </c>
      <c r="D3745" t="s">
        <v>15</v>
      </c>
      <c r="E3745">
        <v>74</v>
      </c>
      <c r="F3745">
        <v>31</v>
      </c>
      <c r="G3745" t="s">
        <v>4797</v>
      </c>
      <c r="H3745" t="s">
        <v>4805</v>
      </c>
      <c r="I3745">
        <v>17.989999999999998</v>
      </c>
      <c r="J3745">
        <v>2</v>
      </c>
      <c r="K3745">
        <v>2.4700000000000002</v>
      </c>
      <c r="L3745">
        <v>1</v>
      </c>
      <c r="M3745" t="s">
        <v>4811</v>
      </c>
      <c r="N3745" t="s">
        <v>4899</v>
      </c>
      <c r="O3745" t="s">
        <v>4912</v>
      </c>
    </row>
    <row r="3746" spans="1:15" x14ac:dyDescent="0.35">
      <c r="A3746" t="s">
        <v>3691</v>
      </c>
      <c r="B3746">
        <v>25</v>
      </c>
      <c r="C3746" t="s">
        <v>4802</v>
      </c>
      <c r="D3746" t="s">
        <v>13</v>
      </c>
      <c r="E3746">
        <v>59</v>
      </c>
      <c r="F3746">
        <v>5</v>
      </c>
      <c r="G3746" t="s">
        <v>4798</v>
      </c>
      <c r="H3746" t="s">
        <v>4805</v>
      </c>
      <c r="I3746">
        <v>13.99</v>
      </c>
      <c r="J3746">
        <v>3</v>
      </c>
      <c r="K3746">
        <v>1.97</v>
      </c>
      <c r="L3746">
        <v>1</v>
      </c>
      <c r="M3746" t="s">
        <v>4809</v>
      </c>
      <c r="N3746" t="s">
        <v>4899</v>
      </c>
      <c r="O3746" t="s">
        <v>4912</v>
      </c>
    </row>
    <row r="3747" spans="1:15" x14ac:dyDescent="0.35">
      <c r="A3747" t="s">
        <v>3692</v>
      </c>
      <c r="B3747">
        <v>43</v>
      </c>
      <c r="C3747" t="s">
        <v>4802</v>
      </c>
      <c r="D3747" t="s">
        <v>13</v>
      </c>
      <c r="E3747">
        <v>66</v>
      </c>
      <c r="F3747">
        <v>26</v>
      </c>
      <c r="G3747" t="s">
        <v>4797</v>
      </c>
      <c r="H3747" t="s">
        <v>4805</v>
      </c>
      <c r="I3747">
        <v>13.99</v>
      </c>
      <c r="J3747">
        <v>2</v>
      </c>
      <c r="K3747">
        <v>2.2000000000000002</v>
      </c>
      <c r="L3747">
        <v>1</v>
      </c>
      <c r="M3747" t="s">
        <v>4809</v>
      </c>
      <c r="N3747" t="s">
        <v>4899</v>
      </c>
      <c r="O3747" t="s">
        <v>4910</v>
      </c>
    </row>
    <row r="3748" spans="1:15" x14ac:dyDescent="0.35">
      <c r="A3748" t="s">
        <v>3693</v>
      </c>
      <c r="B3748">
        <v>50</v>
      </c>
      <c r="C3748" t="s">
        <v>4803</v>
      </c>
      <c r="D3748" t="s">
        <v>13</v>
      </c>
      <c r="E3748">
        <v>60</v>
      </c>
      <c r="F3748">
        <v>26</v>
      </c>
      <c r="G3748" t="s">
        <v>4797</v>
      </c>
      <c r="H3748" t="s">
        <v>4807</v>
      </c>
      <c r="I3748">
        <v>13.99</v>
      </c>
      <c r="J3748">
        <v>3</v>
      </c>
      <c r="K3748">
        <v>2</v>
      </c>
      <c r="L3748">
        <v>0</v>
      </c>
      <c r="M3748" t="s">
        <v>4812</v>
      </c>
      <c r="N3748" t="s">
        <v>4900</v>
      </c>
      <c r="O3748" t="s">
        <v>4910</v>
      </c>
    </row>
    <row r="3749" spans="1:15" x14ac:dyDescent="0.35">
      <c r="A3749" t="s">
        <v>3694</v>
      </c>
      <c r="B3749">
        <v>49</v>
      </c>
      <c r="C3749" t="s">
        <v>4802</v>
      </c>
      <c r="D3749" t="s">
        <v>13</v>
      </c>
      <c r="E3749">
        <v>77</v>
      </c>
      <c r="F3749">
        <v>37</v>
      </c>
      <c r="G3749" t="s">
        <v>4798</v>
      </c>
      <c r="H3749" t="s">
        <v>4806</v>
      </c>
      <c r="I3749">
        <v>13.99</v>
      </c>
      <c r="J3749">
        <v>4</v>
      </c>
      <c r="K3749">
        <v>2.57</v>
      </c>
      <c r="L3749">
        <v>1</v>
      </c>
      <c r="M3749" t="s">
        <v>4809</v>
      </c>
      <c r="N3749" t="s">
        <v>4899</v>
      </c>
      <c r="O3749" t="s">
        <v>4910</v>
      </c>
    </row>
    <row r="3750" spans="1:15" x14ac:dyDescent="0.35">
      <c r="A3750" t="s">
        <v>3695</v>
      </c>
      <c r="B3750">
        <v>28</v>
      </c>
      <c r="C3750" t="s">
        <v>4803</v>
      </c>
      <c r="D3750" t="s">
        <v>13</v>
      </c>
      <c r="E3750">
        <v>61</v>
      </c>
      <c r="F3750">
        <v>2</v>
      </c>
      <c r="G3750" t="s">
        <v>4798</v>
      </c>
      <c r="H3750" t="s">
        <v>4806</v>
      </c>
      <c r="I3750">
        <v>13.99</v>
      </c>
      <c r="J3750">
        <v>1</v>
      </c>
      <c r="K3750">
        <v>2.0299999999999998</v>
      </c>
      <c r="L3750">
        <v>0</v>
      </c>
      <c r="M3750" t="s">
        <v>4811</v>
      </c>
      <c r="N3750" t="s">
        <v>4900</v>
      </c>
      <c r="O3750" t="s">
        <v>4912</v>
      </c>
    </row>
    <row r="3751" spans="1:15" x14ac:dyDescent="0.35">
      <c r="A3751" t="s">
        <v>3696</v>
      </c>
      <c r="B3751">
        <v>56</v>
      </c>
      <c r="C3751" t="s">
        <v>4803</v>
      </c>
      <c r="D3751" t="s">
        <v>13</v>
      </c>
      <c r="E3751">
        <v>77</v>
      </c>
      <c r="F3751">
        <v>33</v>
      </c>
      <c r="G3751" t="s">
        <v>4797</v>
      </c>
      <c r="H3751" t="s">
        <v>4804</v>
      </c>
      <c r="I3751">
        <v>13.99</v>
      </c>
      <c r="J3751">
        <v>2</v>
      </c>
      <c r="K3751">
        <v>2.57</v>
      </c>
      <c r="L3751">
        <v>0</v>
      </c>
      <c r="M3751" t="s">
        <v>4810</v>
      </c>
      <c r="N3751" t="s">
        <v>4900</v>
      </c>
      <c r="O3751" t="s">
        <v>4911</v>
      </c>
    </row>
    <row r="3752" spans="1:15" x14ac:dyDescent="0.35">
      <c r="A3752" t="s">
        <v>3697</v>
      </c>
      <c r="B3752">
        <v>62</v>
      </c>
      <c r="C3752" t="s">
        <v>4802</v>
      </c>
      <c r="D3752" t="s">
        <v>15</v>
      </c>
      <c r="E3752">
        <v>82</v>
      </c>
      <c r="F3752">
        <v>22</v>
      </c>
      <c r="G3752" t="s">
        <v>4799</v>
      </c>
      <c r="H3752" t="s">
        <v>4804</v>
      </c>
      <c r="I3752">
        <v>17.989999999999998</v>
      </c>
      <c r="J3752">
        <v>5</v>
      </c>
      <c r="K3752">
        <v>2.73</v>
      </c>
      <c r="L3752">
        <v>1</v>
      </c>
      <c r="M3752" t="s">
        <v>4812</v>
      </c>
      <c r="N3752" t="s">
        <v>4899</v>
      </c>
      <c r="O3752" t="s">
        <v>4911</v>
      </c>
    </row>
    <row r="3753" spans="1:15" x14ac:dyDescent="0.35">
      <c r="A3753" t="s">
        <v>3698</v>
      </c>
      <c r="B3753">
        <v>33</v>
      </c>
      <c r="C3753" t="s">
        <v>4803</v>
      </c>
      <c r="D3753" t="s">
        <v>13</v>
      </c>
      <c r="E3753">
        <v>45</v>
      </c>
      <c r="F3753">
        <v>36</v>
      </c>
      <c r="G3753" t="s">
        <v>4798</v>
      </c>
      <c r="H3753" t="s">
        <v>4806</v>
      </c>
      <c r="I3753">
        <v>13.99</v>
      </c>
      <c r="J3753">
        <v>2</v>
      </c>
      <c r="K3753">
        <v>1.5</v>
      </c>
      <c r="L3753">
        <v>0</v>
      </c>
      <c r="M3753" t="s">
        <v>4810</v>
      </c>
      <c r="N3753" t="s">
        <v>4900</v>
      </c>
      <c r="O3753" t="s">
        <v>4912</v>
      </c>
    </row>
    <row r="3754" spans="1:15" x14ac:dyDescent="0.35">
      <c r="A3754" t="s">
        <v>3699</v>
      </c>
      <c r="B3754">
        <v>27</v>
      </c>
      <c r="C3754" t="s">
        <v>4802</v>
      </c>
      <c r="D3754" t="s">
        <v>13</v>
      </c>
      <c r="E3754">
        <v>31</v>
      </c>
      <c r="F3754">
        <v>999</v>
      </c>
      <c r="G3754" t="s">
        <v>4799</v>
      </c>
      <c r="H3754" t="s">
        <v>4805</v>
      </c>
      <c r="I3754">
        <v>13.99</v>
      </c>
      <c r="J3754">
        <v>1</v>
      </c>
      <c r="K3754">
        <v>1.03</v>
      </c>
      <c r="L3754">
        <v>1</v>
      </c>
      <c r="M3754" t="s">
        <v>4811</v>
      </c>
      <c r="N3754" t="s">
        <v>4899</v>
      </c>
      <c r="O3754" t="s">
        <v>4912</v>
      </c>
    </row>
    <row r="3755" spans="1:15" x14ac:dyDescent="0.35">
      <c r="A3755" t="s">
        <v>3700</v>
      </c>
      <c r="B3755">
        <v>61</v>
      </c>
      <c r="C3755" t="s">
        <v>4802</v>
      </c>
      <c r="D3755" t="s">
        <v>13</v>
      </c>
      <c r="E3755">
        <v>58</v>
      </c>
      <c r="F3755">
        <v>54</v>
      </c>
      <c r="G3755" t="s">
        <v>4797</v>
      </c>
      <c r="H3755" t="s">
        <v>4805</v>
      </c>
      <c r="I3755">
        <v>13.99</v>
      </c>
      <c r="J3755">
        <v>1</v>
      </c>
      <c r="K3755">
        <v>1.93</v>
      </c>
      <c r="L3755">
        <v>0</v>
      </c>
      <c r="M3755" t="s">
        <v>4810</v>
      </c>
      <c r="N3755" t="s">
        <v>4900</v>
      </c>
      <c r="O3755" t="s">
        <v>4911</v>
      </c>
    </row>
    <row r="3756" spans="1:15" x14ac:dyDescent="0.35">
      <c r="A3756" t="s">
        <v>3701</v>
      </c>
      <c r="B3756">
        <v>24</v>
      </c>
      <c r="C3756" t="s">
        <v>4802</v>
      </c>
      <c r="D3756" t="s">
        <v>15</v>
      </c>
      <c r="E3756">
        <v>86</v>
      </c>
      <c r="F3756">
        <v>5</v>
      </c>
      <c r="G3756" t="s">
        <v>4798</v>
      </c>
      <c r="H3756" t="s">
        <v>4805</v>
      </c>
      <c r="I3756">
        <v>17.989999999999998</v>
      </c>
      <c r="J3756">
        <v>4</v>
      </c>
      <c r="K3756">
        <v>2.87</v>
      </c>
      <c r="L3756">
        <v>0</v>
      </c>
      <c r="M3756" t="s">
        <v>4809</v>
      </c>
      <c r="N3756" t="s">
        <v>4900</v>
      </c>
      <c r="O3756" t="s">
        <v>4912</v>
      </c>
    </row>
    <row r="3757" spans="1:15" x14ac:dyDescent="0.35">
      <c r="A3757" t="s">
        <v>3702</v>
      </c>
      <c r="B3757">
        <v>64</v>
      </c>
      <c r="C3757" t="s">
        <v>4802</v>
      </c>
      <c r="D3757" t="s">
        <v>13</v>
      </c>
      <c r="E3757">
        <v>38</v>
      </c>
      <c r="F3757">
        <v>22</v>
      </c>
      <c r="G3757" t="s">
        <v>4798</v>
      </c>
      <c r="H3757" t="s">
        <v>4804</v>
      </c>
      <c r="I3757">
        <v>13.99</v>
      </c>
      <c r="J3757">
        <v>3</v>
      </c>
      <c r="K3757">
        <v>1.27</v>
      </c>
      <c r="L3757">
        <v>0</v>
      </c>
      <c r="M3757" t="s">
        <v>4812</v>
      </c>
      <c r="N3757" t="s">
        <v>4900</v>
      </c>
      <c r="O3757" t="s">
        <v>4911</v>
      </c>
    </row>
    <row r="3758" spans="1:15" x14ac:dyDescent="0.35">
      <c r="A3758" t="s">
        <v>3703</v>
      </c>
      <c r="B3758">
        <v>18</v>
      </c>
      <c r="C3758" t="s">
        <v>4802</v>
      </c>
      <c r="D3758" t="s">
        <v>13</v>
      </c>
      <c r="E3758">
        <v>64</v>
      </c>
      <c r="F3758">
        <v>54</v>
      </c>
      <c r="G3758" t="s">
        <v>4798</v>
      </c>
      <c r="H3758" t="s">
        <v>4807</v>
      </c>
      <c r="I3758">
        <v>13.99</v>
      </c>
      <c r="J3758">
        <v>4</v>
      </c>
      <c r="K3758">
        <v>2.13</v>
      </c>
      <c r="L3758">
        <v>0</v>
      </c>
      <c r="M3758" t="s">
        <v>4812</v>
      </c>
      <c r="N3758" t="s">
        <v>4900</v>
      </c>
      <c r="O3758" t="s">
        <v>4912</v>
      </c>
    </row>
    <row r="3759" spans="1:15" x14ac:dyDescent="0.35">
      <c r="A3759" t="s">
        <v>3704</v>
      </c>
      <c r="B3759">
        <v>51</v>
      </c>
      <c r="C3759" t="s">
        <v>4802</v>
      </c>
      <c r="D3759" t="s">
        <v>15</v>
      </c>
      <c r="E3759">
        <v>65</v>
      </c>
      <c r="F3759">
        <v>41</v>
      </c>
      <c r="G3759" t="s">
        <v>4799</v>
      </c>
      <c r="H3759" t="s">
        <v>4804</v>
      </c>
      <c r="I3759">
        <v>17.989999999999998</v>
      </c>
      <c r="J3759">
        <v>1</v>
      </c>
      <c r="K3759">
        <v>2.17</v>
      </c>
      <c r="L3759">
        <v>0</v>
      </c>
      <c r="M3759" t="s">
        <v>4812</v>
      </c>
      <c r="N3759" t="s">
        <v>4900</v>
      </c>
      <c r="O3759" t="s">
        <v>4910</v>
      </c>
    </row>
    <row r="3760" spans="1:15" x14ac:dyDescent="0.35">
      <c r="A3760" t="s">
        <v>3705</v>
      </c>
      <c r="B3760">
        <v>51</v>
      </c>
      <c r="C3760" t="s">
        <v>4803</v>
      </c>
      <c r="D3760" t="s">
        <v>13</v>
      </c>
      <c r="E3760">
        <v>75</v>
      </c>
      <c r="F3760">
        <v>24</v>
      </c>
      <c r="G3760" t="s">
        <v>4800</v>
      </c>
      <c r="H3760" t="s">
        <v>4805</v>
      </c>
      <c r="I3760">
        <v>13.99</v>
      </c>
      <c r="J3760">
        <v>2</v>
      </c>
      <c r="K3760">
        <v>2.5</v>
      </c>
      <c r="L3760">
        <v>0</v>
      </c>
      <c r="M3760" t="s">
        <v>4810</v>
      </c>
      <c r="N3760" t="s">
        <v>4900</v>
      </c>
      <c r="O3760" t="s">
        <v>4910</v>
      </c>
    </row>
    <row r="3761" spans="1:15" x14ac:dyDescent="0.35">
      <c r="A3761" t="s">
        <v>3706</v>
      </c>
      <c r="B3761">
        <v>40</v>
      </c>
      <c r="C3761" t="s">
        <v>4803</v>
      </c>
      <c r="D3761" t="s">
        <v>15</v>
      </c>
      <c r="E3761">
        <v>73</v>
      </c>
      <c r="F3761">
        <v>3</v>
      </c>
      <c r="G3761" t="s">
        <v>4798</v>
      </c>
      <c r="H3761" t="s">
        <v>4804</v>
      </c>
      <c r="I3761">
        <v>17.989999999999998</v>
      </c>
      <c r="J3761">
        <v>2</v>
      </c>
      <c r="K3761">
        <v>2.4300000000000002</v>
      </c>
      <c r="L3761">
        <v>0</v>
      </c>
      <c r="M3761" t="s">
        <v>4808</v>
      </c>
      <c r="N3761" t="s">
        <v>4900</v>
      </c>
      <c r="O3761" t="s">
        <v>4910</v>
      </c>
    </row>
    <row r="3762" spans="1:15" x14ac:dyDescent="0.35">
      <c r="A3762" t="s">
        <v>3707</v>
      </c>
      <c r="B3762">
        <v>59</v>
      </c>
      <c r="C3762" t="s">
        <v>4803</v>
      </c>
      <c r="D3762" t="s">
        <v>13</v>
      </c>
      <c r="E3762">
        <v>66</v>
      </c>
      <c r="F3762">
        <v>43</v>
      </c>
      <c r="G3762" t="s">
        <v>4798</v>
      </c>
      <c r="H3762" t="s">
        <v>4805</v>
      </c>
      <c r="I3762">
        <v>13.99</v>
      </c>
      <c r="J3762">
        <v>3</v>
      </c>
      <c r="K3762">
        <v>2.0299999999999998</v>
      </c>
      <c r="L3762">
        <v>0</v>
      </c>
      <c r="M3762" t="s">
        <v>4808</v>
      </c>
      <c r="N3762" t="s">
        <v>4900</v>
      </c>
      <c r="O3762" t="s">
        <v>4911</v>
      </c>
    </row>
    <row r="3763" spans="1:15" x14ac:dyDescent="0.35">
      <c r="A3763" t="s">
        <v>3708</v>
      </c>
      <c r="B3763">
        <v>48</v>
      </c>
      <c r="C3763" t="s">
        <v>4803</v>
      </c>
      <c r="D3763" t="s">
        <v>13</v>
      </c>
      <c r="E3763">
        <v>43</v>
      </c>
      <c r="F3763">
        <v>9</v>
      </c>
      <c r="G3763" t="s">
        <v>4797</v>
      </c>
      <c r="H3763" t="s">
        <v>4805</v>
      </c>
      <c r="I3763">
        <v>13.99</v>
      </c>
      <c r="J3763">
        <v>1</v>
      </c>
      <c r="K3763">
        <v>1.43</v>
      </c>
      <c r="L3763">
        <v>0</v>
      </c>
      <c r="M3763" t="s">
        <v>4808</v>
      </c>
      <c r="N3763" t="s">
        <v>4900</v>
      </c>
      <c r="O3763" t="s">
        <v>4910</v>
      </c>
    </row>
    <row r="3764" spans="1:15" x14ac:dyDescent="0.35">
      <c r="A3764" t="s">
        <v>3709</v>
      </c>
      <c r="B3764">
        <v>31</v>
      </c>
      <c r="C3764" t="s">
        <v>4802</v>
      </c>
      <c r="D3764" t="s">
        <v>13</v>
      </c>
      <c r="E3764">
        <v>70</v>
      </c>
      <c r="F3764">
        <v>0</v>
      </c>
      <c r="G3764" t="s">
        <v>4800</v>
      </c>
      <c r="H3764" t="s">
        <v>4804</v>
      </c>
      <c r="I3764">
        <v>13.99</v>
      </c>
      <c r="J3764">
        <v>2</v>
      </c>
      <c r="K3764">
        <v>2.33</v>
      </c>
      <c r="L3764">
        <v>0</v>
      </c>
      <c r="M3764" t="s">
        <v>4810</v>
      </c>
      <c r="N3764" t="s">
        <v>4900</v>
      </c>
      <c r="O3764" t="s">
        <v>4912</v>
      </c>
    </row>
    <row r="3765" spans="1:15" x14ac:dyDescent="0.35">
      <c r="A3765" t="s">
        <v>3710</v>
      </c>
      <c r="B3765">
        <v>24</v>
      </c>
      <c r="C3765" t="s">
        <v>4803</v>
      </c>
      <c r="D3765" t="s">
        <v>13</v>
      </c>
      <c r="E3765">
        <v>73</v>
      </c>
      <c r="F3765">
        <v>0</v>
      </c>
      <c r="G3765" t="s">
        <v>4800</v>
      </c>
      <c r="H3765" t="s">
        <v>4805</v>
      </c>
      <c r="I3765">
        <v>13.99</v>
      </c>
      <c r="J3765">
        <v>1</v>
      </c>
      <c r="K3765">
        <v>2.4300000000000002</v>
      </c>
      <c r="L3765">
        <v>0</v>
      </c>
      <c r="M3765" t="s">
        <v>4812</v>
      </c>
      <c r="N3765" t="s">
        <v>4900</v>
      </c>
      <c r="O3765" t="s">
        <v>4912</v>
      </c>
    </row>
    <row r="3766" spans="1:15" x14ac:dyDescent="0.35">
      <c r="A3766" t="s">
        <v>3711</v>
      </c>
      <c r="B3766">
        <v>26</v>
      </c>
      <c r="C3766" t="s">
        <v>4803</v>
      </c>
      <c r="D3766" t="s">
        <v>15</v>
      </c>
      <c r="E3766">
        <v>58</v>
      </c>
      <c r="F3766">
        <v>38</v>
      </c>
      <c r="G3766" t="s">
        <v>4799</v>
      </c>
      <c r="H3766" t="s">
        <v>4804</v>
      </c>
      <c r="I3766">
        <v>17.989999999999998</v>
      </c>
      <c r="J3766">
        <v>2</v>
      </c>
      <c r="K3766">
        <v>1.93</v>
      </c>
      <c r="L3766">
        <v>0</v>
      </c>
      <c r="M3766" t="s">
        <v>4808</v>
      </c>
      <c r="N3766" t="s">
        <v>4900</v>
      </c>
      <c r="O3766" t="s">
        <v>4912</v>
      </c>
    </row>
    <row r="3767" spans="1:15" x14ac:dyDescent="0.35">
      <c r="A3767" t="s">
        <v>3712</v>
      </c>
      <c r="B3767">
        <v>39</v>
      </c>
      <c r="C3767" t="s">
        <v>4803</v>
      </c>
      <c r="D3767" t="s">
        <v>14</v>
      </c>
      <c r="E3767">
        <v>35</v>
      </c>
      <c r="F3767">
        <v>59</v>
      </c>
      <c r="G3767" t="s">
        <v>4797</v>
      </c>
      <c r="H3767" t="s">
        <v>4805</v>
      </c>
      <c r="I3767">
        <v>8.99</v>
      </c>
      <c r="J3767">
        <v>2</v>
      </c>
      <c r="K3767">
        <v>1.17</v>
      </c>
      <c r="L3767">
        <v>0</v>
      </c>
      <c r="M3767" t="s">
        <v>4812</v>
      </c>
      <c r="N3767" t="s">
        <v>4900</v>
      </c>
      <c r="O3767" t="s">
        <v>4910</v>
      </c>
    </row>
    <row r="3768" spans="1:15" x14ac:dyDescent="0.35">
      <c r="A3768" t="s">
        <v>3713</v>
      </c>
      <c r="B3768">
        <v>33</v>
      </c>
      <c r="C3768" t="s">
        <v>4802</v>
      </c>
      <c r="D3768" t="s">
        <v>15</v>
      </c>
      <c r="E3768">
        <v>91</v>
      </c>
      <c r="F3768">
        <v>49</v>
      </c>
      <c r="G3768" t="s">
        <v>4798</v>
      </c>
      <c r="H3768" t="s">
        <v>4805</v>
      </c>
      <c r="I3768">
        <v>17.989999999999998</v>
      </c>
      <c r="J3768">
        <v>3</v>
      </c>
      <c r="K3768">
        <v>3.03</v>
      </c>
      <c r="L3768">
        <v>1</v>
      </c>
      <c r="M3768" t="s">
        <v>4809</v>
      </c>
      <c r="N3768" t="s">
        <v>4899</v>
      </c>
      <c r="O3768" t="s">
        <v>4912</v>
      </c>
    </row>
    <row r="3769" spans="1:15" x14ac:dyDescent="0.35">
      <c r="A3769" t="s">
        <v>3714</v>
      </c>
      <c r="B3769">
        <v>63</v>
      </c>
      <c r="C3769" t="s">
        <v>4802</v>
      </c>
      <c r="D3769" t="s">
        <v>14</v>
      </c>
      <c r="E3769">
        <v>41</v>
      </c>
      <c r="F3769">
        <v>28</v>
      </c>
      <c r="G3769" t="s">
        <v>4797</v>
      </c>
      <c r="H3769" t="s">
        <v>4805</v>
      </c>
      <c r="I3769">
        <v>8.99</v>
      </c>
      <c r="J3769">
        <v>4</v>
      </c>
      <c r="K3769">
        <v>1.37</v>
      </c>
      <c r="L3769">
        <v>1</v>
      </c>
      <c r="M3769" t="s">
        <v>4812</v>
      </c>
      <c r="N3769" t="s">
        <v>4899</v>
      </c>
      <c r="O3769" t="s">
        <v>4911</v>
      </c>
    </row>
    <row r="3770" spans="1:15" x14ac:dyDescent="0.35">
      <c r="A3770" t="s">
        <v>3715</v>
      </c>
      <c r="B3770">
        <v>60</v>
      </c>
      <c r="C3770" t="s">
        <v>4802</v>
      </c>
      <c r="D3770" t="s">
        <v>13</v>
      </c>
      <c r="E3770">
        <v>35</v>
      </c>
      <c r="F3770">
        <v>999</v>
      </c>
      <c r="G3770" t="s">
        <v>4797</v>
      </c>
      <c r="H3770" t="s">
        <v>4805</v>
      </c>
      <c r="I3770">
        <v>13.99</v>
      </c>
      <c r="J3770">
        <v>2</v>
      </c>
      <c r="K3770">
        <v>1.17</v>
      </c>
      <c r="L3770">
        <v>0</v>
      </c>
      <c r="M3770" t="s">
        <v>4811</v>
      </c>
      <c r="N3770" t="s">
        <v>4900</v>
      </c>
      <c r="O3770" t="s">
        <v>4911</v>
      </c>
    </row>
    <row r="3771" spans="1:15" x14ac:dyDescent="0.35">
      <c r="A3771" t="s">
        <v>3716</v>
      </c>
      <c r="B3771">
        <v>64</v>
      </c>
      <c r="C3771" t="s">
        <v>4802</v>
      </c>
      <c r="D3771" t="s">
        <v>15</v>
      </c>
      <c r="E3771">
        <v>97</v>
      </c>
      <c r="F3771">
        <v>46</v>
      </c>
      <c r="G3771" t="s">
        <v>4797</v>
      </c>
      <c r="H3771" t="s">
        <v>4804</v>
      </c>
      <c r="I3771">
        <v>17.989999999999998</v>
      </c>
      <c r="J3771">
        <v>5</v>
      </c>
      <c r="K3771">
        <v>3.23</v>
      </c>
      <c r="L3771">
        <v>0</v>
      </c>
      <c r="M3771" t="s">
        <v>4808</v>
      </c>
      <c r="N3771" t="s">
        <v>4900</v>
      </c>
      <c r="O3771" t="s">
        <v>4911</v>
      </c>
    </row>
    <row r="3772" spans="1:15" x14ac:dyDescent="0.35">
      <c r="A3772" t="s">
        <v>3717</v>
      </c>
      <c r="B3772">
        <v>56</v>
      </c>
      <c r="C3772" t="s">
        <v>4803</v>
      </c>
      <c r="D3772" t="s">
        <v>15</v>
      </c>
      <c r="E3772">
        <v>53</v>
      </c>
      <c r="F3772">
        <v>38</v>
      </c>
      <c r="G3772" t="s">
        <v>4798</v>
      </c>
      <c r="H3772" t="s">
        <v>4804</v>
      </c>
      <c r="I3772">
        <v>17.989999999999998</v>
      </c>
      <c r="J3772">
        <v>3</v>
      </c>
      <c r="K3772">
        <v>1.77</v>
      </c>
      <c r="L3772">
        <v>1</v>
      </c>
      <c r="M3772" t="s">
        <v>4808</v>
      </c>
      <c r="N3772" t="s">
        <v>4899</v>
      </c>
      <c r="O3772" t="s">
        <v>4911</v>
      </c>
    </row>
    <row r="3773" spans="1:15" x14ac:dyDescent="0.35">
      <c r="A3773" t="s">
        <v>3718</v>
      </c>
      <c r="B3773">
        <v>55</v>
      </c>
      <c r="C3773" t="s">
        <v>4803</v>
      </c>
      <c r="D3773" t="s">
        <v>15</v>
      </c>
      <c r="E3773">
        <v>63</v>
      </c>
      <c r="F3773">
        <v>7</v>
      </c>
      <c r="G3773" t="s">
        <v>4799</v>
      </c>
      <c r="H3773" t="s">
        <v>4806</v>
      </c>
      <c r="I3773">
        <v>17.989999999999998</v>
      </c>
      <c r="J3773">
        <v>2</v>
      </c>
      <c r="K3773">
        <v>2.1</v>
      </c>
      <c r="L3773">
        <v>0</v>
      </c>
      <c r="M3773" t="s">
        <v>4808</v>
      </c>
      <c r="N3773" t="s">
        <v>4900</v>
      </c>
      <c r="O3773" t="s">
        <v>4911</v>
      </c>
    </row>
    <row r="3774" spans="1:15" x14ac:dyDescent="0.35">
      <c r="A3774" t="s">
        <v>3719</v>
      </c>
      <c r="B3774">
        <v>26</v>
      </c>
      <c r="C3774" t="s">
        <v>4802</v>
      </c>
      <c r="D3774" t="s">
        <v>13</v>
      </c>
      <c r="E3774">
        <v>58</v>
      </c>
      <c r="F3774">
        <v>56</v>
      </c>
      <c r="G3774" t="s">
        <v>4798</v>
      </c>
      <c r="H3774" t="s">
        <v>4805</v>
      </c>
      <c r="I3774">
        <v>13.99</v>
      </c>
      <c r="J3774">
        <v>3</v>
      </c>
      <c r="K3774">
        <v>1.93</v>
      </c>
      <c r="L3774">
        <v>0</v>
      </c>
      <c r="M3774" t="s">
        <v>4809</v>
      </c>
      <c r="N3774" t="s">
        <v>4900</v>
      </c>
      <c r="O3774" t="s">
        <v>4912</v>
      </c>
    </row>
    <row r="3775" spans="1:15" x14ac:dyDescent="0.35">
      <c r="A3775" t="s">
        <v>3720</v>
      </c>
      <c r="B3775">
        <v>41</v>
      </c>
      <c r="C3775" t="s">
        <v>4803</v>
      </c>
      <c r="D3775" t="s">
        <v>15</v>
      </c>
      <c r="E3775">
        <v>70</v>
      </c>
      <c r="F3775">
        <v>26</v>
      </c>
      <c r="G3775" t="s">
        <v>4799</v>
      </c>
      <c r="H3775" t="s">
        <v>4804</v>
      </c>
      <c r="I3775">
        <v>17.989999999999998</v>
      </c>
      <c r="J3775">
        <v>2</v>
      </c>
      <c r="K3775">
        <v>2.0299999999999998</v>
      </c>
      <c r="L3775">
        <v>0</v>
      </c>
      <c r="M3775" t="s">
        <v>4812</v>
      </c>
      <c r="N3775" t="s">
        <v>4900</v>
      </c>
      <c r="O3775" t="s">
        <v>4910</v>
      </c>
    </row>
    <row r="3776" spans="1:15" x14ac:dyDescent="0.35">
      <c r="A3776" t="s">
        <v>3721</v>
      </c>
      <c r="B3776">
        <v>18</v>
      </c>
      <c r="C3776" t="s">
        <v>4802</v>
      </c>
      <c r="D3776" t="s">
        <v>13</v>
      </c>
      <c r="E3776">
        <v>65</v>
      </c>
      <c r="F3776">
        <v>35</v>
      </c>
      <c r="G3776" t="s">
        <v>4800</v>
      </c>
      <c r="H3776" t="s">
        <v>4806</v>
      </c>
      <c r="I3776">
        <v>13.99</v>
      </c>
      <c r="J3776">
        <v>3</v>
      </c>
      <c r="K3776">
        <v>2.17</v>
      </c>
      <c r="L3776">
        <v>0</v>
      </c>
      <c r="M3776" t="s">
        <v>4812</v>
      </c>
      <c r="N3776" t="s">
        <v>4900</v>
      </c>
      <c r="O3776" t="s">
        <v>4912</v>
      </c>
    </row>
    <row r="3777" spans="1:15" x14ac:dyDescent="0.35">
      <c r="A3777" t="s">
        <v>3722</v>
      </c>
      <c r="B3777">
        <v>46</v>
      </c>
      <c r="C3777" t="s">
        <v>4803</v>
      </c>
      <c r="D3777" t="s">
        <v>15</v>
      </c>
      <c r="E3777">
        <v>90</v>
      </c>
      <c r="F3777">
        <v>27</v>
      </c>
      <c r="G3777" t="s">
        <v>4798</v>
      </c>
      <c r="H3777" t="s">
        <v>4805</v>
      </c>
      <c r="I3777">
        <v>17.989999999999998</v>
      </c>
      <c r="J3777">
        <v>2</v>
      </c>
      <c r="K3777">
        <v>3</v>
      </c>
      <c r="L3777">
        <v>1</v>
      </c>
      <c r="M3777" t="s">
        <v>4811</v>
      </c>
      <c r="N3777" t="s">
        <v>4899</v>
      </c>
      <c r="O3777" t="s">
        <v>4910</v>
      </c>
    </row>
    <row r="3778" spans="1:15" x14ac:dyDescent="0.35">
      <c r="A3778" t="s">
        <v>3723</v>
      </c>
      <c r="B3778">
        <v>32</v>
      </c>
      <c r="C3778" t="s">
        <v>4803</v>
      </c>
      <c r="D3778" t="s">
        <v>13</v>
      </c>
      <c r="E3778">
        <v>55</v>
      </c>
      <c r="F3778">
        <v>999</v>
      </c>
      <c r="G3778" t="s">
        <v>4797</v>
      </c>
      <c r="H3778" t="s">
        <v>4804</v>
      </c>
      <c r="I3778">
        <v>13.99</v>
      </c>
      <c r="J3778">
        <v>3</v>
      </c>
      <c r="K3778">
        <v>1.83</v>
      </c>
      <c r="L3778">
        <v>0</v>
      </c>
      <c r="M3778" t="s">
        <v>4808</v>
      </c>
      <c r="N3778" t="s">
        <v>4900</v>
      </c>
      <c r="O3778" t="s">
        <v>4912</v>
      </c>
    </row>
    <row r="3779" spans="1:15" x14ac:dyDescent="0.35">
      <c r="A3779" t="s">
        <v>3724</v>
      </c>
      <c r="B3779">
        <v>52</v>
      </c>
      <c r="C3779" t="s">
        <v>4803</v>
      </c>
      <c r="D3779" t="s">
        <v>13</v>
      </c>
      <c r="E3779">
        <v>40</v>
      </c>
      <c r="F3779">
        <v>59</v>
      </c>
      <c r="G3779" t="s">
        <v>4797</v>
      </c>
      <c r="H3779" t="s">
        <v>4807</v>
      </c>
      <c r="I3779">
        <v>13.99</v>
      </c>
      <c r="J3779">
        <v>4</v>
      </c>
      <c r="K3779">
        <v>1.33</v>
      </c>
      <c r="L3779">
        <v>0</v>
      </c>
      <c r="M3779" t="s">
        <v>4812</v>
      </c>
      <c r="N3779" t="s">
        <v>4900</v>
      </c>
      <c r="O3779" t="s">
        <v>4910</v>
      </c>
    </row>
    <row r="3780" spans="1:15" x14ac:dyDescent="0.35">
      <c r="A3780" t="s">
        <v>3725</v>
      </c>
      <c r="B3780">
        <v>37</v>
      </c>
      <c r="C3780" t="s">
        <v>4803</v>
      </c>
      <c r="D3780" t="s">
        <v>13</v>
      </c>
      <c r="E3780">
        <v>63</v>
      </c>
      <c r="F3780">
        <v>45</v>
      </c>
      <c r="G3780" t="s">
        <v>4798</v>
      </c>
      <c r="H3780" t="s">
        <v>4804</v>
      </c>
      <c r="I3780">
        <v>13.99</v>
      </c>
      <c r="J3780">
        <v>1</v>
      </c>
      <c r="K3780">
        <v>2.1</v>
      </c>
      <c r="L3780">
        <v>0</v>
      </c>
      <c r="M3780" t="s">
        <v>4810</v>
      </c>
      <c r="N3780" t="s">
        <v>4900</v>
      </c>
      <c r="O3780" t="s">
        <v>4910</v>
      </c>
    </row>
    <row r="3781" spans="1:15" x14ac:dyDescent="0.35">
      <c r="A3781" t="s">
        <v>3726</v>
      </c>
      <c r="B3781">
        <v>27</v>
      </c>
      <c r="C3781" t="s">
        <v>4803</v>
      </c>
      <c r="D3781" t="s">
        <v>13</v>
      </c>
      <c r="E3781">
        <v>51</v>
      </c>
      <c r="F3781">
        <v>59</v>
      </c>
      <c r="G3781" t="s">
        <v>4798</v>
      </c>
      <c r="H3781" t="s">
        <v>4804</v>
      </c>
      <c r="I3781">
        <v>13.99</v>
      </c>
      <c r="J3781">
        <v>3</v>
      </c>
      <c r="K3781">
        <v>1.7</v>
      </c>
      <c r="L3781">
        <v>0</v>
      </c>
      <c r="M3781" t="s">
        <v>4809</v>
      </c>
      <c r="N3781" t="s">
        <v>4900</v>
      </c>
      <c r="O3781" t="s">
        <v>4912</v>
      </c>
    </row>
    <row r="3782" spans="1:15" x14ac:dyDescent="0.35">
      <c r="A3782" t="s">
        <v>3727</v>
      </c>
      <c r="B3782">
        <v>48</v>
      </c>
      <c r="C3782" t="s">
        <v>4802</v>
      </c>
      <c r="D3782" t="s">
        <v>15</v>
      </c>
      <c r="E3782">
        <v>76</v>
      </c>
      <c r="F3782">
        <v>22</v>
      </c>
      <c r="G3782" t="s">
        <v>4797</v>
      </c>
      <c r="H3782" t="s">
        <v>4805</v>
      </c>
      <c r="I3782">
        <v>17.989999999999998</v>
      </c>
      <c r="J3782">
        <v>3</v>
      </c>
      <c r="K3782">
        <v>2.5299999999999998</v>
      </c>
      <c r="L3782">
        <v>0</v>
      </c>
      <c r="M3782" t="s">
        <v>4809</v>
      </c>
      <c r="N3782" t="s">
        <v>4900</v>
      </c>
      <c r="O3782" t="s">
        <v>4910</v>
      </c>
    </row>
    <row r="3783" spans="1:15" x14ac:dyDescent="0.35">
      <c r="A3783" t="s">
        <v>3728</v>
      </c>
      <c r="B3783">
        <v>48</v>
      </c>
      <c r="C3783" t="s">
        <v>4803</v>
      </c>
      <c r="D3783" t="s">
        <v>13</v>
      </c>
      <c r="E3783">
        <v>37</v>
      </c>
      <c r="F3783">
        <v>27</v>
      </c>
      <c r="G3783" t="s">
        <v>4798</v>
      </c>
      <c r="H3783" t="s">
        <v>4806</v>
      </c>
      <c r="I3783">
        <v>13.99</v>
      </c>
      <c r="J3783">
        <v>2</v>
      </c>
      <c r="K3783">
        <v>1.23</v>
      </c>
      <c r="L3783">
        <v>0</v>
      </c>
      <c r="M3783" t="s">
        <v>4810</v>
      </c>
      <c r="N3783" t="s">
        <v>4900</v>
      </c>
      <c r="O3783" t="s">
        <v>4910</v>
      </c>
    </row>
    <row r="3784" spans="1:15" x14ac:dyDescent="0.35">
      <c r="A3784" t="s">
        <v>3729</v>
      </c>
      <c r="B3784">
        <v>41</v>
      </c>
      <c r="C3784" t="s">
        <v>4803</v>
      </c>
      <c r="D3784" t="s">
        <v>15</v>
      </c>
      <c r="E3784">
        <v>87</v>
      </c>
      <c r="F3784">
        <v>37</v>
      </c>
      <c r="G3784" t="s">
        <v>4798</v>
      </c>
      <c r="H3784" t="s">
        <v>4804</v>
      </c>
      <c r="I3784">
        <v>17.989999999999998</v>
      </c>
      <c r="J3784">
        <v>5</v>
      </c>
      <c r="K3784">
        <v>2.9</v>
      </c>
      <c r="L3784">
        <v>0</v>
      </c>
      <c r="M3784" t="s">
        <v>4809</v>
      </c>
      <c r="N3784" t="s">
        <v>4900</v>
      </c>
      <c r="O3784" t="s">
        <v>4910</v>
      </c>
    </row>
    <row r="3785" spans="1:15" x14ac:dyDescent="0.35">
      <c r="A3785" t="s">
        <v>3730</v>
      </c>
      <c r="B3785">
        <v>30</v>
      </c>
      <c r="C3785" t="s">
        <v>4802</v>
      </c>
      <c r="D3785" t="s">
        <v>15</v>
      </c>
      <c r="E3785">
        <v>102</v>
      </c>
      <c r="F3785">
        <v>39</v>
      </c>
      <c r="G3785" t="s">
        <v>4798</v>
      </c>
      <c r="H3785" t="s">
        <v>4804</v>
      </c>
      <c r="I3785">
        <v>17.989999999999998</v>
      </c>
      <c r="J3785">
        <v>3</v>
      </c>
      <c r="K3785">
        <v>2.0299999999999998</v>
      </c>
      <c r="L3785">
        <v>0</v>
      </c>
      <c r="M3785" t="s">
        <v>4808</v>
      </c>
      <c r="N3785" t="s">
        <v>4900</v>
      </c>
      <c r="O3785" t="s">
        <v>4912</v>
      </c>
    </row>
    <row r="3786" spans="1:15" x14ac:dyDescent="0.35">
      <c r="A3786" t="s">
        <v>3731</v>
      </c>
      <c r="B3786">
        <v>38</v>
      </c>
      <c r="C3786" t="s">
        <v>4802</v>
      </c>
      <c r="D3786" t="s">
        <v>15</v>
      </c>
      <c r="E3786">
        <v>96</v>
      </c>
      <c r="F3786">
        <v>22</v>
      </c>
      <c r="G3786" t="s">
        <v>4798</v>
      </c>
      <c r="H3786" t="s">
        <v>4805</v>
      </c>
      <c r="I3786">
        <v>17.989999999999998</v>
      </c>
      <c r="J3786">
        <v>5</v>
      </c>
      <c r="K3786">
        <v>3.2</v>
      </c>
      <c r="L3786">
        <v>0</v>
      </c>
      <c r="M3786" t="s">
        <v>4812</v>
      </c>
      <c r="N3786" t="s">
        <v>4900</v>
      </c>
      <c r="O3786" t="s">
        <v>4910</v>
      </c>
    </row>
    <row r="3787" spans="1:15" x14ac:dyDescent="0.35">
      <c r="A3787" t="s">
        <v>3732</v>
      </c>
      <c r="B3787">
        <v>42</v>
      </c>
      <c r="C3787" t="s">
        <v>4803</v>
      </c>
      <c r="D3787" t="s">
        <v>15</v>
      </c>
      <c r="E3787">
        <v>87</v>
      </c>
      <c r="F3787">
        <v>55</v>
      </c>
      <c r="G3787" t="s">
        <v>4798</v>
      </c>
      <c r="H3787" t="s">
        <v>4805</v>
      </c>
      <c r="I3787">
        <v>17.989999999999998</v>
      </c>
      <c r="J3787">
        <v>5</v>
      </c>
      <c r="K3787">
        <v>2.9</v>
      </c>
      <c r="L3787">
        <v>0</v>
      </c>
      <c r="M3787" t="s">
        <v>4811</v>
      </c>
      <c r="N3787" t="s">
        <v>4900</v>
      </c>
      <c r="O3787" t="s">
        <v>4910</v>
      </c>
    </row>
    <row r="3788" spans="1:15" x14ac:dyDescent="0.35">
      <c r="A3788" t="s">
        <v>3733</v>
      </c>
      <c r="B3788">
        <v>20</v>
      </c>
      <c r="C3788" t="s">
        <v>4803</v>
      </c>
      <c r="D3788" t="s">
        <v>15</v>
      </c>
      <c r="E3788">
        <v>76</v>
      </c>
      <c r="F3788">
        <v>46</v>
      </c>
      <c r="G3788" t="s">
        <v>4799</v>
      </c>
      <c r="H3788" t="s">
        <v>4805</v>
      </c>
      <c r="I3788">
        <v>17.989999999999998</v>
      </c>
      <c r="J3788">
        <v>4</v>
      </c>
      <c r="K3788">
        <v>2.5299999999999998</v>
      </c>
      <c r="L3788">
        <v>0</v>
      </c>
      <c r="M3788" t="s">
        <v>4808</v>
      </c>
      <c r="N3788" t="s">
        <v>4900</v>
      </c>
      <c r="O3788" t="s">
        <v>4912</v>
      </c>
    </row>
    <row r="3789" spans="1:15" x14ac:dyDescent="0.35">
      <c r="A3789" t="s">
        <v>3734</v>
      </c>
      <c r="B3789">
        <v>65</v>
      </c>
      <c r="C3789" t="s">
        <v>4802</v>
      </c>
      <c r="D3789" t="s">
        <v>13</v>
      </c>
      <c r="E3789">
        <v>46</v>
      </c>
      <c r="F3789">
        <v>6</v>
      </c>
      <c r="G3789" t="s">
        <v>4799</v>
      </c>
      <c r="H3789" t="s">
        <v>4804</v>
      </c>
      <c r="I3789">
        <v>13.99</v>
      </c>
      <c r="J3789">
        <v>2</v>
      </c>
      <c r="K3789">
        <v>1.53</v>
      </c>
      <c r="L3789">
        <v>0</v>
      </c>
      <c r="M3789" t="s">
        <v>4808</v>
      </c>
      <c r="N3789" t="s">
        <v>4900</v>
      </c>
      <c r="O3789" t="s">
        <v>4911</v>
      </c>
    </row>
    <row r="3790" spans="1:15" x14ac:dyDescent="0.35">
      <c r="A3790" t="s">
        <v>3735</v>
      </c>
      <c r="B3790">
        <v>51</v>
      </c>
      <c r="C3790" t="s">
        <v>4802</v>
      </c>
      <c r="D3790" t="s">
        <v>15</v>
      </c>
      <c r="E3790">
        <v>58</v>
      </c>
      <c r="F3790">
        <v>39</v>
      </c>
      <c r="G3790" t="s">
        <v>4798</v>
      </c>
      <c r="H3790" t="s">
        <v>4805</v>
      </c>
      <c r="I3790">
        <v>17.989999999999998</v>
      </c>
      <c r="J3790">
        <v>2</v>
      </c>
      <c r="K3790">
        <v>1.93</v>
      </c>
      <c r="L3790">
        <v>1</v>
      </c>
      <c r="M3790" t="s">
        <v>4809</v>
      </c>
      <c r="N3790" t="s">
        <v>4899</v>
      </c>
      <c r="O3790" t="s">
        <v>4910</v>
      </c>
    </row>
    <row r="3791" spans="1:15" x14ac:dyDescent="0.35">
      <c r="A3791" t="s">
        <v>3736</v>
      </c>
      <c r="B3791">
        <v>36</v>
      </c>
      <c r="C3791" t="s">
        <v>4802</v>
      </c>
      <c r="D3791" t="s">
        <v>13</v>
      </c>
      <c r="E3791">
        <v>62</v>
      </c>
      <c r="F3791">
        <v>16</v>
      </c>
      <c r="G3791" t="s">
        <v>4798</v>
      </c>
      <c r="H3791" t="s">
        <v>4804</v>
      </c>
      <c r="I3791">
        <v>13.99</v>
      </c>
      <c r="J3791">
        <v>4</v>
      </c>
      <c r="K3791">
        <v>2.0699999999999998</v>
      </c>
      <c r="L3791">
        <v>0</v>
      </c>
      <c r="M3791" t="s">
        <v>4811</v>
      </c>
      <c r="N3791" t="s">
        <v>4900</v>
      </c>
      <c r="O3791" t="s">
        <v>4910</v>
      </c>
    </row>
    <row r="3792" spans="1:15" x14ac:dyDescent="0.35">
      <c r="A3792" t="s">
        <v>3737</v>
      </c>
      <c r="B3792">
        <v>40</v>
      </c>
      <c r="C3792" t="s">
        <v>4802</v>
      </c>
      <c r="D3792" t="s">
        <v>13</v>
      </c>
      <c r="E3792">
        <v>69</v>
      </c>
      <c r="F3792">
        <v>56</v>
      </c>
      <c r="G3792" t="s">
        <v>4800</v>
      </c>
      <c r="H3792" t="s">
        <v>4806</v>
      </c>
      <c r="I3792">
        <v>13.99</v>
      </c>
      <c r="J3792">
        <v>2</v>
      </c>
      <c r="K3792">
        <v>2.2999999999999998</v>
      </c>
      <c r="L3792">
        <v>0</v>
      </c>
      <c r="M3792" t="s">
        <v>4809</v>
      </c>
      <c r="N3792" t="s">
        <v>4900</v>
      </c>
      <c r="O3792" t="s">
        <v>4910</v>
      </c>
    </row>
    <row r="3793" spans="1:15" x14ac:dyDescent="0.35">
      <c r="A3793" t="s">
        <v>3738</v>
      </c>
      <c r="B3793">
        <v>21</v>
      </c>
      <c r="C3793" t="s">
        <v>4803</v>
      </c>
      <c r="D3793" t="s">
        <v>14</v>
      </c>
      <c r="E3793">
        <v>79</v>
      </c>
      <c r="F3793">
        <v>36</v>
      </c>
      <c r="G3793" t="s">
        <v>4799</v>
      </c>
      <c r="H3793" t="s">
        <v>4805</v>
      </c>
      <c r="I3793">
        <v>8.99</v>
      </c>
      <c r="J3793">
        <v>2</v>
      </c>
      <c r="K3793">
        <v>2.63</v>
      </c>
      <c r="L3793">
        <v>0</v>
      </c>
      <c r="M3793" t="s">
        <v>4808</v>
      </c>
      <c r="N3793" t="s">
        <v>4900</v>
      </c>
      <c r="O3793" t="s">
        <v>4912</v>
      </c>
    </row>
    <row r="3794" spans="1:15" x14ac:dyDescent="0.35">
      <c r="A3794" t="s">
        <v>3739</v>
      </c>
      <c r="B3794">
        <v>29</v>
      </c>
      <c r="C3794" t="s">
        <v>4803</v>
      </c>
      <c r="D3794" t="s">
        <v>13</v>
      </c>
      <c r="E3794">
        <v>79</v>
      </c>
      <c r="F3794">
        <v>0</v>
      </c>
      <c r="G3794" t="s">
        <v>4798</v>
      </c>
      <c r="H3794" t="s">
        <v>4805</v>
      </c>
      <c r="I3794">
        <v>13.99</v>
      </c>
      <c r="J3794">
        <v>1</v>
      </c>
      <c r="K3794">
        <v>2.63</v>
      </c>
      <c r="L3794">
        <v>0</v>
      </c>
      <c r="M3794" t="s">
        <v>4809</v>
      </c>
      <c r="N3794" t="s">
        <v>4900</v>
      </c>
      <c r="O3794" t="s">
        <v>4912</v>
      </c>
    </row>
    <row r="3795" spans="1:15" x14ac:dyDescent="0.35">
      <c r="A3795" t="s">
        <v>3740</v>
      </c>
      <c r="B3795">
        <v>55</v>
      </c>
      <c r="C3795" t="s">
        <v>4803</v>
      </c>
      <c r="D3795" t="s">
        <v>13</v>
      </c>
      <c r="E3795">
        <v>77</v>
      </c>
      <c r="F3795">
        <v>12</v>
      </c>
      <c r="G3795" t="s">
        <v>4799</v>
      </c>
      <c r="H3795" t="s">
        <v>4805</v>
      </c>
      <c r="I3795">
        <v>13.99</v>
      </c>
      <c r="J3795">
        <v>1</v>
      </c>
      <c r="K3795">
        <v>2.57</v>
      </c>
      <c r="L3795">
        <v>0</v>
      </c>
      <c r="M3795" t="s">
        <v>4808</v>
      </c>
      <c r="N3795" t="s">
        <v>4900</v>
      </c>
      <c r="O3795" t="s">
        <v>4911</v>
      </c>
    </row>
    <row r="3796" spans="1:15" x14ac:dyDescent="0.35">
      <c r="A3796" t="s">
        <v>3741</v>
      </c>
      <c r="B3796">
        <v>48</v>
      </c>
      <c r="C3796" t="s">
        <v>4802</v>
      </c>
      <c r="D3796" t="s">
        <v>13</v>
      </c>
      <c r="E3796">
        <v>30</v>
      </c>
      <c r="F3796">
        <v>0</v>
      </c>
      <c r="G3796" t="s">
        <v>4798</v>
      </c>
      <c r="H3796" t="s">
        <v>4807</v>
      </c>
      <c r="I3796">
        <v>13.99</v>
      </c>
      <c r="J3796">
        <v>3</v>
      </c>
      <c r="K3796">
        <v>1</v>
      </c>
      <c r="L3796">
        <v>0</v>
      </c>
      <c r="M3796" t="s">
        <v>4811</v>
      </c>
      <c r="N3796" t="s">
        <v>4900</v>
      </c>
      <c r="O3796" t="s">
        <v>4910</v>
      </c>
    </row>
    <row r="3797" spans="1:15" x14ac:dyDescent="0.35">
      <c r="A3797" t="s">
        <v>3742</v>
      </c>
      <c r="B3797">
        <v>59</v>
      </c>
      <c r="C3797" t="s">
        <v>4803</v>
      </c>
      <c r="D3797" t="s">
        <v>13</v>
      </c>
      <c r="E3797">
        <v>35</v>
      </c>
      <c r="F3797">
        <v>60</v>
      </c>
      <c r="G3797" t="s">
        <v>4799</v>
      </c>
      <c r="H3797" t="s">
        <v>4805</v>
      </c>
      <c r="I3797">
        <v>13.99</v>
      </c>
      <c r="J3797">
        <v>2</v>
      </c>
      <c r="K3797">
        <v>1.17</v>
      </c>
      <c r="L3797">
        <v>0</v>
      </c>
      <c r="M3797" t="s">
        <v>4809</v>
      </c>
      <c r="N3797" t="s">
        <v>4900</v>
      </c>
      <c r="O3797" t="s">
        <v>4911</v>
      </c>
    </row>
    <row r="3798" spans="1:15" x14ac:dyDescent="0.35">
      <c r="A3798" t="s">
        <v>3743</v>
      </c>
      <c r="B3798">
        <v>29</v>
      </c>
      <c r="C3798" t="s">
        <v>4803</v>
      </c>
      <c r="D3798" t="s">
        <v>13</v>
      </c>
      <c r="E3798">
        <v>40</v>
      </c>
      <c r="F3798">
        <v>15</v>
      </c>
      <c r="G3798" t="s">
        <v>4800</v>
      </c>
      <c r="H3798" t="s">
        <v>4804</v>
      </c>
      <c r="I3798">
        <v>13.99</v>
      </c>
      <c r="J3798">
        <v>2</v>
      </c>
      <c r="K3798">
        <v>1.33</v>
      </c>
      <c r="L3798">
        <v>0</v>
      </c>
      <c r="M3798" t="s">
        <v>4808</v>
      </c>
      <c r="N3798" t="s">
        <v>4900</v>
      </c>
      <c r="O3798" t="s">
        <v>4912</v>
      </c>
    </row>
    <row r="3799" spans="1:15" x14ac:dyDescent="0.35">
      <c r="A3799" t="s">
        <v>3744</v>
      </c>
      <c r="B3799">
        <v>31</v>
      </c>
      <c r="C3799" t="s">
        <v>4802</v>
      </c>
      <c r="D3799" t="s">
        <v>13</v>
      </c>
      <c r="E3799">
        <v>71</v>
      </c>
      <c r="F3799">
        <v>60</v>
      </c>
      <c r="G3799" t="s">
        <v>4798</v>
      </c>
      <c r="H3799" t="s">
        <v>4805</v>
      </c>
      <c r="I3799">
        <v>13.99</v>
      </c>
      <c r="J3799">
        <v>4</v>
      </c>
      <c r="K3799">
        <v>2.37</v>
      </c>
      <c r="L3799">
        <v>0</v>
      </c>
      <c r="M3799" t="s">
        <v>4810</v>
      </c>
      <c r="N3799" t="s">
        <v>4900</v>
      </c>
      <c r="O3799" t="s">
        <v>4912</v>
      </c>
    </row>
    <row r="3800" spans="1:15" x14ac:dyDescent="0.35">
      <c r="A3800" t="s">
        <v>3745</v>
      </c>
      <c r="B3800">
        <v>55</v>
      </c>
      <c r="C3800" t="s">
        <v>4803</v>
      </c>
      <c r="D3800" t="s">
        <v>15</v>
      </c>
      <c r="E3800">
        <v>50</v>
      </c>
      <c r="F3800">
        <v>48</v>
      </c>
      <c r="G3800" t="s">
        <v>4799</v>
      </c>
      <c r="H3800" t="s">
        <v>4805</v>
      </c>
      <c r="I3800">
        <v>17.989999999999998</v>
      </c>
      <c r="J3800">
        <v>3</v>
      </c>
      <c r="K3800">
        <v>1.67</v>
      </c>
      <c r="L3800">
        <v>0</v>
      </c>
      <c r="M3800" t="s">
        <v>4812</v>
      </c>
      <c r="N3800" t="s">
        <v>4900</v>
      </c>
      <c r="O3800" t="s">
        <v>4911</v>
      </c>
    </row>
    <row r="3801" spans="1:15" x14ac:dyDescent="0.35">
      <c r="A3801" t="s">
        <v>3746</v>
      </c>
      <c r="B3801">
        <v>55</v>
      </c>
      <c r="C3801" t="s">
        <v>4802</v>
      </c>
      <c r="D3801" t="s">
        <v>15</v>
      </c>
      <c r="E3801">
        <v>119</v>
      </c>
      <c r="F3801">
        <v>5</v>
      </c>
      <c r="G3801" t="s">
        <v>4798</v>
      </c>
      <c r="H3801" t="s">
        <v>4804</v>
      </c>
      <c r="I3801">
        <v>17.989999999999998</v>
      </c>
      <c r="J3801">
        <v>3</v>
      </c>
      <c r="K3801">
        <v>3.97</v>
      </c>
      <c r="L3801">
        <v>0</v>
      </c>
      <c r="M3801" t="s">
        <v>4809</v>
      </c>
      <c r="N3801" t="s">
        <v>4900</v>
      </c>
      <c r="O3801" t="s">
        <v>4911</v>
      </c>
    </row>
    <row r="3802" spans="1:15" x14ac:dyDescent="0.35">
      <c r="A3802" t="s">
        <v>3747</v>
      </c>
      <c r="B3802">
        <v>54</v>
      </c>
      <c r="C3802" t="s">
        <v>4803</v>
      </c>
      <c r="D3802" t="s">
        <v>14</v>
      </c>
      <c r="E3802">
        <v>24</v>
      </c>
      <c r="F3802">
        <v>20</v>
      </c>
      <c r="G3802" t="s">
        <v>4799</v>
      </c>
      <c r="H3802" t="s">
        <v>4806</v>
      </c>
      <c r="I3802">
        <v>8.99</v>
      </c>
      <c r="J3802">
        <v>2</v>
      </c>
      <c r="K3802">
        <v>0.8</v>
      </c>
      <c r="L3802">
        <v>0</v>
      </c>
      <c r="M3802" t="s">
        <v>4810</v>
      </c>
      <c r="N3802" t="s">
        <v>4900</v>
      </c>
      <c r="O3802" t="s">
        <v>4910</v>
      </c>
    </row>
    <row r="3803" spans="1:15" x14ac:dyDescent="0.35">
      <c r="A3803" t="s">
        <v>3748</v>
      </c>
      <c r="B3803">
        <v>48</v>
      </c>
      <c r="C3803" t="s">
        <v>4802</v>
      </c>
      <c r="D3803" t="s">
        <v>13</v>
      </c>
      <c r="E3803">
        <v>75</v>
      </c>
      <c r="F3803">
        <v>999</v>
      </c>
      <c r="G3803" t="s">
        <v>4798</v>
      </c>
      <c r="H3803" t="s">
        <v>4804</v>
      </c>
      <c r="I3803">
        <v>13.99</v>
      </c>
      <c r="J3803">
        <v>3</v>
      </c>
      <c r="K3803">
        <v>2.0299999999999998</v>
      </c>
      <c r="L3803">
        <v>0</v>
      </c>
      <c r="M3803" t="s">
        <v>4810</v>
      </c>
      <c r="N3803" t="s">
        <v>4900</v>
      </c>
      <c r="O3803" t="s">
        <v>4910</v>
      </c>
    </row>
    <row r="3804" spans="1:15" x14ac:dyDescent="0.35">
      <c r="A3804" t="s">
        <v>3749</v>
      </c>
      <c r="B3804">
        <v>63</v>
      </c>
      <c r="C3804" t="s">
        <v>4803</v>
      </c>
      <c r="D3804" t="s">
        <v>15</v>
      </c>
      <c r="E3804">
        <v>81</v>
      </c>
      <c r="F3804">
        <v>51</v>
      </c>
      <c r="G3804" t="s">
        <v>4797</v>
      </c>
      <c r="H3804" t="s">
        <v>4805</v>
      </c>
      <c r="I3804">
        <v>17.989999999999998</v>
      </c>
      <c r="J3804">
        <v>4</v>
      </c>
      <c r="K3804">
        <v>2.7</v>
      </c>
      <c r="L3804">
        <v>1</v>
      </c>
      <c r="M3804" t="s">
        <v>4809</v>
      </c>
      <c r="N3804" t="s">
        <v>4899</v>
      </c>
      <c r="O3804" t="s">
        <v>4911</v>
      </c>
    </row>
    <row r="3805" spans="1:15" x14ac:dyDescent="0.35">
      <c r="A3805" t="s">
        <v>3750</v>
      </c>
      <c r="B3805">
        <v>45</v>
      </c>
      <c r="C3805" t="s">
        <v>4802</v>
      </c>
      <c r="D3805" t="s">
        <v>13</v>
      </c>
      <c r="E3805">
        <v>31</v>
      </c>
      <c r="F3805">
        <v>12</v>
      </c>
      <c r="G3805" t="s">
        <v>4798</v>
      </c>
      <c r="H3805" t="s">
        <v>4805</v>
      </c>
      <c r="I3805">
        <v>13.99</v>
      </c>
      <c r="J3805">
        <v>3</v>
      </c>
      <c r="K3805">
        <v>1.03</v>
      </c>
      <c r="L3805">
        <v>0</v>
      </c>
      <c r="M3805" t="s">
        <v>4810</v>
      </c>
      <c r="N3805" t="s">
        <v>4900</v>
      </c>
      <c r="O3805" t="s">
        <v>4910</v>
      </c>
    </row>
    <row r="3806" spans="1:15" x14ac:dyDescent="0.35">
      <c r="A3806" t="s">
        <v>3751</v>
      </c>
      <c r="B3806">
        <v>21</v>
      </c>
      <c r="C3806" t="s">
        <v>4802</v>
      </c>
      <c r="D3806" t="s">
        <v>13</v>
      </c>
      <c r="E3806">
        <v>73</v>
      </c>
      <c r="F3806">
        <v>18</v>
      </c>
      <c r="G3806" t="s">
        <v>4799</v>
      </c>
      <c r="H3806" t="s">
        <v>4805</v>
      </c>
      <c r="I3806">
        <v>13.99</v>
      </c>
      <c r="J3806">
        <v>1</v>
      </c>
      <c r="K3806">
        <v>2.4300000000000002</v>
      </c>
      <c r="L3806">
        <v>0</v>
      </c>
      <c r="M3806" t="s">
        <v>4809</v>
      </c>
      <c r="N3806" t="s">
        <v>4900</v>
      </c>
      <c r="O3806" t="s">
        <v>4912</v>
      </c>
    </row>
    <row r="3807" spans="1:15" x14ac:dyDescent="0.35">
      <c r="A3807" t="s">
        <v>3752</v>
      </c>
      <c r="B3807">
        <v>38</v>
      </c>
      <c r="C3807" t="s">
        <v>4803</v>
      </c>
      <c r="D3807" t="s">
        <v>13</v>
      </c>
      <c r="E3807">
        <v>79</v>
      </c>
      <c r="F3807">
        <v>9</v>
      </c>
      <c r="G3807" t="s">
        <v>4799</v>
      </c>
      <c r="H3807" t="s">
        <v>4806</v>
      </c>
      <c r="I3807">
        <v>13.99</v>
      </c>
      <c r="J3807">
        <v>2</v>
      </c>
      <c r="K3807">
        <v>2.63</v>
      </c>
      <c r="L3807">
        <v>0</v>
      </c>
      <c r="M3807" t="s">
        <v>4810</v>
      </c>
      <c r="N3807" t="s">
        <v>4900</v>
      </c>
      <c r="O3807" t="s">
        <v>4910</v>
      </c>
    </row>
    <row r="3808" spans="1:15" x14ac:dyDescent="0.35">
      <c r="A3808" t="s">
        <v>3753</v>
      </c>
      <c r="B3808">
        <v>27</v>
      </c>
      <c r="C3808" t="s">
        <v>4802</v>
      </c>
      <c r="D3808" t="s">
        <v>13</v>
      </c>
      <c r="E3808">
        <v>30</v>
      </c>
      <c r="F3808">
        <v>54</v>
      </c>
      <c r="G3808" t="s">
        <v>4799</v>
      </c>
      <c r="H3808" t="s">
        <v>4804</v>
      </c>
      <c r="I3808">
        <v>13.99</v>
      </c>
      <c r="J3808">
        <v>3</v>
      </c>
      <c r="K3808">
        <v>1</v>
      </c>
      <c r="L3808">
        <v>1</v>
      </c>
      <c r="M3808" t="s">
        <v>4812</v>
      </c>
      <c r="N3808" t="s">
        <v>4899</v>
      </c>
      <c r="O3808" t="s">
        <v>4912</v>
      </c>
    </row>
    <row r="3809" spans="1:15" x14ac:dyDescent="0.35">
      <c r="A3809" t="s">
        <v>3754</v>
      </c>
      <c r="B3809">
        <v>54</v>
      </c>
      <c r="C3809" t="s">
        <v>4803</v>
      </c>
      <c r="D3809" t="s">
        <v>13</v>
      </c>
      <c r="E3809">
        <v>64</v>
      </c>
      <c r="F3809">
        <v>51</v>
      </c>
      <c r="G3809" t="s">
        <v>4798</v>
      </c>
      <c r="H3809" t="s">
        <v>4805</v>
      </c>
      <c r="I3809">
        <v>13.99</v>
      </c>
      <c r="J3809">
        <v>2</v>
      </c>
      <c r="K3809">
        <v>2.13</v>
      </c>
      <c r="L3809">
        <v>0</v>
      </c>
      <c r="M3809" t="s">
        <v>4810</v>
      </c>
      <c r="N3809" t="s">
        <v>4900</v>
      </c>
      <c r="O3809" t="s">
        <v>4910</v>
      </c>
    </row>
    <row r="3810" spans="1:15" x14ac:dyDescent="0.35">
      <c r="A3810" t="s">
        <v>3755</v>
      </c>
      <c r="B3810">
        <v>50</v>
      </c>
      <c r="C3810" t="s">
        <v>4803</v>
      </c>
      <c r="D3810" t="s">
        <v>13</v>
      </c>
      <c r="E3810">
        <v>79</v>
      </c>
      <c r="F3810">
        <v>13</v>
      </c>
      <c r="G3810" t="s">
        <v>4798</v>
      </c>
      <c r="H3810" t="s">
        <v>4805</v>
      </c>
      <c r="I3810">
        <v>13.99</v>
      </c>
      <c r="J3810">
        <v>1</v>
      </c>
      <c r="K3810">
        <v>2.63</v>
      </c>
      <c r="L3810">
        <v>0</v>
      </c>
      <c r="M3810" t="s">
        <v>4812</v>
      </c>
      <c r="N3810" t="s">
        <v>4900</v>
      </c>
      <c r="O3810" t="s">
        <v>4910</v>
      </c>
    </row>
    <row r="3811" spans="1:15" x14ac:dyDescent="0.35">
      <c r="A3811" t="s">
        <v>3756</v>
      </c>
      <c r="B3811">
        <v>20</v>
      </c>
      <c r="C3811" t="s">
        <v>4803</v>
      </c>
      <c r="D3811" t="s">
        <v>13</v>
      </c>
      <c r="E3811">
        <v>79</v>
      </c>
      <c r="F3811">
        <v>0</v>
      </c>
      <c r="G3811" t="s">
        <v>4799</v>
      </c>
      <c r="H3811" t="s">
        <v>4804</v>
      </c>
      <c r="I3811">
        <v>13.99</v>
      </c>
      <c r="J3811">
        <v>2</v>
      </c>
      <c r="K3811">
        <v>2.63</v>
      </c>
      <c r="L3811">
        <v>0</v>
      </c>
      <c r="M3811" t="s">
        <v>4810</v>
      </c>
      <c r="N3811" t="s">
        <v>4900</v>
      </c>
      <c r="O3811" t="s">
        <v>4912</v>
      </c>
    </row>
    <row r="3812" spans="1:15" x14ac:dyDescent="0.35">
      <c r="A3812" t="s">
        <v>3757</v>
      </c>
      <c r="B3812">
        <v>29</v>
      </c>
      <c r="C3812" t="s">
        <v>4802</v>
      </c>
      <c r="D3812" t="s">
        <v>13</v>
      </c>
      <c r="E3812">
        <v>34</v>
      </c>
      <c r="F3812">
        <v>58</v>
      </c>
      <c r="G3812" t="s">
        <v>4797</v>
      </c>
      <c r="H3812" t="s">
        <v>4806</v>
      </c>
      <c r="I3812">
        <v>13.99</v>
      </c>
      <c r="J3812">
        <v>1</v>
      </c>
      <c r="K3812">
        <v>1.1299999999999999</v>
      </c>
      <c r="L3812">
        <v>1</v>
      </c>
      <c r="M3812" t="s">
        <v>4812</v>
      </c>
      <c r="N3812" t="s">
        <v>4899</v>
      </c>
      <c r="O3812" t="s">
        <v>4912</v>
      </c>
    </row>
    <row r="3813" spans="1:15" x14ac:dyDescent="0.35">
      <c r="A3813" t="s">
        <v>3758</v>
      </c>
      <c r="B3813">
        <v>41</v>
      </c>
      <c r="C3813" t="s">
        <v>4803</v>
      </c>
      <c r="D3813" t="s">
        <v>13</v>
      </c>
      <c r="E3813">
        <v>37</v>
      </c>
      <c r="F3813">
        <v>28</v>
      </c>
      <c r="G3813" t="s">
        <v>4798</v>
      </c>
      <c r="H3813" t="s">
        <v>4806</v>
      </c>
      <c r="I3813">
        <v>13.99</v>
      </c>
      <c r="J3813">
        <v>4</v>
      </c>
      <c r="K3813">
        <v>1.23</v>
      </c>
      <c r="L3813">
        <v>0</v>
      </c>
      <c r="M3813" t="s">
        <v>4810</v>
      </c>
      <c r="N3813" t="s">
        <v>4900</v>
      </c>
      <c r="O3813" t="s">
        <v>4910</v>
      </c>
    </row>
    <row r="3814" spans="1:15" x14ac:dyDescent="0.35">
      <c r="A3814" t="s">
        <v>3759</v>
      </c>
      <c r="B3814">
        <v>22</v>
      </c>
      <c r="C3814" t="s">
        <v>4802</v>
      </c>
      <c r="D3814" t="s">
        <v>13</v>
      </c>
      <c r="E3814">
        <v>50</v>
      </c>
      <c r="F3814">
        <v>53</v>
      </c>
      <c r="G3814" t="s">
        <v>4799</v>
      </c>
      <c r="H3814" t="s">
        <v>4804</v>
      </c>
      <c r="I3814">
        <v>13.99</v>
      </c>
      <c r="J3814">
        <v>4</v>
      </c>
      <c r="K3814">
        <v>1.67</v>
      </c>
      <c r="L3814">
        <v>0</v>
      </c>
      <c r="M3814" t="s">
        <v>4809</v>
      </c>
      <c r="N3814" t="s">
        <v>4900</v>
      </c>
      <c r="O3814" t="s">
        <v>4912</v>
      </c>
    </row>
    <row r="3815" spans="1:15" x14ac:dyDescent="0.35">
      <c r="A3815" t="s">
        <v>3760</v>
      </c>
      <c r="B3815">
        <v>33</v>
      </c>
      <c r="C3815" t="s">
        <v>4802</v>
      </c>
      <c r="D3815" t="s">
        <v>13</v>
      </c>
      <c r="E3815">
        <v>48</v>
      </c>
      <c r="F3815">
        <v>16</v>
      </c>
      <c r="G3815" t="s">
        <v>4799</v>
      </c>
      <c r="H3815" t="s">
        <v>4807</v>
      </c>
      <c r="I3815">
        <v>13.99</v>
      </c>
      <c r="J3815">
        <v>4</v>
      </c>
      <c r="K3815">
        <v>1.6</v>
      </c>
      <c r="L3815">
        <v>0</v>
      </c>
      <c r="M3815" t="s">
        <v>4808</v>
      </c>
      <c r="N3815" t="s">
        <v>4900</v>
      </c>
      <c r="O3815" t="s">
        <v>4912</v>
      </c>
    </row>
    <row r="3816" spans="1:15" x14ac:dyDescent="0.35">
      <c r="A3816" t="s">
        <v>3761</v>
      </c>
      <c r="B3816">
        <v>37</v>
      </c>
      <c r="C3816" t="s">
        <v>4803</v>
      </c>
      <c r="D3816" t="s">
        <v>13</v>
      </c>
      <c r="E3816">
        <v>42</v>
      </c>
      <c r="F3816">
        <v>52</v>
      </c>
      <c r="G3816" t="s">
        <v>4798</v>
      </c>
      <c r="H3816" t="s">
        <v>4804</v>
      </c>
      <c r="I3816">
        <v>13.99</v>
      </c>
      <c r="J3816">
        <v>4</v>
      </c>
      <c r="K3816">
        <v>1.4</v>
      </c>
      <c r="L3816">
        <v>0</v>
      </c>
      <c r="M3816" t="s">
        <v>4809</v>
      </c>
      <c r="N3816" t="s">
        <v>4900</v>
      </c>
      <c r="O3816" t="s">
        <v>4910</v>
      </c>
    </row>
    <row r="3817" spans="1:15" x14ac:dyDescent="0.35">
      <c r="A3817" t="s">
        <v>3762</v>
      </c>
      <c r="B3817">
        <v>27</v>
      </c>
      <c r="C3817" t="s">
        <v>4803</v>
      </c>
      <c r="D3817" t="s">
        <v>15</v>
      </c>
      <c r="E3817">
        <v>114</v>
      </c>
      <c r="F3817">
        <v>19</v>
      </c>
      <c r="G3817" t="s">
        <v>4798</v>
      </c>
      <c r="H3817" t="s">
        <v>4804</v>
      </c>
      <c r="I3817">
        <v>17.989999999999998</v>
      </c>
      <c r="J3817">
        <v>2</v>
      </c>
      <c r="K3817">
        <v>3.8</v>
      </c>
      <c r="L3817">
        <v>0</v>
      </c>
      <c r="M3817" t="s">
        <v>4810</v>
      </c>
      <c r="N3817" t="s">
        <v>4900</v>
      </c>
      <c r="O3817" t="s">
        <v>4912</v>
      </c>
    </row>
    <row r="3818" spans="1:15" x14ac:dyDescent="0.35">
      <c r="A3818" t="s">
        <v>3763</v>
      </c>
      <c r="B3818">
        <v>62</v>
      </c>
      <c r="C3818" t="s">
        <v>4803</v>
      </c>
      <c r="D3818" t="s">
        <v>15</v>
      </c>
      <c r="E3818">
        <v>70</v>
      </c>
      <c r="F3818">
        <v>22</v>
      </c>
      <c r="G3818" t="s">
        <v>4798</v>
      </c>
      <c r="H3818" t="s">
        <v>4804</v>
      </c>
      <c r="I3818">
        <v>17.989999999999998</v>
      </c>
      <c r="J3818">
        <v>3</v>
      </c>
      <c r="K3818">
        <v>2.33</v>
      </c>
      <c r="L3818">
        <v>0</v>
      </c>
      <c r="M3818" t="s">
        <v>4809</v>
      </c>
      <c r="N3818" t="s">
        <v>4900</v>
      </c>
      <c r="O3818" t="s">
        <v>4911</v>
      </c>
    </row>
    <row r="3819" spans="1:15" x14ac:dyDescent="0.35">
      <c r="A3819" t="s">
        <v>3764</v>
      </c>
      <c r="B3819">
        <v>47</v>
      </c>
      <c r="C3819" t="s">
        <v>4803</v>
      </c>
      <c r="D3819" t="s">
        <v>13</v>
      </c>
      <c r="E3819">
        <v>76</v>
      </c>
      <c r="F3819">
        <v>49</v>
      </c>
      <c r="G3819" t="s">
        <v>4799</v>
      </c>
      <c r="H3819" t="s">
        <v>4805</v>
      </c>
      <c r="I3819">
        <v>13.99</v>
      </c>
      <c r="J3819">
        <v>3</v>
      </c>
      <c r="K3819">
        <v>2.5299999999999998</v>
      </c>
      <c r="L3819">
        <v>0</v>
      </c>
      <c r="M3819" t="s">
        <v>4809</v>
      </c>
      <c r="N3819" t="s">
        <v>4900</v>
      </c>
      <c r="O3819" t="s">
        <v>4910</v>
      </c>
    </row>
    <row r="3820" spans="1:15" x14ac:dyDescent="0.35">
      <c r="A3820" t="s">
        <v>3765</v>
      </c>
      <c r="B3820">
        <v>47</v>
      </c>
      <c r="C3820" t="s">
        <v>4803</v>
      </c>
      <c r="D3820" t="s">
        <v>13</v>
      </c>
      <c r="E3820">
        <v>43</v>
      </c>
      <c r="F3820">
        <v>34</v>
      </c>
      <c r="G3820" t="s">
        <v>4799</v>
      </c>
      <c r="H3820" t="s">
        <v>4804</v>
      </c>
      <c r="I3820">
        <v>13.99</v>
      </c>
      <c r="J3820">
        <v>4</v>
      </c>
      <c r="K3820">
        <v>1.43</v>
      </c>
      <c r="L3820">
        <v>0</v>
      </c>
      <c r="M3820" t="s">
        <v>4812</v>
      </c>
      <c r="N3820" t="s">
        <v>4900</v>
      </c>
      <c r="O3820" t="s">
        <v>4910</v>
      </c>
    </row>
    <row r="3821" spans="1:15" x14ac:dyDescent="0.35">
      <c r="A3821" t="s">
        <v>3766</v>
      </c>
      <c r="B3821">
        <v>33</v>
      </c>
      <c r="C3821" t="s">
        <v>4802</v>
      </c>
      <c r="D3821" t="s">
        <v>15</v>
      </c>
      <c r="E3821">
        <v>66</v>
      </c>
      <c r="F3821">
        <v>46</v>
      </c>
      <c r="G3821" t="s">
        <v>4799</v>
      </c>
      <c r="H3821" t="s">
        <v>4805</v>
      </c>
      <c r="I3821">
        <v>17.989999999999998</v>
      </c>
      <c r="J3821">
        <v>4</v>
      </c>
      <c r="K3821">
        <v>2.0299999999999998</v>
      </c>
      <c r="L3821">
        <v>0</v>
      </c>
      <c r="M3821" t="s">
        <v>4812</v>
      </c>
      <c r="N3821" t="s">
        <v>4900</v>
      </c>
      <c r="O3821" t="s">
        <v>4912</v>
      </c>
    </row>
    <row r="3822" spans="1:15" x14ac:dyDescent="0.35">
      <c r="A3822" t="s">
        <v>3767</v>
      </c>
      <c r="B3822">
        <v>19</v>
      </c>
      <c r="C3822" t="s">
        <v>4803</v>
      </c>
      <c r="D3822" t="s">
        <v>13</v>
      </c>
      <c r="E3822">
        <v>78</v>
      </c>
      <c r="F3822">
        <v>52</v>
      </c>
      <c r="G3822" t="s">
        <v>4797</v>
      </c>
      <c r="H3822" t="s">
        <v>4806</v>
      </c>
      <c r="I3822">
        <v>13.99</v>
      </c>
      <c r="J3822">
        <v>2</v>
      </c>
      <c r="K3822">
        <v>2.6</v>
      </c>
      <c r="L3822">
        <v>1</v>
      </c>
      <c r="M3822" t="s">
        <v>4811</v>
      </c>
      <c r="N3822" t="s">
        <v>4899</v>
      </c>
      <c r="O3822" t="s">
        <v>4912</v>
      </c>
    </row>
    <row r="3823" spans="1:15" x14ac:dyDescent="0.35">
      <c r="A3823" t="s">
        <v>3768</v>
      </c>
      <c r="B3823">
        <v>35</v>
      </c>
      <c r="C3823" t="s">
        <v>4803</v>
      </c>
      <c r="D3823" t="s">
        <v>15</v>
      </c>
      <c r="E3823">
        <v>73</v>
      </c>
      <c r="F3823">
        <v>11</v>
      </c>
      <c r="G3823" t="s">
        <v>4798</v>
      </c>
      <c r="H3823" t="s">
        <v>4805</v>
      </c>
      <c r="I3823">
        <v>17.989999999999998</v>
      </c>
      <c r="J3823">
        <v>5</v>
      </c>
      <c r="K3823">
        <v>2.4300000000000002</v>
      </c>
      <c r="L3823">
        <v>0</v>
      </c>
      <c r="M3823" t="s">
        <v>4810</v>
      </c>
      <c r="N3823" t="s">
        <v>4900</v>
      </c>
      <c r="O3823" t="s">
        <v>4910</v>
      </c>
    </row>
    <row r="3824" spans="1:15" x14ac:dyDescent="0.35">
      <c r="A3824" t="s">
        <v>3769</v>
      </c>
      <c r="B3824">
        <v>46</v>
      </c>
      <c r="C3824" t="s">
        <v>4802</v>
      </c>
      <c r="D3824" t="s">
        <v>13</v>
      </c>
      <c r="E3824">
        <v>79</v>
      </c>
      <c r="F3824">
        <v>37</v>
      </c>
      <c r="G3824" t="s">
        <v>4797</v>
      </c>
      <c r="H3824" t="s">
        <v>4804</v>
      </c>
      <c r="I3824">
        <v>13.99</v>
      </c>
      <c r="J3824">
        <v>1</v>
      </c>
      <c r="K3824">
        <v>2.63</v>
      </c>
      <c r="L3824">
        <v>0</v>
      </c>
      <c r="M3824" t="s">
        <v>4809</v>
      </c>
      <c r="N3824" t="s">
        <v>4900</v>
      </c>
      <c r="O3824" t="s">
        <v>4910</v>
      </c>
    </row>
    <row r="3825" spans="1:15" x14ac:dyDescent="0.35">
      <c r="A3825" t="s">
        <v>3770</v>
      </c>
      <c r="B3825">
        <v>59</v>
      </c>
      <c r="C3825" t="s">
        <v>4802</v>
      </c>
      <c r="D3825" t="s">
        <v>13</v>
      </c>
      <c r="E3825">
        <v>36</v>
      </c>
      <c r="F3825">
        <v>18</v>
      </c>
      <c r="G3825" t="s">
        <v>4798</v>
      </c>
      <c r="H3825" t="s">
        <v>4806</v>
      </c>
      <c r="I3825">
        <v>13.99</v>
      </c>
      <c r="J3825">
        <v>2</v>
      </c>
      <c r="K3825">
        <v>1.2</v>
      </c>
      <c r="L3825">
        <v>0</v>
      </c>
      <c r="M3825" t="s">
        <v>4808</v>
      </c>
      <c r="N3825" t="s">
        <v>4900</v>
      </c>
      <c r="O3825" t="s">
        <v>4911</v>
      </c>
    </row>
    <row r="3826" spans="1:15" x14ac:dyDescent="0.35">
      <c r="A3826" t="s">
        <v>3771</v>
      </c>
      <c r="B3826">
        <v>61</v>
      </c>
      <c r="C3826" t="s">
        <v>4803</v>
      </c>
      <c r="D3826" t="s">
        <v>13</v>
      </c>
      <c r="E3826">
        <v>52</v>
      </c>
      <c r="F3826">
        <v>41</v>
      </c>
      <c r="G3826" t="s">
        <v>4799</v>
      </c>
      <c r="H3826" t="s">
        <v>4806</v>
      </c>
      <c r="I3826">
        <v>13.99</v>
      </c>
      <c r="J3826">
        <v>4</v>
      </c>
      <c r="K3826">
        <v>1.73</v>
      </c>
      <c r="L3826">
        <v>0</v>
      </c>
      <c r="M3826" t="s">
        <v>4811</v>
      </c>
      <c r="N3826" t="s">
        <v>4900</v>
      </c>
      <c r="O3826" t="s">
        <v>4911</v>
      </c>
    </row>
    <row r="3827" spans="1:15" x14ac:dyDescent="0.35">
      <c r="A3827" t="s">
        <v>3772</v>
      </c>
      <c r="B3827">
        <v>39</v>
      </c>
      <c r="C3827" t="s">
        <v>4802</v>
      </c>
      <c r="D3827" t="s">
        <v>13</v>
      </c>
      <c r="E3827">
        <v>36</v>
      </c>
      <c r="F3827">
        <v>37</v>
      </c>
      <c r="G3827" t="s">
        <v>4797</v>
      </c>
      <c r="H3827" t="s">
        <v>4805</v>
      </c>
      <c r="I3827">
        <v>13.99</v>
      </c>
      <c r="J3827">
        <v>1</v>
      </c>
      <c r="K3827">
        <v>1.2</v>
      </c>
      <c r="L3827">
        <v>0</v>
      </c>
      <c r="M3827" t="s">
        <v>4809</v>
      </c>
      <c r="N3827" t="s">
        <v>4900</v>
      </c>
      <c r="O3827" t="s">
        <v>4910</v>
      </c>
    </row>
    <row r="3828" spans="1:15" x14ac:dyDescent="0.35">
      <c r="A3828" t="s">
        <v>3773</v>
      </c>
      <c r="B3828">
        <v>65</v>
      </c>
      <c r="C3828" t="s">
        <v>4803</v>
      </c>
      <c r="D3828" t="s">
        <v>13</v>
      </c>
      <c r="E3828">
        <v>35</v>
      </c>
      <c r="F3828">
        <v>52</v>
      </c>
      <c r="G3828" t="s">
        <v>4798</v>
      </c>
      <c r="H3828" t="s">
        <v>4804</v>
      </c>
      <c r="I3828">
        <v>13.99</v>
      </c>
      <c r="J3828">
        <v>3</v>
      </c>
      <c r="K3828">
        <v>1.17</v>
      </c>
      <c r="L3828">
        <v>0</v>
      </c>
      <c r="M3828" t="s">
        <v>4808</v>
      </c>
      <c r="N3828" t="s">
        <v>4900</v>
      </c>
      <c r="O3828" t="s">
        <v>4911</v>
      </c>
    </row>
    <row r="3829" spans="1:15" x14ac:dyDescent="0.35">
      <c r="A3829" t="s">
        <v>3774</v>
      </c>
      <c r="B3829">
        <v>35</v>
      </c>
      <c r="C3829" t="s">
        <v>4802</v>
      </c>
      <c r="D3829" t="s">
        <v>14</v>
      </c>
      <c r="E3829">
        <v>10</v>
      </c>
      <c r="F3829">
        <v>45</v>
      </c>
      <c r="G3829" t="s">
        <v>4799</v>
      </c>
      <c r="H3829" t="s">
        <v>4805</v>
      </c>
      <c r="I3829">
        <v>8.99</v>
      </c>
      <c r="J3829">
        <v>2</v>
      </c>
      <c r="K3829">
        <v>0.33</v>
      </c>
      <c r="L3829">
        <v>1</v>
      </c>
      <c r="M3829" t="s">
        <v>4811</v>
      </c>
      <c r="N3829" t="s">
        <v>4899</v>
      </c>
      <c r="O3829" t="s">
        <v>4910</v>
      </c>
    </row>
    <row r="3830" spans="1:15" x14ac:dyDescent="0.35">
      <c r="A3830" t="s">
        <v>3775</v>
      </c>
      <c r="B3830">
        <v>55</v>
      </c>
      <c r="C3830" t="s">
        <v>4803</v>
      </c>
      <c r="D3830" t="s">
        <v>13</v>
      </c>
      <c r="E3830">
        <v>65</v>
      </c>
      <c r="F3830">
        <v>37</v>
      </c>
      <c r="G3830" t="s">
        <v>4798</v>
      </c>
      <c r="H3830" t="s">
        <v>4804</v>
      </c>
      <c r="I3830">
        <v>13.99</v>
      </c>
      <c r="J3830">
        <v>1</v>
      </c>
      <c r="K3830">
        <v>2.17</v>
      </c>
      <c r="L3830">
        <v>1</v>
      </c>
      <c r="M3830" t="s">
        <v>4811</v>
      </c>
      <c r="N3830" t="s">
        <v>4899</v>
      </c>
      <c r="O3830" t="s">
        <v>4911</v>
      </c>
    </row>
    <row r="3831" spans="1:15" x14ac:dyDescent="0.35">
      <c r="A3831" t="s">
        <v>3776</v>
      </c>
      <c r="B3831">
        <v>60</v>
      </c>
      <c r="C3831" t="s">
        <v>4802</v>
      </c>
      <c r="D3831" t="s">
        <v>15</v>
      </c>
      <c r="E3831">
        <v>116</v>
      </c>
      <c r="F3831">
        <v>52</v>
      </c>
      <c r="G3831" t="s">
        <v>4798</v>
      </c>
      <c r="H3831" t="s">
        <v>4805</v>
      </c>
      <c r="I3831">
        <v>17.989999999999998</v>
      </c>
      <c r="J3831">
        <v>2</v>
      </c>
      <c r="K3831">
        <v>3.87</v>
      </c>
      <c r="L3831">
        <v>0</v>
      </c>
      <c r="M3831" t="s">
        <v>4808</v>
      </c>
      <c r="N3831" t="s">
        <v>4900</v>
      </c>
      <c r="O3831" t="s">
        <v>4911</v>
      </c>
    </row>
    <row r="3832" spans="1:15" x14ac:dyDescent="0.35">
      <c r="A3832" t="s">
        <v>3777</v>
      </c>
      <c r="B3832">
        <v>45</v>
      </c>
      <c r="C3832" t="s">
        <v>4803</v>
      </c>
      <c r="D3832" t="s">
        <v>15</v>
      </c>
      <c r="E3832">
        <v>101</v>
      </c>
      <c r="F3832">
        <v>6</v>
      </c>
      <c r="G3832" t="s">
        <v>4798</v>
      </c>
      <c r="H3832" t="s">
        <v>4806</v>
      </c>
      <c r="I3832">
        <v>17.989999999999998</v>
      </c>
      <c r="J3832">
        <v>4</v>
      </c>
      <c r="K3832">
        <v>3.37</v>
      </c>
      <c r="L3832">
        <v>0</v>
      </c>
      <c r="M3832" t="s">
        <v>4811</v>
      </c>
      <c r="N3832" t="s">
        <v>4900</v>
      </c>
      <c r="O3832" t="s">
        <v>4910</v>
      </c>
    </row>
    <row r="3833" spans="1:15" x14ac:dyDescent="0.35">
      <c r="A3833" t="s">
        <v>3778</v>
      </c>
      <c r="B3833">
        <v>26</v>
      </c>
      <c r="C3833" t="s">
        <v>4803</v>
      </c>
      <c r="D3833" t="s">
        <v>14</v>
      </c>
      <c r="E3833">
        <v>110</v>
      </c>
      <c r="F3833">
        <v>44</v>
      </c>
      <c r="G3833" t="s">
        <v>4798</v>
      </c>
      <c r="H3833" t="s">
        <v>4806</v>
      </c>
      <c r="I3833">
        <v>8.99</v>
      </c>
      <c r="J3833">
        <v>2</v>
      </c>
      <c r="K3833">
        <v>3.67</v>
      </c>
      <c r="L3833">
        <v>0</v>
      </c>
      <c r="M3833" t="s">
        <v>4811</v>
      </c>
      <c r="N3833" t="s">
        <v>4900</v>
      </c>
      <c r="O3833" t="s">
        <v>4912</v>
      </c>
    </row>
    <row r="3834" spans="1:15" x14ac:dyDescent="0.35">
      <c r="A3834" t="s">
        <v>3779</v>
      </c>
      <c r="B3834">
        <v>60</v>
      </c>
      <c r="C3834" t="s">
        <v>4802</v>
      </c>
      <c r="D3834" t="s">
        <v>13</v>
      </c>
      <c r="E3834">
        <v>78</v>
      </c>
      <c r="F3834">
        <v>21</v>
      </c>
      <c r="G3834" t="s">
        <v>4799</v>
      </c>
      <c r="H3834" t="s">
        <v>4805</v>
      </c>
      <c r="I3834">
        <v>13.99</v>
      </c>
      <c r="J3834">
        <v>3</v>
      </c>
      <c r="K3834">
        <v>2.6</v>
      </c>
      <c r="L3834">
        <v>0</v>
      </c>
      <c r="M3834" t="s">
        <v>4809</v>
      </c>
      <c r="N3834" t="s">
        <v>4900</v>
      </c>
      <c r="O3834" t="s">
        <v>4911</v>
      </c>
    </row>
    <row r="3835" spans="1:15" x14ac:dyDescent="0.35">
      <c r="A3835" t="s">
        <v>4848</v>
      </c>
      <c r="B3835">
        <v>44</v>
      </c>
      <c r="C3835" t="s">
        <v>4803</v>
      </c>
      <c r="D3835" t="s">
        <v>13</v>
      </c>
      <c r="E3835">
        <v>37</v>
      </c>
      <c r="F3835">
        <v>43</v>
      </c>
      <c r="G3835" t="s">
        <v>4798</v>
      </c>
      <c r="H3835" t="s">
        <v>4804</v>
      </c>
      <c r="I3835">
        <v>13.99</v>
      </c>
      <c r="J3835">
        <v>3</v>
      </c>
      <c r="K3835">
        <v>5</v>
      </c>
      <c r="L3835">
        <v>1</v>
      </c>
      <c r="M3835" t="s">
        <v>4808</v>
      </c>
      <c r="N3835" t="s">
        <v>4899</v>
      </c>
      <c r="O3835" t="s">
        <v>4910</v>
      </c>
    </row>
    <row r="3836" spans="1:15" x14ac:dyDescent="0.35">
      <c r="A3836" t="s">
        <v>3780</v>
      </c>
      <c r="B3836">
        <v>50</v>
      </c>
      <c r="C3836" t="s">
        <v>4802</v>
      </c>
      <c r="D3836" t="s">
        <v>13</v>
      </c>
      <c r="E3836">
        <v>41</v>
      </c>
      <c r="F3836">
        <v>24</v>
      </c>
      <c r="G3836" t="s">
        <v>4799</v>
      </c>
      <c r="H3836" t="s">
        <v>4806</v>
      </c>
      <c r="I3836">
        <v>13.99</v>
      </c>
      <c r="J3836">
        <v>2</v>
      </c>
      <c r="K3836">
        <v>1.37</v>
      </c>
      <c r="L3836">
        <v>1</v>
      </c>
      <c r="M3836" t="s">
        <v>4809</v>
      </c>
      <c r="N3836" t="s">
        <v>4899</v>
      </c>
      <c r="O3836" t="s">
        <v>4910</v>
      </c>
    </row>
    <row r="3837" spans="1:15" x14ac:dyDescent="0.35">
      <c r="A3837" t="s">
        <v>3781</v>
      </c>
      <c r="B3837">
        <v>47</v>
      </c>
      <c r="C3837" t="s">
        <v>4802</v>
      </c>
      <c r="D3837" t="s">
        <v>13</v>
      </c>
      <c r="E3837">
        <v>73</v>
      </c>
      <c r="F3837">
        <v>32</v>
      </c>
      <c r="G3837" t="s">
        <v>4797</v>
      </c>
      <c r="H3837" t="s">
        <v>4804</v>
      </c>
      <c r="I3837">
        <v>13.99</v>
      </c>
      <c r="J3837">
        <v>4</v>
      </c>
      <c r="K3837">
        <v>2.4300000000000002</v>
      </c>
      <c r="L3837">
        <v>0</v>
      </c>
      <c r="M3837" t="s">
        <v>4809</v>
      </c>
      <c r="N3837" t="s">
        <v>4900</v>
      </c>
      <c r="O3837" t="s">
        <v>4910</v>
      </c>
    </row>
    <row r="3838" spans="1:15" x14ac:dyDescent="0.35">
      <c r="A3838" t="s">
        <v>3782</v>
      </c>
      <c r="B3838">
        <v>29</v>
      </c>
      <c r="C3838" t="s">
        <v>4803</v>
      </c>
      <c r="D3838" t="s">
        <v>13</v>
      </c>
      <c r="E3838">
        <v>66</v>
      </c>
      <c r="F3838">
        <v>11</v>
      </c>
      <c r="G3838" t="s">
        <v>4800</v>
      </c>
      <c r="H3838" t="s">
        <v>4805</v>
      </c>
      <c r="I3838">
        <v>13.99</v>
      </c>
      <c r="J3838">
        <v>2</v>
      </c>
      <c r="K3838">
        <v>2.2000000000000002</v>
      </c>
      <c r="L3838">
        <v>0</v>
      </c>
      <c r="M3838" t="s">
        <v>4809</v>
      </c>
      <c r="N3838" t="s">
        <v>4900</v>
      </c>
      <c r="O3838" t="s">
        <v>4912</v>
      </c>
    </row>
    <row r="3839" spans="1:15" x14ac:dyDescent="0.35">
      <c r="A3839" t="s">
        <v>3783</v>
      </c>
      <c r="B3839">
        <v>41</v>
      </c>
      <c r="C3839" t="s">
        <v>4803</v>
      </c>
      <c r="D3839" t="s">
        <v>13</v>
      </c>
      <c r="E3839">
        <v>71</v>
      </c>
      <c r="F3839">
        <v>37</v>
      </c>
      <c r="G3839" t="s">
        <v>4797</v>
      </c>
      <c r="H3839" t="s">
        <v>4804</v>
      </c>
      <c r="I3839">
        <v>13.99</v>
      </c>
      <c r="J3839">
        <v>4</v>
      </c>
      <c r="K3839">
        <v>2.37</v>
      </c>
      <c r="L3839">
        <v>1</v>
      </c>
      <c r="M3839" t="s">
        <v>4808</v>
      </c>
      <c r="N3839" t="s">
        <v>4899</v>
      </c>
      <c r="O3839" t="s">
        <v>4910</v>
      </c>
    </row>
    <row r="3840" spans="1:15" x14ac:dyDescent="0.35">
      <c r="A3840" t="s">
        <v>3784</v>
      </c>
      <c r="B3840">
        <v>56</v>
      </c>
      <c r="C3840" t="s">
        <v>4802</v>
      </c>
      <c r="D3840" t="s">
        <v>13</v>
      </c>
      <c r="E3840">
        <v>69</v>
      </c>
      <c r="F3840">
        <v>22</v>
      </c>
      <c r="G3840" t="s">
        <v>4798</v>
      </c>
      <c r="H3840" t="s">
        <v>4806</v>
      </c>
      <c r="I3840">
        <v>13.99</v>
      </c>
      <c r="J3840">
        <v>4</v>
      </c>
      <c r="K3840">
        <v>2.2999999999999998</v>
      </c>
      <c r="L3840">
        <v>0</v>
      </c>
      <c r="M3840" t="s">
        <v>4809</v>
      </c>
      <c r="N3840" t="s">
        <v>4900</v>
      </c>
      <c r="O3840" t="s">
        <v>4911</v>
      </c>
    </row>
    <row r="3841" spans="1:15" x14ac:dyDescent="0.35">
      <c r="A3841" t="s">
        <v>3785</v>
      </c>
      <c r="B3841">
        <v>31</v>
      </c>
      <c r="C3841" t="s">
        <v>4803</v>
      </c>
      <c r="D3841" t="s">
        <v>15</v>
      </c>
      <c r="E3841">
        <v>86</v>
      </c>
      <c r="F3841">
        <v>51</v>
      </c>
      <c r="G3841" t="s">
        <v>4797</v>
      </c>
      <c r="H3841" t="s">
        <v>4805</v>
      </c>
      <c r="I3841">
        <v>17.989999999999998</v>
      </c>
      <c r="J3841">
        <v>3</v>
      </c>
      <c r="K3841">
        <v>2.87</v>
      </c>
      <c r="L3841">
        <v>1</v>
      </c>
      <c r="M3841" t="s">
        <v>4809</v>
      </c>
      <c r="N3841" t="s">
        <v>4899</v>
      </c>
      <c r="O3841" t="s">
        <v>4912</v>
      </c>
    </row>
    <row r="3842" spans="1:15" x14ac:dyDescent="0.35">
      <c r="A3842" t="s">
        <v>3786</v>
      </c>
      <c r="B3842">
        <v>47</v>
      </c>
      <c r="C3842" t="s">
        <v>4803</v>
      </c>
      <c r="D3842" t="s">
        <v>14</v>
      </c>
      <c r="E3842">
        <v>41</v>
      </c>
      <c r="F3842">
        <v>54</v>
      </c>
      <c r="G3842" t="s">
        <v>4799</v>
      </c>
      <c r="H3842" t="s">
        <v>4804</v>
      </c>
      <c r="I3842">
        <v>8.99</v>
      </c>
      <c r="J3842">
        <v>2</v>
      </c>
      <c r="K3842">
        <v>1.37</v>
      </c>
      <c r="L3842">
        <v>0</v>
      </c>
      <c r="M3842" t="s">
        <v>4811</v>
      </c>
      <c r="N3842" t="s">
        <v>4900</v>
      </c>
      <c r="O3842" t="s">
        <v>4910</v>
      </c>
    </row>
    <row r="3843" spans="1:15" x14ac:dyDescent="0.35">
      <c r="A3843" t="s">
        <v>3787</v>
      </c>
      <c r="B3843">
        <v>21</v>
      </c>
      <c r="C3843" t="s">
        <v>4803</v>
      </c>
      <c r="D3843" t="s">
        <v>13</v>
      </c>
      <c r="E3843">
        <v>72</v>
      </c>
      <c r="F3843">
        <v>8</v>
      </c>
      <c r="G3843" t="s">
        <v>4798</v>
      </c>
      <c r="H3843" t="s">
        <v>4806</v>
      </c>
      <c r="I3843">
        <v>13.99</v>
      </c>
      <c r="J3843">
        <v>4</v>
      </c>
      <c r="K3843">
        <v>2.4</v>
      </c>
      <c r="L3843">
        <v>0</v>
      </c>
      <c r="M3843" t="s">
        <v>4809</v>
      </c>
      <c r="N3843" t="s">
        <v>4900</v>
      </c>
      <c r="O3843" t="s">
        <v>4912</v>
      </c>
    </row>
    <row r="3844" spans="1:15" x14ac:dyDescent="0.35">
      <c r="A3844" t="s">
        <v>3788</v>
      </c>
      <c r="B3844">
        <v>44</v>
      </c>
      <c r="C3844" t="s">
        <v>4803</v>
      </c>
      <c r="D3844" t="s">
        <v>13</v>
      </c>
      <c r="E3844">
        <v>74</v>
      </c>
      <c r="F3844">
        <v>28</v>
      </c>
      <c r="G3844" t="s">
        <v>4798</v>
      </c>
      <c r="H3844" t="s">
        <v>4805</v>
      </c>
      <c r="I3844">
        <v>13.99</v>
      </c>
      <c r="J3844">
        <v>1</v>
      </c>
      <c r="K3844">
        <v>2.4700000000000002</v>
      </c>
      <c r="L3844">
        <v>0</v>
      </c>
      <c r="M3844" t="s">
        <v>4812</v>
      </c>
      <c r="N3844" t="s">
        <v>4900</v>
      </c>
      <c r="O3844" t="s">
        <v>4910</v>
      </c>
    </row>
    <row r="3845" spans="1:15" x14ac:dyDescent="0.35">
      <c r="A3845" t="s">
        <v>3789</v>
      </c>
      <c r="B3845">
        <v>27</v>
      </c>
      <c r="C3845" t="s">
        <v>4802</v>
      </c>
      <c r="D3845" t="s">
        <v>13</v>
      </c>
      <c r="E3845">
        <v>75</v>
      </c>
      <c r="F3845">
        <v>18</v>
      </c>
      <c r="G3845" t="s">
        <v>4800</v>
      </c>
      <c r="H3845" t="s">
        <v>4806</v>
      </c>
      <c r="I3845">
        <v>13.99</v>
      </c>
      <c r="J3845">
        <v>4</v>
      </c>
      <c r="K3845">
        <v>2.5</v>
      </c>
      <c r="L3845">
        <v>0</v>
      </c>
      <c r="M3845" t="s">
        <v>4812</v>
      </c>
      <c r="N3845" t="s">
        <v>4900</v>
      </c>
      <c r="O3845" t="s">
        <v>4912</v>
      </c>
    </row>
    <row r="3846" spans="1:15" x14ac:dyDescent="0.35">
      <c r="A3846" t="s">
        <v>3790</v>
      </c>
      <c r="B3846">
        <v>45</v>
      </c>
      <c r="C3846" t="s">
        <v>4803</v>
      </c>
      <c r="D3846" t="s">
        <v>13</v>
      </c>
      <c r="E3846">
        <v>34</v>
      </c>
      <c r="F3846">
        <v>49</v>
      </c>
      <c r="G3846" t="s">
        <v>4797</v>
      </c>
      <c r="H3846" t="s">
        <v>4804</v>
      </c>
      <c r="I3846">
        <v>13.99</v>
      </c>
      <c r="J3846">
        <v>3</v>
      </c>
      <c r="K3846">
        <v>1.1299999999999999</v>
      </c>
      <c r="L3846">
        <v>0</v>
      </c>
      <c r="M3846" t="s">
        <v>4811</v>
      </c>
      <c r="N3846" t="s">
        <v>4900</v>
      </c>
      <c r="O3846" t="s">
        <v>4910</v>
      </c>
    </row>
    <row r="3847" spans="1:15" x14ac:dyDescent="0.35">
      <c r="A3847" t="s">
        <v>3791</v>
      </c>
      <c r="B3847">
        <v>22</v>
      </c>
      <c r="C3847" t="s">
        <v>4803</v>
      </c>
      <c r="D3847" t="s">
        <v>13</v>
      </c>
      <c r="E3847">
        <v>74</v>
      </c>
      <c r="F3847">
        <v>25</v>
      </c>
      <c r="G3847" t="s">
        <v>4798</v>
      </c>
      <c r="H3847" t="s">
        <v>4806</v>
      </c>
      <c r="I3847">
        <v>13.99</v>
      </c>
      <c r="J3847">
        <v>2</v>
      </c>
      <c r="K3847">
        <v>2.4700000000000002</v>
      </c>
      <c r="L3847">
        <v>0</v>
      </c>
      <c r="M3847" t="s">
        <v>4812</v>
      </c>
      <c r="N3847" t="s">
        <v>4900</v>
      </c>
      <c r="O3847" t="s">
        <v>4912</v>
      </c>
    </row>
    <row r="3848" spans="1:15" x14ac:dyDescent="0.35">
      <c r="A3848" t="s">
        <v>3792</v>
      </c>
      <c r="B3848">
        <v>30</v>
      </c>
      <c r="C3848" t="s">
        <v>4802</v>
      </c>
      <c r="D3848" t="s">
        <v>13</v>
      </c>
      <c r="E3848">
        <v>78</v>
      </c>
      <c r="F3848">
        <v>17</v>
      </c>
      <c r="G3848" t="s">
        <v>4799</v>
      </c>
      <c r="H3848" t="s">
        <v>4807</v>
      </c>
      <c r="I3848">
        <v>13.99</v>
      </c>
      <c r="J3848">
        <v>3</v>
      </c>
      <c r="K3848">
        <v>2.6</v>
      </c>
      <c r="L3848">
        <v>0</v>
      </c>
      <c r="M3848" t="s">
        <v>4810</v>
      </c>
      <c r="N3848" t="s">
        <v>4900</v>
      </c>
      <c r="O3848" t="s">
        <v>4912</v>
      </c>
    </row>
    <row r="3849" spans="1:15" x14ac:dyDescent="0.35">
      <c r="A3849" t="s">
        <v>3793</v>
      </c>
      <c r="B3849">
        <v>29</v>
      </c>
      <c r="C3849" t="s">
        <v>4803</v>
      </c>
      <c r="D3849" t="s">
        <v>13</v>
      </c>
      <c r="E3849">
        <v>42</v>
      </c>
      <c r="F3849">
        <v>22</v>
      </c>
      <c r="G3849" t="s">
        <v>4799</v>
      </c>
      <c r="H3849" t="s">
        <v>4804</v>
      </c>
      <c r="I3849">
        <v>13.99</v>
      </c>
      <c r="J3849">
        <v>3</v>
      </c>
      <c r="K3849">
        <v>1.4</v>
      </c>
      <c r="L3849">
        <v>0</v>
      </c>
      <c r="M3849" t="s">
        <v>4810</v>
      </c>
      <c r="N3849" t="s">
        <v>4900</v>
      </c>
      <c r="O3849" t="s">
        <v>4912</v>
      </c>
    </row>
    <row r="3850" spans="1:15" x14ac:dyDescent="0.35">
      <c r="A3850" t="s">
        <v>3794</v>
      </c>
      <c r="B3850">
        <v>58</v>
      </c>
      <c r="C3850" t="s">
        <v>4803</v>
      </c>
      <c r="D3850" t="s">
        <v>13</v>
      </c>
      <c r="E3850">
        <v>56</v>
      </c>
      <c r="F3850">
        <v>20</v>
      </c>
      <c r="G3850" t="s">
        <v>4798</v>
      </c>
      <c r="H3850" t="s">
        <v>4806</v>
      </c>
      <c r="I3850">
        <v>13.99</v>
      </c>
      <c r="J3850">
        <v>1</v>
      </c>
      <c r="K3850">
        <v>1.87</v>
      </c>
      <c r="L3850">
        <v>0</v>
      </c>
      <c r="M3850" t="s">
        <v>4809</v>
      </c>
      <c r="N3850" t="s">
        <v>4900</v>
      </c>
      <c r="O3850" t="s">
        <v>4911</v>
      </c>
    </row>
    <row r="3851" spans="1:15" x14ac:dyDescent="0.35">
      <c r="A3851" t="s">
        <v>3795</v>
      </c>
      <c r="B3851">
        <v>39</v>
      </c>
      <c r="C3851" t="s">
        <v>4802</v>
      </c>
      <c r="D3851" t="s">
        <v>13</v>
      </c>
      <c r="E3851">
        <v>80</v>
      </c>
      <c r="F3851">
        <v>26</v>
      </c>
      <c r="G3851" t="s">
        <v>4799</v>
      </c>
      <c r="H3851" t="s">
        <v>4804</v>
      </c>
      <c r="I3851">
        <v>13.99</v>
      </c>
      <c r="J3851">
        <v>1</v>
      </c>
      <c r="K3851">
        <v>2.67</v>
      </c>
      <c r="L3851">
        <v>1</v>
      </c>
      <c r="M3851" t="s">
        <v>4809</v>
      </c>
      <c r="N3851" t="s">
        <v>4899</v>
      </c>
      <c r="O3851" t="s">
        <v>4910</v>
      </c>
    </row>
    <row r="3852" spans="1:15" x14ac:dyDescent="0.35">
      <c r="A3852" t="s">
        <v>3796</v>
      </c>
      <c r="B3852">
        <v>44</v>
      </c>
      <c r="C3852" t="s">
        <v>4803</v>
      </c>
      <c r="D3852" t="s">
        <v>15</v>
      </c>
      <c r="E3852">
        <v>97</v>
      </c>
      <c r="F3852">
        <v>41</v>
      </c>
      <c r="G3852" t="s">
        <v>4797</v>
      </c>
      <c r="H3852" t="s">
        <v>4805</v>
      </c>
      <c r="I3852">
        <v>17.989999999999998</v>
      </c>
      <c r="J3852">
        <v>5</v>
      </c>
      <c r="K3852">
        <v>3.23</v>
      </c>
      <c r="L3852">
        <v>0</v>
      </c>
      <c r="M3852" t="s">
        <v>4812</v>
      </c>
      <c r="N3852" t="s">
        <v>4900</v>
      </c>
      <c r="O3852" t="s">
        <v>4910</v>
      </c>
    </row>
    <row r="3853" spans="1:15" x14ac:dyDescent="0.35">
      <c r="A3853" t="s">
        <v>3797</v>
      </c>
      <c r="B3853">
        <v>42</v>
      </c>
      <c r="C3853" t="s">
        <v>4802</v>
      </c>
      <c r="D3853" t="s">
        <v>13</v>
      </c>
      <c r="E3853">
        <v>57</v>
      </c>
      <c r="F3853">
        <v>56</v>
      </c>
      <c r="G3853" t="s">
        <v>4799</v>
      </c>
      <c r="H3853" t="s">
        <v>4805</v>
      </c>
      <c r="I3853">
        <v>13.99</v>
      </c>
      <c r="J3853">
        <v>2</v>
      </c>
      <c r="K3853">
        <v>1.9</v>
      </c>
      <c r="L3853">
        <v>0</v>
      </c>
      <c r="M3853" t="s">
        <v>4812</v>
      </c>
      <c r="N3853" t="s">
        <v>4900</v>
      </c>
      <c r="O3853" t="s">
        <v>4910</v>
      </c>
    </row>
    <row r="3854" spans="1:15" x14ac:dyDescent="0.35">
      <c r="A3854" t="s">
        <v>3798</v>
      </c>
      <c r="B3854">
        <v>29</v>
      </c>
      <c r="C3854" t="s">
        <v>4802</v>
      </c>
      <c r="D3854" t="s">
        <v>13</v>
      </c>
      <c r="E3854">
        <v>80</v>
      </c>
      <c r="F3854">
        <v>46</v>
      </c>
      <c r="G3854" t="s">
        <v>4800</v>
      </c>
      <c r="H3854" t="s">
        <v>4804</v>
      </c>
      <c r="I3854">
        <v>13.99</v>
      </c>
      <c r="J3854">
        <v>4</v>
      </c>
      <c r="K3854">
        <v>2.67</v>
      </c>
      <c r="L3854">
        <v>0</v>
      </c>
      <c r="M3854" t="s">
        <v>4812</v>
      </c>
      <c r="N3854" t="s">
        <v>4900</v>
      </c>
      <c r="O3854" t="s">
        <v>4912</v>
      </c>
    </row>
    <row r="3855" spans="1:15" x14ac:dyDescent="0.35">
      <c r="A3855" t="s">
        <v>3799</v>
      </c>
      <c r="B3855">
        <v>52</v>
      </c>
      <c r="C3855" t="s">
        <v>4803</v>
      </c>
      <c r="D3855" t="s">
        <v>13</v>
      </c>
      <c r="E3855">
        <v>54</v>
      </c>
      <c r="F3855">
        <v>39</v>
      </c>
      <c r="G3855" t="s">
        <v>4798</v>
      </c>
      <c r="H3855" t="s">
        <v>4806</v>
      </c>
      <c r="I3855">
        <v>13.99</v>
      </c>
      <c r="J3855">
        <v>4</v>
      </c>
      <c r="K3855">
        <v>5</v>
      </c>
      <c r="L3855">
        <v>0</v>
      </c>
      <c r="M3855" t="s">
        <v>4808</v>
      </c>
      <c r="N3855" t="s">
        <v>4900</v>
      </c>
      <c r="O3855" t="s">
        <v>4910</v>
      </c>
    </row>
    <row r="3856" spans="1:15" x14ac:dyDescent="0.35">
      <c r="A3856" t="s">
        <v>3800</v>
      </c>
      <c r="B3856">
        <v>53</v>
      </c>
      <c r="C3856" t="s">
        <v>4802</v>
      </c>
      <c r="D3856" t="s">
        <v>13</v>
      </c>
      <c r="E3856">
        <v>62</v>
      </c>
      <c r="F3856">
        <v>51</v>
      </c>
      <c r="G3856" t="s">
        <v>4799</v>
      </c>
      <c r="H3856" t="s">
        <v>4806</v>
      </c>
      <c r="I3856">
        <v>13.99</v>
      </c>
      <c r="J3856">
        <v>4</v>
      </c>
      <c r="K3856">
        <v>2.0699999999999998</v>
      </c>
      <c r="L3856">
        <v>0</v>
      </c>
      <c r="M3856" t="s">
        <v>4811</v>
      </c>
      <c r="N3856" t="s">
        <v>4900</v>
      </c>
      <c r="O3856" t="s">
        <v>4910</v>
      </c>
    </row>
    <row r="3857" spans="1:15" x14ac:dyDescent="0.35">
      <c r="A3857" t="s">
        <v>3801</v>
      </c>
      <c r="B3857">
        <v>43</v>
      </c>
      <c r="C3857" t="s">
        <v>4803</v>
      </c>
      <c r="D3857" t="s">
        <v>13</v>
      </c>
      <c r="E3857">
        <v>56</v>
      </c>
      <c r="F3857">
        <v>22</v>
      </c>
      <c r="G3857" t="s">
        <v>4798</v>
      </c>
      <c r="H3857" t="s">
        <v>4804</v>
      </c>
      <c r="I3857">
        <v>13.99</v>
      </c>
      <c r="J3857">
        <v>2</v>
      </c>
      <c r="K3857">
        <v>1.87</v>
      </c>
      <c r="L3857">
        <v>0</v>
      </c>
      <c r="M3857" t="s">
        <v>4809</v>
      </c>
      <c r="N3857" t="s">
        <v>4900</v>
      </c>
      <c r="O3857" t="s">
        <v>4910</v>
      </c>
    </row>
    <row r="3858" spans="1:15" x14ac:dyDescent="0.35">
      <c r="A3858" t="s">
        <v>3802</v>
      </c>
      <c r="B3858">
        <v>19</v>
      </c>
      <c r="C3858" t="s">
        <v>4802</v>
      </c>
      <c r="D3858" t="s">
        <v>13</v>
      </c>
      <c r="E3858">
        <v>39</v>
      </c>
      <c r="F3858">
        <v>7</v>
      </c>
      <c r="G3858" t="s">
        <v>4798</v>
      </c>
      <c r="H3858" t="s">
        <v>4805</v>
      </c>
      <c r="I3858">
        <v>13.99</v>
      </c>
      <c r="J3858">
        <v>4</v>
      </c>
      <c r="K3858">
        <v>1.3</v>
      </c>
      <c r="L3858">
        <v>0</v>
      </c>
      <c r="M3858" t="s">
        <v>4811</v>
      </c>
      <c r="N3858" t="s">
        <v>4900</v>
      </c>
      <c r="O3858" t="s">
        <v>4912</v>
      </c>
    </row>
    <row r="3859" spans="1:15" x14ac:dyDescent="0.35">
      <c r="A3859" t="s">
        <v>3803</v>
      </c>
      <c r="B3859">
        <v>42</v>
      </c>
      <c r="C3859" t="s">
        <v>4803</v>
      </c>
      <c r="D3859" t="s">
        <v>15</v>
      </c>
      <c r="E3859">
        <v>119</v>
      </c>
      <c r="F3859">
        <v>2</v>
      </c>
      <c r="G3859" t="s">
        <v>4797</v>
      </c>
      <c r="H3859" t="s">
        <v>4805</v>
      </c>
      <c r="I3859">
        <v>17.989999999999998</v>
      </c>
      <c r="J3859">
        <v>4</v>
      </c>
      <c r="K3859">
        <v>3.97</v>
      </c>
      <c r="L3859">
        <v>0</v>
      </c>
      <c r="M3859" t="s">
        <v>4811</v>
      </c>
      <c r="N3859" t="s">
        <v>4900</v>
      </c>
      <c r="O3859" t="s">
        <v>4910</v>
      </c>
    </row>
    <row r="3860" spans="1:15" x14ac:dyDescent="0.35">
      <c r="A3860" t="s">
        <v>3804</v>
      </c>
      <c r="B3860">
        <v>22</v>
      </c>
      <c r="C3860" t="s">
        <v>4803</v>
      </c>
      <c r="D3860" t="s">
        <v>14</v>
      </c>
      <c r="E3860">
        <v>38</v>
      </c>
      <c r="F3860">
        <v>29</v>
      </c>
      <c r="G3860" t="s">
        <v>4799</v>
      </c>
      <c r="H3860" t="s">
        <v>4804</v>
      </c>
      <c r="I3860">
        <v>8.99</v>
      </c>
      <c r="J3860">
        <v>1</v>
      </c>
      <c r="K3860">
        <v>2.0299999999999998</v>
      </c>
      <c r="L3860">
        <v>1</v>
      </c>
      <c r="M3860" t="s">
        <v>4810</v>
      </c>
      <c r="N3860" t="s">
        <v>4899</v>
      </c>
      <c r="O3860" t="s">
        <v>4912</v>
      </c>
    </row>
    <row r="3861" spans="1:15" x14ac:dyDescent="0.35">
      <c r="A3861" t="s">
        <v>3805</v>
      </c>
      <c r="B3861">
        <v>42</v>
      </c>
      <c r="C3861" t="s">
        <v>4802</v>
      </c>
      <c r="D3861" t="s">
        <v>13</v>
      </c>
      <c r="E3861">
        <v>55</v>
      </c>
      <c r="F3861">
        <v>49</v>
      </c>
      <c r="G3861" t="s">
        <v>4799</v>
      </c>
      <c r="H3861" t="s">
        <v>4804</v>
      </c>
      <c r="I3861">
        <v>13.99</v>
      </c>
      <c r="J3861">
        <v>4</v>
      </c>
      <c r="K3861">
        <v>1.83</v>
      </c>
      <c r="L3861">
        <v>1</v>
      </c>
      <c r="M3861" t="s">
        <v>4811</v>
      </c>
      <c r="N3861" t="s">
        <v>4899</v>
      </c>
      <c r="O3861" t="s">
        <v>4910</v>
      </c>
    </row>
    <row r="3862" spans="1:15" x14ac:dyDescent="0.35">
      <c r="A3862" t="s">
        <v>3806</v>
      </c>
      <c r="B3862">
        <v>62</v>
      </c>
      <c r="C3862" t="s">
        <v>4802</v>
      </c>
      <c r="D3862" t="s">
        <v>15</v>
      </c>
      <c r="E3862">
        <v>104</v>
      </c>
      <c r="F3862">
        <v>3</v>
      </c>
      <c r="G3862" t="s">
        <v>4799</v>
      </c>
      <c r="H3862" t="s">
        <v>4805</v>
      </c>
      <c r="I3862">
        <v>17.989999999999998</v>
      </c>
      <c r="J3862">
        <v>4</v>
      </c>
      <c r="K3862">
        <v>3.47</v>
      </c>
      <c r="L3862">
        <v>0</v>
      </c>
      <c r="M3862" t="s">
        <v>4812</v>
      </c>
      <c r="N3862" t="s">
        <v>4900</v>
      </c>
      <c r="O3862" t="s">
        <v>4911</v>
      </c>
    </row>
    <row r="3863" spans="1:15" x14ac:dyDescent="0.35">
      <c r="A3863" t="s">
        <v>3807</v>
      </c>
      <c r="B3863">
        <v>23</v>
      </c>
      <c r="C3863" t="s">
        <v>4802</v>
      </c>
      <c r="D3863" t="s">
        <v>13</v>
      </c>
      <c r="E3863">
        <v>75</v>
      </c>
      <c r="F3863">
        <v>5</v>
      </c>
      <c r="G3863" t="s">
        <v>4800</v>
      </c>
      <c r="H3863" t="s">
        <v>4805</v>
      </c>
      <c r="I3863">
        <v>13.99</v>
      </c>
      <c r="J3863">
        <v>2</v>
      </c>
      <c r="K3863">
        <v>2.5</v>
      </c>
      <c r="L3863">
        <v>0</v>
      </c>
      <c r="M3863" t="s">
        <v>4809</v>
      </c>
      <c r="N3863" t="s">
        <v>4900</v>
      </c>
      <c r="O3863" t="s">
        <v>4912</v>
      </c>
    </row>
    <row r="3864" spans="1:15" x14ac:dyDescent="0.35">
      <c r="A3864" t="s">
        <v>3808</v>
      </c>
      <c r="B3864">
        <v>39</v>
      </c>
      <c r="C3864" t="s">
        <v>4802</v>
      </c>
      <c r="D3864" t="s">
        <v>15</v>
      </c>
      <c r="E3864">
        <v>89</v>
      </c>
      <c r="F3864">
        <v>51</v>
      </c>
      <c r="G3864" t="s">
        <v>4798</v>
      </c>
      <c r="H3864" t="s">
        <v>4804</v>
      </c>
      <c r="I3864">
        <v>17.989999999999998</v>
      </c>
      <c r="J3864">
        <v>4</v>
      </c>
      <c r="K3864">
        <v>2.97</v>
      </c>
      <c r="L3864">
        <v>0</v>
      </c>
      <c r="M3864" t="s">
        <v>4809</v>
      </c>
      <c r="N3864" t="s">
        <v>4900</v>
      </c>
      <c r="O3864" t="s">
        <v>4910</v>
      </c>
    </row>
    <row r="3865" spans="1:15" x14ac:dyDescent="0.35">
      <c r="A3865" t="s">
        <v>3809</v>
      </c>
      <c r="B3865">
        <v>34</v>
      </c>
      <c r="C3865" t="s">
        <v>4803</v>
      </c>
      <c r="D3865" t="s">
        <v>13</v>
      </c>
      <c r="E3865">
        <v>64</v>
      </c>
      <c r="F3865">
        <v>49</v>
      </c>
      <c r="G3865" t="s">
        <v>4797</v>
      </c>
      <c r="H3865" t="s">
        <v>4805</v>
      </c>
      <c r="I3865">
        <v>13.99</v>
      </c>
      <c r="J3865">
        <v>4</v>
      </c>
      <c r="K3865">
        <v>2.13</v>
      </c>
      <c r="L3865">
        <v>1</v>
      </c>
      <c r="M3865" t="s">
        <v>4809</v>
      </c>
      <c r="N3865" t="s">
        <v>4899</v>
      </c>
      <c r="O3865" t="s">
        <v>4912</v>
      </c>
    </row>
    <row r="3866" spans="1:15" x14ac:dyDescent="0.35">
      <c r="A3866" t="s">
        <v>3810</v>
      </c>
      <c r="B3866">
        <v>64</v>
      </c>
      <c r="C3866" t="s">
        <v>4802</v>
      </c>
      <c r="D3866" t="s">
        <v>13</v>
      </c>
      <c r="E3866">
        <v>79</v>
      </c>
      <c r="F3866">
        <v>30</v>
      </c>
      <c r="G3866" t="s">
        <v>4798</v>
      </c>
      <c r="H3866" t="s">
        <v>4805</v>
      </c>
      <c r="I3866">
        <v>13.99</v>
      </c>
      <c r="J3866">
        <v>3</v>
      </c>
      <c r="K3866">
        <v>2.63</v>
      </c>
      <c r="L3866">
        <v>0</v>
      </c>
      <c r="M3866" t="s">
        <v>4810</v>
      </c>
      <c r="N3866" t="s">
        <v>4900</v>
      </c>
      <c r="O3866" t="s">
        <v>4911</v>
      </c>
    </row>
    <row r="3867" spans="1:15" x14ac:dyDescent="0.35">
      <c r="A3867" t="s">
        <v>3811</v>
      </c>
      <c r="B3867">
        <v>24</v>
      </c>
      <c r="C3867" t="s">
        <v>4802</v>
      </c>
      <c r="D3867" t="s">
        <v>13</v>
      </c>
      <c r="E3867">
        <v>46</v>
      </c>
      <c r="F3867">
        <v>49</v>
      </c>
      <c r="G3867" t="s">
        <v>4798</v>
      </c>
      <c r="H3867" t="s">
        <v>4805</v>
      </c>
      <c r="I3867">
        <v>13.99</v>
      </c>
      <c r="J3867">
        <v>3</v>
      </c>
      <c r="K3867">
        <v>1.53</v>
      </c>
      <c r="L3867">
        <v>0</v>
      </c>
      <c r="M3867" t="s">
        <v>4809</v>
      </c>
      <c r="N3867" t="s">
        <v>4900</v>
      </c>
      <c r="O3867" t="s">
        <v>4912</v>
      </c>
    </row>
    <row r="3868" spans="1:15" x14ac:dyDescent="0.35">
      <c r="A3868" t="s">
        <v>3812</v>
      </c>
      <c r="B3868">
        <v>61</v>
      </c>
      <c r="C3868" t="s">
        <v>4803</v>
      </c>
      <c r="D3868" t="s">
        <v>13</v>
      </c>
      <c r="E3868">
        <v>57</v>
      </c>
      <c r="F3868">
        <v>15</v>
      </c>
      <c r="G3868" t="s">
        <v>4798</v>
      </c>
      <c r="H3868" t="s">
        <v>4806</v>
      </c>
      <c r="I3868">
        <v>13.99</v>
      </c>
      <c r="J3868">
        <v>1</v>
      </c>
      <c r="K3868">
        <v>1.9</v>
      </c>
      <c r="L3868">
        <v>0</v>
      </c>
      <c r="M3868" t="s">
        <v>4811</v>
      </c>
      <c r="N3868" t="s">
        <v>4900</v>
      </c>
      <c r="O3868" t="s">
        <v>4911</v>
      </c>
    </row>
    <row r="3869" spans="1:15" x14ac:dyDescent="0.35">
      <c r="A3869" t="s">
        <v>3813</v>
      </c>
      <c r="B3869">
        <v>44</v>
      </c>
      <c r="C3869" t="s">
        <v>4803</v>
      </c>
      <c r="D3869" t="s">
        <v>13</v>
      </c>
      <c r="E3869">
        <v>68</v>
      </c>
      <c r="F3869">
        <v>39</v>
      </c>
      <c r="G3869" t="s">
        <v>4797</v>
      </c>
      <c r="H3869" t="s">
        <v>4804</v>
      </c>
      <c r="I3869">
        <v>13.99</v>
      </c>
      <c r="J3869">
        <v>1</v>
      </c>
      <c r="K3869">
        <v>2.27</v>
      </c>
      <c r="L3869">
        <v>1</v>
      </c>
      <c r="M3869" t="s">
        <v>4810</v>
      </c>
      <c r="N3869" t="s">
        <v>4899</v>
      </c>
      <c r="O3869" t="s">
        <v>4910</v>
      </c>
    </row>
    <row r="3870" spans="1:15" x14ac:dyDescent="0.35">
      <c r="A3870" t="s">
        <v>3814</v>
      </c>
      <c r="B3870">
        <v>19</v>
      </c>
      <c r="C3870" t="s">
        <v>4803</v>
      </c>
      <c r="D3870" t="s">
        <v>15</v>
      </c>
      <c r="E3870">
        <v>79</v>
      </c>
      <c r="F3870">
        <v>53</v>
      </c>
      <c r="G3870" t="s">
        <v>4798</v>
      </c>
      <c r="H3870" t="s">
        <v>4805</v>
      </c>
      <c r="I3870">
        <v>17.989999999999998</v>
      </c>
      <c r="J3870">
        <v>4</v>
      </c>
      <c r="K3870">
        <v>2.63</v>
      </c>
      <c r="L3870">
        <v>0</v>
      </c>
      <c r="M3870" t="s">
        <v>4811</v>
      </c>
      <c r="N3870" t="s">
        <v>4900</v>
      </c>
      <c r="O3870" t="s">
        <v>4912</v>
      </c>
    </row>
    <row r="3871" spans="1:15" x14ac:dyDescent="0.35">
      <c r="A3871" t="s">
        <v>3815</v>
      </c>
      <c r="B3871">
        <v>41</v>
      </c>
      <c r="C3871" t="s">
        <v>4802</v>
      </c>
      <c r="D3871" t="s">
        <v>14</v>
      </c>
      <c r="E3871">
        <v>20</v>
      </c>
      <c r="F3871">
        <v>38</v>
      </c>
      <c r="G3871" t="s">
        <v>4797</v>
      </c>
      <c r="H3871" t="s">
        <v>4804</v>
      </c>
      <c r="I3871">
        <v>8.99</v>
      </c>
      <c r="J3871">
        <v>2</v>
      </c>
      <c r="K3871">
        <v>0.67</v>
      </c>
      <c r="L3871">
        <v>1</v>
      </c>
      <c r="M3871" t="s">
        <v>4809</v>
      </c>
      <c r="N3871" t="s">
        <v>4899</v>
      </c>
      <c r="O3871" t="s">
        <v>4910</v>
      </c>
    </row>
    <row r="3872" spans="1:15" x14ac:dyDescent="0.35">
      <c r="A3872" t="s">
        <v>3816</v>
      </c>
      <c r="B3872">
        <v>24</v>
      </c>
      <c r="C3872" t="s">
        <v>4803</v>
      </c>
      <c r="D3872" t="s">
        <v>14</v>
      </c>
      <c r="E3872">
        <v>38</v>
      </c>
      <c r="F3872">
        <v>4</v>
      </c>
      <c r="G3872" t="s">
        <v>4797</v>
      </c>
      <c r="H3872" t="s">
        <v>4805</v>
      </c>
      <c r="I3872">
        <v>8.99</v>
      </c>
      <c r="J3872">
        <v>2</v>
      </c>
      <c r="K3872">
        <v>1.27</v>
      </c>
      <c r="L3872">
        <v>0</v>
      </c>
      <c r="M3872" t="s">
        <v>4810</v>
      </c>
      <c r="N3872" t="s">
        <v>4900</v>
      </c>
      <c r="O3872" t="s">
        <v>4912</v>
      </c>
    </row>
    <row r="3873" spans="1:15" x14ac:dyDescent="0.35">
      <c r="A3873" t="s">
        <v>3817</v>
      </c>
      <c r="B3873">
        <v>27</v>
      </c>
      <c r="C3873" t="s">
        <v>4803</v>
      </c>
      <c r="D3873" t="s">
        <v>15</v>
      </c>
      <c r="E3873">
        <v>94</v>
      </c>
      <c r="F3873">
        <v>59</v>
      </c>
      <c r="G3873" t="s">
        <v>4798</v>
      </c>
      <c r="H3873" t="s">
        <v>4806</v>
      </c>
      <c r="I3873">
        <v>17.989999999999998</v>
      </c>
      <c r="J3873">
        <v>5</v>
      </c>
      <c r="K3873">
        <v>3.13</v>
      </c>
      <c r="L3873">
        <v>0</v>
      </c>
      <c r="M3873" t="s">
        <v>4808</v>
      </c>
      <c r="N3873" t="s">
        <v>4900</v>
      </c>
      <c r="O3873" t="s">
        <v>4912</v>
      </c>
    </row>
    <row r="3874" spans="1:15" x14ac:dyDescent="0.35">
      <c r="A3874" t="s">
        <v>3818</v>
      </c>
      <c r="B3874">
        <v>61</v>
      </c>
      <c r="C3874" t="s">
        <v>4803</v>
      </c>
      <c r="D3874" t="s">
        <v>13</v>
      </c>
      <c r="E3874">
        <v>67</v>
      </c>
      <c r="F3874">
        <v>50</v>
      </c>
      <c r="G3874" t="s">
        <v>4797</v>
      </c>
      <c r="H3874" t="s">
        <v>4804</v>
      </c>
      <c r="I3874">
        <v>13.99</v>
      </c>
      <c r="J3874">
        <v>3</v>
      </c>
      <c r="K3874">
        <v>2.23</v>
      </c>
      <c r="L3874">
        <v>0</v>
      </c>
      <c r="M3874" t="s">
        <v>4812</v>
      </c>
      <c r="N3874" t="s">
        <v>4900</v>
      </c>
      <c r="O3874" t="s">
        <v>4911</v>
      </c>
    </row>
    <row r="3875" spans="1:15" x14ac:dyDescent="0.35">
      <c r="A3875" t="s">
        <v>3819</v>
      </c>
      <c r="B3875">
        <v>62</v>
      </c>
      <c r="C3875" t="s">
        <v>4802</v>
      </c>
      <c r="D3875" t="s">
        <v>14</v>
      </c>
      <c r="E3875">
        <v>26</v>
      </c>
      <c r="F3875">
        <v>13</v>
      </c>
      <c r="G3875" t="s">
        <v>4798</v>
      </c>
      <c r="H3875" t="s">
        <v>4807</v>
      </c>
      <c r="I3875">
        <v>8.99</v>
      </c>
      <c r="J3875">
        <v>2</v>
      </c>
      <c r="K3875">
        <v>2.0299999999999998</v>
      </c>
      <c r="L3875">
        <v>0</v>
      </c>
      <c r="M3875" t="s">
        <v>4810</v>
      </c>
      <c r="N3875" t="s">
        <v>4900</v>
      </c>
      <c r="O3875" t="s">
        <v>4911</v>
      </c>
    </row>
    <row r="3876" spans="1:15" x14ac:dyDescent="0.35">
      <c r="A3876" t="s">
        <v>3820</v>
      </c>
      <c r="B3876">
        <v>65</v>
      </c>
      <c r="C3876" t="s">
        <v>4803</v>
      </c>
      <c r="D3876" t="s">
        <v>13</v>
      </c>
      <c r="E3876">
        <v>35</v>
      </c>
      <c r="F3876">
        <v>30</v>
      </c>
      <c r="G3876" t="s">
        <v>4799</v>
      </c>
      <c r="H3876" t="s">
        <v>4804</v>
      </c>
      <c r="I3876">
        <v>13.99</v>
      </c>
      <c r="J3876">
        <v>1</v>
      </c>
      <c r="K3876">
        <v>1.17</v>
      </c>
      <c r="L3876">
        <v>0</v>
      </c>
      <c r="M3876" t="s">
        <v>4809</v>
      </c>
      <c r="N3876" t="s">
        <v>4900</v>
      </c>
      <c r="O3876" t="s">
        <v>4911</v>
      </c>
    </row>
    <row r="3877" spans="1:15" x14ac:dyDescent="0.35">
      <c r="A3877" t="s">
        <v>3821</v>
      </c>
      <c r="B3877">
        <v>50</v>
      </c>
      <c r="C3877" t="s">
        <v>4803</v>
      </c>
      <c r="D3877" t="s">
        <v>13</v>
      </c>
      <c r="E3877">
        <v>41</v>
      </c>
      <c r="F3877">
        <v>12</v>
      </c>
      <c r="G3877" t="s">
        <v>4798</v>
      </c>
      <c r="H3877" t="s">
        <v>4804</v>
      </c>
      <c r="I3877">
        <v>13.99</v>
      </c>
      <c r="J3877">
        <v>3</v>
      </c>
      <c r="K3877">
        <v>1.37</v>
      </c>
      <c r="L3877">
        <v>0</v>
      </c>
      <c r="M3877" t="s">
        <v>4808</v>
      </c>
      <c r="N3877" t="s">
        <v>4900</v>
      </c>
      <c r="O3877" t="s">
        <v>4910</v>
      </c>
    </row>
    <row r="3878" spans="1:15" x14ac:dyDescent="0.35">
      <c r="A3878" t="s">
        <v>3822</v>
      </c>
      <c r="B3878">
        <v>35</v>
      </c>
      <c r="C3878" t="s">
        <v>4802</v>
      </c>
      <c r="D3878" t="s">
        <v>15</v>
      </c>
      <c r="E3878">
        <v>88</v>
      </c>
      <c r="F3878">
        <v>29</v>
      </c>
      <c r="G3878" t="s">
        <v>4799</v>
      </c>
      <c r="H3878" t="s">
        <v>4806</v>
      </c>
      <c r="I3878">
        <v>17.989999999999998</v>
      </c>
      <c r="J3878">
        <v>4</v>
      </c>
      <c r="K3878">
        <v>2.93</v>
      </c>
      <c r="L3878">
        <v>0</v>
      </c>
      <c r="M3878" t="s">
        <v>4811</v>
      </c>
      <c r="N3878" t="s">
        <v>4900</v>
      </c>
      <c r="O3878" t="s">
        <v>4910</v>
      </c>
    </row>
    <row r="3879" spans="1:15" x14ac:dyDescent="0.35">
      <c r="A3879" t="s">
        <v>3823</v>
      </c>
      <c r="B3879">
        <v>56</v>
      </c>
      <c r="C3879" t="s">
        <v>4802</v>
      </c>
      <c r="D3879" t="s">
        <v>13</v>
      </c>
      <c r="E3879">
        <v>72</v>
      </c>
      <c r="F3879">
        <v>17</v>
      </c>
      <c r="G3879" t="s">
        <v>4800</v>
      </c>
      <c r="H3879" t="s">
        <v>4806</v>
      </c>
      <c r="I3879">
        <v>13.99</v>
      </c>
      <c r="J3879">
        <v>2</v>
      </c>
      <c r="K3879">
        <v>2.0299999999999998</v>
      </c>
      <c r="L3879">
        <v>0</v>
      </c>
      <c r="M3879" t="s">
        <v>4811</v>
      </c>
      <c r="N3879" t="s">
        <v>4900</v>
      </c>
      <c r="O3879" t="s">
        <v>4911</v>
      </c>
    </row>
    <row r="3880" spans="1:15" x14ac:dyDescent="0.35">
      <c r="A3880" t="s">
        <v>3824</v>
      </c>
      <c r="B3880">
        <v>34</v>
      </c>
      <c r="C3880" t="s">
        <v>4802</v>
      </c>
      <c r="D3880" t="s">
        <v>13</v>
      </c>
      <c r="E3880">
        <v>76</v>
      </c>
      <c r="F3880">
        <v>57</v>
      </c>
      <c r="G3880" t="s">
        <v>4799</v>
      </c>
      <c r="H3880" t="s">
        <v>4806</v>
      </c>
      <c r="I3880">
        <v>13.99</v>
      </c>
      <c r="J3880">
        <v>4</v>
      </c>
      <c r="K3880">
        <v>2.5299999999999998</v>
      </c>
      <c r="L3880">
        <v>0</v>
      </c>
      <c r="M3880" t="s">
        <v>4811</v>
      </c>
      <c r="N3880" t="s">
        <v>4900</v>
      </c>
      <c r="O3880" t="s">
        <v>4912</v>
      </c>
    </row>
    <row r="3881" spans="1:15" x14ac:dyDescent="0.35">
      <c r="A3881" t="s">
        <v>3825</v>
      </c>
      <c r="B3881">
        <v>39</v>
      </c>
      <c r="C3881" t="s">
        <v>4802</v>
      </c>
      <c r="D3881" t="s">
        <v>13</v>
      </c>
      <c r="E3881">
        <v>58</v>
      </c>
      <c r="F3881">
        <v>55</v>
      </c>
      <c r="G3881" t="s">
        <v>4798</v>
      </c>
      <c r="H3881" t="s">
        <v>4804</v>
      </c>
      <c r="I3881">
        <v>13.99</v>
      </c>
      <c r="J3881">
        <v>2</v>
      </c>
      <c r="K3881">
        <v>1.93</v>
      </c>
      <c r="L3881">
        <v>1</v>
      </c>
      <c r="M3881" t="s">
        <v>4809</v>
      </c>
      <c r="N3881" t="s">
        <v>4899</v>
      </c>
      <c r="O3881" t="s">
        <v>4910</v>
      </c>
    </row>
    <row r="3882" spans="1:15" x14ac:dyDescent="0.35">
      <c r="A3882" t="s">
        <v>3826</v>
      </c>
      <c r="B3882">
        <v>45</v>
      </c>
      <c r="C3882" t="s">
        <v>4803</v>
      </c>
      <c r="D3882" t="s">
        <v>13</v>
      </c>
      <c r="E3882">
        <v>37</v>
      </c>
      <c r="F3882">
        <v>53</v>
      </c>
      <c r="G3882" t="s">
        <v>4798</v>
      </c>
      <c r="H3882" t="s">
        <v>4805</v>
      </c>
      <c r="I3882">
        <v>13.99</v>
      </c>
      <c r="J3882">
        <v>1</v>
      </c>
      <c r="K3882">
        <v>1.23</v>
      </c>
      <c r="L3882">
        <v>0</v>
      </c>
      <c r="M3882" t="s">
        <v>4810</v>
      </c>
      <c r="N3882" t="s">
        <v>4900</v>
      </c>
      <c r="O3882" t="s">
        <v>4910</v>
      </c>
    </row>
    <row r="3883" spans="1:15" x14ac:dyDescent="0.35">
      <c r="A3883" t="s">
        <v>3827</v>
      </c>
      <c r="B3883">
        <v>37</v>
      </c>
      <c r="C3883" t="s">
        <v>4803</v>
      </c>
      <c r="D3883" t="s">
        <v>13</v>
      </c>
      <c r="E3883">
        <v>56</v>
      </c>
      <c r="F3883">
        <v>19</v>
      </c>
      <c r="G3883" t="s">
        <v>4800</v>
      </c>
      <c r="H3883" t="s">
        <v>4804</v>
      </c>
      <c r="I3883">
        <v>13.99</v>
      </c>
      <c r="J3883">
        <v>2</v>
      </c>
      <c r="K3883">
        <v>1.87</v>
      </c>
      <c r="L3883">
        <v>0</v>
      </c>
      <c r="M3883" t="s">
        <v>4810</v>
      </c>
      <c r="N3883" t="s">
        <v>4900</v>
      </c>
      <c r="O3883" t="s">
        <v>4910</v>
      </c>
    </row>
    <row r="3884" spans="1:15" x14ac:dyDescent="0.35">
      <c r="A3884" t="s">
        <v>3828</v>
      </c>
      <c r="B3884">
        <v>58</v>
      </c>
      <c r="C3884" t="s">
        <v>4802</v>
      </c>
      <c r="D3884" t="s">
        <v>13</v>
      </c>
      <c r="E3884">
        <v>73</v>
      </c>
      <c r="F3884">
        <v>53</v>
      </c>
      <c r="G3884" t="s">
        <v>4797</v>
      </c>
      <c r="H3884" t="s">
        <v>4804</v>
      </c>
      <c r="I3884">
        <v>13.99</v>
      </c>
      <c r="J3884">
        <v>4</v>
      </c>
      <c r="K3884">
        <v>2.4300000000000002</v>
      </c>
      <c r="L3884">
        <v>1</v>
      </c>
      <c r="M3884" t="s">
        <v>4809</v>
      </c>
      <c r="N3884" t="s">
        <v>4899</v>
      </c>
      <c r="O3884" t="s">
        <v>4911</v>
      </c>
    </row>
    <row r="3885" spans="1:15" x14ac:dyDescent="0.35">
      <c r="A3885" t="s">
        <v>3829</v>
      </c>
      <c r="B3885">
        <v>62</v>
      </c>
      <c r="C3885" t="s">
        <v>4803</v>
      </c>
      <c r="D3885" t="s">
        <v>15</v>
      </c>
      <c r="E3885">
        <v>60</v>
      </c>
      <c r="F3885">
        <v>41</v>
      </c>
      <c r="G3885" t="s">
        <v>4798</v>
      </c>
      <c r="H3885" t="s">
        <v>4804</v>
      </c>
      <c r="I3885">
        <v>17.989999999999998</v>
      </c>
      <c r="J3885">
        <v>3</v>
      </c>
      <c r="K3885">
        <v>5</v>
      </c>
      <c r="L3885">
        <v>0</v>
      </c>
      <c r="M3885" t="s">
        <v>4808</v>
      </c>
      <c r="N3885" t="s">
        <v>4900</v>
      </c>
      <c r="O3885" t="s">
        <v>4911</v>
      </c>
    </row>
    <row r="3886" spans="1:15" x14ac:dyDescent="0.35">
      <c r="A3886" t="s">
        <v>3830</v>
      </c>
      <c r="B3886">
        <v>58</v>
      </c>
      <c r="C3886" t="s">
        <v>4802</v>
      </c>
      <c r="D3886" t="s">
        <v>13</v>
      </c>
      <c r="E3886">
        <v>61</v>
      </c>
      <c r="F3886">
        <v>40</v>
      </c>
      <c r="G3886" t="s">
        <v>4798</v>
      </c>
      <c r="H3886" t="s">
        <v>4804</v>
      </c>
      <c r="I3886">
        <v>13.99</v>
      </c>
      <c r="J3886">
        <v>1</v>
      </c>
      <c r="K3886">
        <v>2.0299999999999998</v>
      </c>
      <c r="L3886">
        <v>0</v>
      </c>
      <c r="M3886" t="s">
        <v>4809</v>
      </c>
      <c r="N3886" t="s">
        <v>4900</v>
      </c>
      <c r="O3886" t="s">
        <v>4911</v>
      </c>
    </row>
    <row r="3887" spans="1:15" x14ac:dyDescent="0.35">
      <c r="A3887" t="s">
        <v>3831</v>
      </c>
      <c r="B3887">
        <v>31</v>
      </c>
      <c r="C3887" t="s">
        <v>4803</v>
      </c>
      <c r="D3887" t="s">
        <v>13</v>
      </c>
      <c r="E3887">
        <v>57</v>
      </c>
      <c r="F3887">
        <v>31</v>
      </c>
      <c r="G3887" t="s">
        <v>4797</v>
      </c>
      <c r="H3887" t="s">
        <v>4804</v>
      </c>
      <c r="I3887">
        <v>13.99</v>
      </c>
      <c r="J3887">
        <v>2</v>
      </c>
      <c r="K3887">
        <v>1.9</v>
      </c>
      <c r="L3887">
        <v>0</v>
      </c>
      <c r="M3887" t="s">
        <v>4809</v>
      </c>
      <c r="N3887" t="s">
        <v>4900</v>
      </c>
      <c r="O3887" t="s">
        <v>4912</v>
      </c>
    </row>
    <row r="3888" spans="1:15" x14ac:dyDescent="0.35">
      <c r="A3888" t="s">
        <v>3832</v>
      </c>
      <c r="B3888">
        <v>51</v>
      </c>
      <c r="C3888" t="s">
        <v>4803</v>
      </c>
      <c r="D3888" t="s">
        <v>13</v>
      </c>
      <c r="E3888">
        <v>63</v>
      </c>
      <c r="F3888">
        <v>54</v>
      </c>
      <c r="G3888" t="s">
        <v>4799</v>
      </c>
      <c r="H3888" t="s">
        <v>4805</v>
      </c>
      <c r="I3888">
        <v>13.99</v>
      </c>
      <c r="J3888">
        <v>1</v>
      </c>
      <c r="K3888">
        <v>2.1</v>
      </c>
      <c r="L3888">
        <v>0</v>
      </c>
      <c r="M3888" t="s">
        <v>4811</v>
      </c>
      <c r="N3888" t="s">
        <v>4900</v>
      </c>
      <c r="O3888" t="s">
        <v>4910</v>
      </c>
    </row>
    <row r="3889" spans="1:15" x14ac:dyDescent="0.35">
      <c r="A3889" t="s">
        <v>3833</v>
      </c>
      <c r="B3889">
        <v>27</v>
      </c>
      <c r="C3889" t="s">
        <v>4803</v>
      </c>
      <c r="D3889" t="s">
        <v>13</v>
      </c>
      <c r="E3889">
        <v>53</v>
      </c>
      <c r="F3889">
        <v>1</v>
      </c>
      <c r="G3889" t="s">
        <v>4798</v>
      </c>
      <c r="H3889" t="s">
        <v>4805</v>
      </c>
      <c r="I3889">
        <v>13.99</v>
      </c>
      <c r="J3889">
        <v>4</v>
      </c>
      <c r="K3889">
        <v>1.77</v>
      </c>
      <c r="L3889">
        <v>0</v>
      </c>
      <c r="M3889" t="s">
        <v>4811</v>
      </c>
      <c r="N3889" t="s">
        <v>4900</v>
      </c>
      <c r="O3889" t="s">
        <v>4912</v>
      </c>
    </row>
    <row r="3890" spans="1:15" x14ac:dyDescent="0.35">
      <c r="A3890" t="s">
        <v>3834</v>
      </c>
      <c r="B3890">
        <v>41</v>
      </c>
      <c r="C3890" t="s">
        <v>4803</v>
      </c>
      <c r="D3890" t="s">
        <v>13</v>
      </c>
      <c r="E3890">
        <v>53</v>
      </c>
      <c r="F3890">
        <v>12</v>
      </c>
      <c r="G3890" t="s">
        <v>4799</v>
      </c>
      <c r="H3890" t="s">
        <v>4805</v>
      </c>
      <c r="I3890">
        <v>13.99</v>
      </c>
      <c r="J3890">
        <v>4</v>
      </c>
      <c r="K3890">
        <v>1.77</v>
      </c>
      <c r="L3890">
        <v>0</v>
      </c>
      <c r="M3890" t="s">
        <v>4810</v>
      </c>
      <c r="N3890" t="s">
        <v>4900</v>
      </c>
      <c r="O3890" t="s">
        <v>4910</v>
      </c>
    </row>
    <row r="3891" spans="1:15" x14ac:dyDescent="0.35">
      <c r="A3891" t="s">
        <v>3835</v>
      </c>
      <c r="B3891">
        <v>55</v>
      </c>
      <c r="C3891" t="s">
        <v>4803</v>
      </c>
      <c r="D3891" t="s">
        <v>13</v>
      </c>
      <c r="E3891">
        <v>33</v>
      </c>
      <c r="F3891">
        <v>41</v>
      </c>
      <c r="G3891" t="s">
        <v>4799</v>
      </c>
      <c r="H3891" t="s">
        <v>4805</v>
      </c>
      <c r="I3891">
        <v>13.99</v>
      </c>
      <c r="J3891">
        <v>3</v>
      </c>
      <c r="K3891">
        <v>1.1000000000000001</v>
      </c>
      <c r="L3891">
        <v>0</v>
      </c>
      <c r="M3891" t="s">
        <v>4808</v>
      </c>
      <c r="N3891" t="s">
        <v>4900</v>
      </c>
      <c r="O3891" t="s">
        <v>4911</v>
      </c>
    </row>
    <row r="3892" spans="1:15" x14ac:dyDescent="0.35">
      <c r="A3892" t="s">
        <v>3836</v>
      </c>
      <c r="B3892">
        <v>59</v>
      </c>
      <c r="C3892" t="s">
        <v>4803</v>
      </c>
      <c r="D3892" t="s">
        <v>13</v>
      </c>
      <c r="E3892">
        <v>80</v>
      </c>
      <c r="F3892">
        <v>3</v>
      </c>
      <c r="G3892" t="s">
        <v>4798</v>
      </c>
      <c r="H3892" t="s">
        <v>4804</v>
      </c>
      <c r="I3892">
        <v>13.99</v>
      </c>
      <c r="J3892">
        <v>1</v>
      </c>
      <c r="K3892">
        <v>2.67</v>
      </c>
      <c r="L3892">
        <v>0</v>
      </c>
      <c r="M3892" t="s">
        <v>4812</v>
      </c>
      <c r="N3892" t="s">
        <v>4900</v>
      </c>
      <c r="O3892" t="s">
        <v>4911</v>
      </c>
    </row>
    <row r="3893" spans="1:15" x14ac:dyDescent="0.35">
      <c r="A3893" t="s">
        <v>3837</v>
      </c>
      <c r="B3893">
        <v>44</v>
      </c>
      <c r="C3893" t="s">
        <v>4802</v>
      </c>
      <c r="D3893" t="s">
        <v>13</v>
      </c>
      <c r="E3893">
        <v>78</v>
      </c>
      <c r="F3893">
        <v>57</v>
      </c>
      <c r="G3893" t="s">
        <v>4799</v>
      </c>
      <c r="H3893" t="s">
        <v>4807</v>
      </c>
      <c r="I3893">
        <v>13.99</v>
      </c>
      <c r="J3893">
        <v>3</v>
      </c>
      <c r="K3893">
        <v>2.6</v>
      </c>
      <c r="L3893">
        <v>0</v>
      </c>
      <c r="M3893" t="s">
        <v>4812</v>
      </c>
      <c r="N3893" t="s">
        <v>4900</v>
      </c>
      <c r="O3893" t="s">
        <v>4910</v>
      </c>
    </row>
    <row r="3894" spans="1:15" x14ac:dyDescent="0.35">
      <c r="A3894" t="s">
        <v>3838</v>
      </c>
      <c r="B3894">
        <v>55</v>
      </c>
      <c r="C3894" t="s">
        <v>4803</v>
      </c>
      <c r="D3894" t="s">
        <v>14</v>
      </c>
      <c r="E3894">
        <v>73</v>
      </c>
      <c r="F3894">
        <v>40</v>
      </c>
      <c r="G3894" t="s">
        <v>4797</v>
      </c>
      <c r="H3894" t="s">
        <v>4804</v>
      </c>
      <c r="I3894">
        <v>8.99</v>
      </c>
      <c r="J3894">
        <v>4</v>
      </c>
      <c r="K3894">
        <v>2.4300000000000002</v>
      </c>
      <c r="L3894">
        <v>1</v>
      </c>
      <c r="M3894" t="s">
        <v>4812</v>
      </c>
      <c r="N3894" t="s">
        <v>4899</v>
      </c>
      <c r="O3894" t="s">
        <v>4911</v>
      </c>
    </row>
    <row r="3895" spans="1:15" x14ac:dyDescent="0.35">
      <c r="A3895" t="s">
        <v>3839</v>
      </c>
      <c r="B3895">
        <v>53</v>
      </c>
      <c r="C3895" t="s">
        <v>4803</v>
      </c>
      <c r="D3895" t="s">
        <v>15</v>
      </c>
      <c r="E3895">
        <v>92</v>
      </c>
      <c r="F3895">
        <v>55</v>
      </c>
      <c r="G3895" t="s">
        <v>4798</v>
      </c>
      <c r="H3895" t="s">
        <v>4805</v>
      </c>
      <c r="I3895">
        <v>17.989999999999998</v>
      </c>
      <c r="J3895">
        <v>3</v>
      </c>
      <c r="K3895">
        <v>5</v>
      </c>
      <c r="L3895">
        <v>1</v>
      </c>
      <c r="M3895" t="s">
        <v>4808</v>
      </c>
      <c r="N3895" t="s">
        <v>4899</v>
      </c>
      <c r="O3895" t="s">
        <v>4910</v>
      </c>
    </row>
    <row r="3896" spans="1:15" x14ac:dyDescent="0.35">
      <c r="A3896" t="s">
        <v>3840</v>
      </c>
      <c r="B3896">
        <v>40</v>
      </c>
      <c r="C3896" t="s">
        <v>4802</v>
      </c>
      <c r="D3896" t="s">
        <v>15</v>
      </c>
      <c r="E3896">
        <v>73</v>
      </c>
      <c r="F3896">
        <v>60</v>
      </c>
      <c r="G3896" t="s">
        <v>4799</v>
      </c>
      <c r="H3896" t="s">
        <v>4804</v>
      </c>
      <c r="I3896">
        <v>17.989999999999998</v>
      </c>
      <c r="J3896">
        <v>4</v>
      </c>
      <c r="K3896">
        <v>2.4300000000000002</v>
      </c>
      <c r="L3896">
        <v>0</v>
      </c>
      <c r="M3896" t="s">
        <v>4811</v>
      </c>
      <c r="N3896" t="s">
        <v>4900</v>
      </c>
      <c r="O3896" t="s">
        <v>4910</v>
      </c>
    </row>
    <row r="3897" spans="1:15" x14ac:dyDescent="0.35">
      <c r="A3897" t="s">
        <v>3841</v>
      </c>
      <c r="B3897">
        <v>41</v>
      </c>
      <c r="C3897" t="s">
        <v>4802</v>
      </c>
      <c r="D3897" t="s">
        <v>13</v>
      </c>
      <c r="E3897">
        <v>56</v>
      </c>
      <c r="F3897">
        <v>50</v>
      </c>
      <c r="G3897" t="s">
        <v>4799</v>
      </c>
      <c r="H3897" t="s">
        <v>4804</v>
      </c>
      <c r="I3897">
        <v>13.99</v>
      </c>
      <c r="J3897">
        <v>3</v>
      </c>
      <c r="K3897">
        <v>1.87</v>
      </c>
      <c r="L3897">
        <v>0</v>
      </c>
      <c r="M3897" t="s">
        <v>4812</v>
      </c>
      <c r="N3897" t="s">
        <v>4900</v>
      </c>
      <c r="O3897" t="s">
        <v>4910</v>
      </c>
    </row>
    <row r="3898" spans="1:15" x14ac:dyDescent="0.35">
      <c r="A3898" t="s">
        <v>3842</v>
      </c>
      <c r="B3898">
        <v>44</v>
      </c>
      <c r="C3898" t="s">
        <v>4803</v>
      </c>
      <c r="D3898" t="s">
        <v>15</v>
      </c>
      <c r="E3898">
        <v>72</v>
      </c>
      <c r="F3898">
        <v>10</v>
      </c>
      <c r="G3898" t="s">
        <v>4798</v>
      </c>
      <c r="H3898" t="s">
        <v>4804</v>
      </c>
      <c r="I3898">
        <v>17.989999999999998</v>
      </c>
      <c r="J3898">
        <v>4</v>
      </c>
      <c r="K3898">
        <v>2.4</v>
      </c>
      <c r="L3898">
        <v>0</v>
      </c>
      <c r="M3898" t="s">
        <v>4810</v>
      </c>
      <c r="N3898" t="s">
        <v>4900</v>
      </c>
      <c r="O3898" t="s">
        <v>4910</v>
      </c>
    </row>
    <row r="3899" spans="1:15" x14ac:dyDescent="0.35">
      <c r="A3899" t="s">
        <v>3843</v>
      </c>
      <c r="B3899">
        <v>29</v>
      </c>
      <c r="C3899" t="s">
        <v>4803</v>
      </c>
      <c r="D3899" t="s">
        <v>13</v>
      </c>
      <c r="E3899">
        <v>48</v>
      </c>
      <c r="F3899">
        <v>48</v>
      </c>
      <c r="G3899" t="s">
        <v>4798</v>
      </c>
      <c r="H3899" t="s">
        <v>4805</v>
      </c>
      <c r="I3899">
        <v>13.99</v>
      </c>
      <c r="J3899">
        <v>4</v>
      </c>
      <c r="K3899">
        <v>1.6</v>
      </c>
      <c r="L3899">
        <v>0</v>
      </c>
      <c r="M3899" t="s">
        <v>4812</v>
      </c>
      <c r="N3899" t="s">
        <v>4900</v>
      </c>
      <c r="O3899" t="s">
        <v>4912</v>
      </c>
    </row>
    <row r="3900" spans="1:15" x14ac:dyDescent="0.35">
      <c r="A3900" t="s">
        <v>3844</v>
      </c>
      <c r="B3900">
        <v>64</v>
      </c>
      <c r="C3900" t="s">
        <v>4802</v>
      </c>
      <c r="D3900" t="s">
        <v>15</v>
      </c>
      <c r="E3900">
        <v>58</v>
      </c>
      <c r="F3900">
        <v>1</v>
      </c>
      <c r="G3900" t="s">
        <v>4798</v>
      </c>
      <c r="H3900" t="s">
        <v>4805</v>
      </c>
      <c r="I3900">
        <v>17.989999999999998</v>
      </c>
      <c r="J3900">
        <v>2</v>
      </c>
      <c r="K3900">
        <v>1.93</v>
      </c>
      <c r="L3900">
        <v>0</v>
      </c>
      <c r="M3900" t="s">
        <v>4809</v>
      </c>
      <c r="N3900" t="s">
        <v>4900</v>
      </c>
      <c r="O3900" t="s">
        <v>4911</v>
      </c>
    </row>
    <row r="3901" spans="1:15" x14ac:dyDescent="0.35">
      <c r="A3901" t="s">
        <v>3845</v>
      </c>
      <c r="B3901">
        <v>30</v>
      </c>
      <c r="C3901" t="s">
        <v>4802</v>
      </c>
      <c r="D3901" t="s">
        <v>14</v>
      </c>
      <c r="E3901">
        <v>12</v>
      </c>
      <c r="F3901">
        <v>55</v>
      </c>
      <c r="G3901" t="s">
        <v>4798</v>
      </c>
      <c r="H3901" t="s">
        <v>4805</v>
      </c>
      <c r="I3901">
        <v>8.99</v>
      </c>
      <c r="J3901">
        <v>2</v>
      </c>
      <c r="K3901">
        <v>0.4</v>
      </c>
      <c r="L3901">
        <v>0</v>
      </c>
      <c r="M3901" t="s">
        <v>4809</v>
      </c>
      <c r="N3901" t="s">
        <v>4900</v>
      </c>
      <c r="O3901" t="s">
        <v>4912</v>
      </c>
    </row>
    <row r="3902" spans="1:15" x14ac:dyDescent="0.35">
      <c r="A3902" t="s">
        <v>3846</v>
      </c>
      <c r="B3902">
        <v>23</v>
      </c>
      <c r="C3902" t="s">
        <v>4802</v>
      </c>
      <c r="D3902" t="s">
        <v>13</v>
      </c>
      <c r="E3902">
        <v>53</v>
      </c>
      <c r="F3902">
        <v>45</v>
      </c>
      <c r="G3902" t="s">
        <v>4798</v>
      </c>
      <c r="H3902" t="s">
        <v>4805</v>
      </c>
      <c r="I3902">
        <v>13.99</v>
      </c>
      <c r="J3902">
        <v>4</v>
      </c>
      <c r="K3902">
        <v>5</v>
      </c>
      <c r="L3902">
        <v>0</v>
      </c>
      <c r="M3902" t="s">
        <v>4808</v>
      </c>
      <c r="N3902" t="s">
        <v>4900</v>
      </c>
      <c r="O3902" t="s">
        <v>4912</v>
      </c>
    </row>
    <row r="3903" spans="1:15" x14ac:dyDescent="0.35">
      <c r="A3903" t="s">
        <v>3847</v>
      </c>
      <c r="B3903">
        <v>46</v>
      </c>
      <c r="C3903" t="s">
        <v>4803</v>
      </c>
      <c r="D3903" t="s">
        <v>13</v>
      </c>
      <c r="E3903">
        <v>36</v>
      </c>
      <c r="F3903" t="s">
        <v>4814</v>
      </c>
      <c r="G3903" t="s">
        <v>4798</v>
      </c>
      <c r="H3903" t="s">
        <v>4804</v>
      </c>
      <c r="I3903">
        <v>13.99</v>
      </c>
      <c r="J3903">
        <v>3</v>
      </c>
      <c r="K3903">
        <v>1.2</v>
      </c>
      <c r="L3903">
        <v>1</v>
      </c>
      <c r="M3903" t="s">
        <v>4812</v>
      </c>
      <c r="N3903" t="s">
        <v>4899</v>
      </c>
      <c r="O3903" t="s">
        <v>4910</v>
      </c>
    </row>
    <row r="3904" spans="1:15" x14ac:dyDescent="0.35">
      <c r="A3904" t="s">
        <v>3848</v>
      </c>
      <c r="B3904">
        <v>19</v>
      </c>
      <c r="C3904" t="s">
        <v>4802</v>
      </c>
      <c r="D3904" t="s">
        <v>13</v>
      </c>
      <c r="E3904">
        <v>38</v>
      </c>
      <c r="F3904">
        <v>49</v>
      </c>
      <c r="G3904" t="s">
        <v>4799</v>
      </c>
      <c r="H3904" t="s">
        <v>4805</v>
      </c>
      <c r="I3904">
        <v>13.99</v>
      </c>
      <c r="J3904">
        <v>1</v>
      </c>
      <c r="K3904">
        <v>1.27</v>
      </c>
      <c r="L3904">
        <v>0</v>
      </c>
      <c r="M3904" t="s">
        <v>4810</v>
      </c>
      <c r="N3904" t="s">
        <v>4900</v>
      </c>
      <c r="O3904" t="s">
        <v>4912</v>
      </c>
    </row>
    <row r="3905" spans="1:15" x14ac:dyDescent="0.35">
      <c r="A3905" t="s">
        <v>3849</v>
      </c>
      <c r="B3905">
        <v>46</v>
      </c>
      <c r="C3905" t="s">
        <v>4802</v>
      </c>
      <c r="D3905" t="s">
        <v>13</v>
      </c>
      <c r="E3905">
        <v>68</v>
      </c>
      <c r="F3905">
        <v>57</v>
      </c>
      <c r="G3905" t="s">
        <v>4798</v>
      </c>
      <c r="H3905" t="s">
        <v>4805</v>
      </c>
      <c r="I3905">
        <v>13.99</v>
      </c>
      <c r="J3905">
        <v>1</v>
      </c>
      <c r="K3905">
        <v>2.27</v>
      </c>
      <c r="L3905">
        <v>1</v>
      </c>
      <c r="M3905" t="s">
        <v>4810</v>
      </c>
      <c r="N3905" t="s">
        <v>4899</v>
      </c>
      <c r="O3905" t="s">
        <v>4910</v>
      </c>
    </row>
    <row r="3906" spans="1:15" x14ac:dyDescent="0.35">
      <c r="A3906" t="s">
        <v>3850</v>
      </c>
      <c r="B3906">
        <v>58</v>
      </c>
      <c r="C3906" t="s">
        <v>4802</v>
      </c>
      <c r="D3906" t="s">
        <v>13</v>
      </c>
      <c r="E3906">
        <v>44</v>
      </c>
      <c r="F3906">
        <v>48</v>
      </c>
      <c r="G3906" t="s">
        <v>4798</v>
      </c>
      <c r="H3906" t="s">
        <v>4804</v>
      </c>
      <c r="I3906">
        <v>13.99</v>
      </c>
      <c r="J3906">
        <v>2</v>
      </c>
      <c r="K3906">
        <v>1.47</v>
      </c>
      <c r="L3906">
        <v>0</v>
      </c>
      <c r="M3906" t="s">
        <v>4811</v>
      </c>
      <c r="N3906" t="s">
        <v>4900</v>
      </c>
      <c r="O3906" t="s">
        <v>4911</v>
      </c>
    </row>
    <row r="3907" spans="1:15" x14ac:dyDescent="0.35">
      <c r="A3907" t="s">
        <v>3851</v>
      </c>
      <c r="B3907">
        <v>25</v>
      </c>
      <c r="C3907" t="s">
        <v>4802</v>
      </c>
      <c r="D3907" t="s">
        <v>14</v>
      </c>
      <c r="E3907">
        <v>44</v>
      </c>
      <c r="F3907">
        <v>27</v>
      </c>
      <c r="G3907" t="s">
        <v>4798</v>
      </c>
      <c r="H3907" t="s">
        <v>4805</v>
      </c>
      <c r="I3907">
        <v>8.99</v>
      </c>
      <c r="J3907">
        <v>2</v>
      </c>
      <c r="K3907">
        <v>1.47</v>
      </c>
      <c r="L3907">
        <v>0</v>
      </c>
      <c r="M3907" t="s">
        <v>4809</v>
      </c>
      <c r="N3907" t="s">
        <v>4900</v>
      </c>
      <c r="O3907" t="s">
        <v>4912</v>
      </c>
    </row>
    <row r="3908" spans="1:15" x14ac:dyDescent="0.35">
      <c r="A3908" t="s">
        <v>3852</v>
      </c>
      <c r="B3908">
        <v>57</v>
      </c>
      <c r="C3908" t="s">
        <v>4803</v>
      </c>
      <c r="D3908" t="s">
        <v>13</v>
      </c>
      <c r="E3908">
        <v>68</v>
      </c>
      <c r="F3908">
        <v>10</v>
      </c>
      <c r="G3908" t="s">
        <v>4799</v>
      </c>
      <c r="H3908" t="s">
        <v>4806</v>
      </c>
      <c r="I3908">
        <v>13.99</v>
      </c>
      <c r="J3908">
        <v>2</v>
      </c>
      <c r="K3908">
        <v>2.27</v>
      </c>
      <c r="L3908">
        <v>0</v>
      </c>
      <c r="M3908" t="s">
        <v>4812</v>
      </c>
      <c r="N3908" t="s">
        <v>4900</v>
      </c>
      <c r="O3908" t="s">
        <v>4911</v>
      </c>
    </row>
    <row r="3909" spans="1:15" x14ac:dyDescent="0.35">
      <c r="A3909" t="s">
        <v>3853</v>
      </c>
      <c r="B3909">
        <v>30</v>
      </c>
      <c r="C3909" t="s">
        <v>4803</v>
      </c>
      <c r="D3909" t="s">
        <v>13</v>
      </c>
      <c r="E3909">
        <v>30</v>
      </c>
      <c r="F3909">
        <v>5</v>
      </c>
      <c r="G3909" t="s">
        <v>4798</v>
      </c>
      <c r="H3909" t="s">
        <v>4806</v>
      </c>
      <c r="I3909">
        <v>13.99</v>
      </c>
      <c r="J3909">
        <v>3</v>
      </c>
      <c r="K3909">
        <v>1</v>
      </c>
      <c r="L3909">
        <v>0</v>
      </c>
      <c r="M3909" t="s">
        <v>4811</v>
      </c>
      <c r="N3909" t="s">
        <v>4900</v>
      </c>
      <c r="O3909" t="s">
        <v>4912</v>
      </c>
    </row>
    <row r="3910" spans="1:15" x14ac:dyDescent="0.35">
      <c r="A3910" t="s">
        <v>3854</v>
      </c>
      <c r="B3910">
        <v>45</v>
      </c>
      <c r="C3910" t="s">
        <v>4802</v>
      </c>
      <c r="D3910" t="s">
        <v>13</v>
      </c>
      <c r="E3910">
        <v>52</v>
      </c>
      <c r="F3910">
        <v>52</v>
      </c>
      <c r="G3910" t="s">
        <v>4798</v>
      </c>
      <c r="H3910" t="s">
        <v>4805</v>
      </c>
      <c r="I3910">
        <v>13.99</v>
      </c>
      <c r="J3910">
        <v>4</v>
      </c>
      <c r="K3910">
        <v>1.73</v>
      </c>
      <c r="L3910">
        <v>0</v>
      </c>
      <c r="M3910" t="s">
        <v>4810</v>
      </c>
      <c r="N3910" t="s">
        <v>4900</v>
      </c>
      <c r="O3910" t="s">
        <v>4910</v>
      </c>
    </row>
    <row r="3911" spans="1:15" x14ac:dyDescent="0.35">
      <c r="A3911" t="s">
        <v>3855</v>
      </c>
      <c r="B3911">
        <v>33</v>
      </c>
      <c r="C3911" t="s">
        <v>4803</v>
      </c>
      <c r="D3911" t="s">
        <v>13</v>
      </c>
      <c r="E3911">
        <v>79</v>
      </c>
      <c r="F3911">
        <v>8</v>
      </c>
      <c r="G3911" t="s">
        <v>4799</v>
      </c>
      <c r="H3911" t="s">
        <v>4804</v>
      </c>
      <c r="I3911">
        <v>13.99</v>
      </c>
      <c r="J3911">
        <v>2</v>
      </c>
      <c r="K3911">
        <v>2.63</v>
      </c>
      <c r="L3911">
        <v>0</v>
      </c>
      <c r="M3911" t="s">
        <v>4811</v>
      </c>
      <c r="N3911" t="s">
        <v>4900</v>
      </c>
      <c r="O3911" t="s">
        <v>4912</v>
      </c>
    </row>
    <row r="3912" spans="1:15" x14ac:dyDescent="0.35">
      <c r="A3912" t="s">
        <v>4849</v>
      </c>
      <c r="B3912">
        <v>60</v>
      </c>
      <c r="C3912" t="s">
        <v>4803</v>
      </c>
      <c r="D3912" t="s">
        <v>15</v>
      </c>
      <c r="E3912">
        <v>54</v>
      </c>
      <c r="F3912" t="s">
        <v>4814</v>
      </c>
      <c r="G3912" t="s">
        <v>4798</v>
      </c>
      <c r="H3912" t="s">
        <v>4805</v>
      </c>
      <c r="I3912">
        <v>17.989999999999998</v>
      </c>
      <c r="J3912">
        <v>2</v>
      </c>
      <c r="K3912">
        <v>1.8</v>
      </c>
      <c r="L3912">
        <v>0</v>
      </c>
      <c r="M3912" t="s">
        <v>4811</v>
      </c>
      <c r="N3912" t="s">
        <v>4900</v>
      </c>
      <c r="O3912" t="s">
        <v>4911</v>
      </c>
    </row>
    <row r="3913" spans="1:15" x14ac:dyDescent="0.35">
      <c r="A3913" t="s">
        <v>3856</v>
      </c>
      <c r="B3913">
        <v>48</v>
      </c>
      <c r="C3913" t="s">
        <v>4802</v>
      </c>
      <c r="D3913" t="s">
        <v>13</v>
      </c>
      <c r="E3913">
        <v>55</v>
      </c>
      <c r="F3913">
        <v>8</v>
      </c>
      <c r="G3913" t="s">
        <v>4799</v>
      </c>
      <c r="H3913" t="s">
        <v>4804</v>
      </c>
      <c r="I3913">
        <v>13.99</v>
      </c>
      <c r="J3913">
        <v>2</v>
      </c>
      <c r="K3913">
        <v>1.83</v>
      </c>
      <c r="L3913">
        <v>0</v>
      </c>
      <c r="M3913" t="s">
        <v>4812</v>
      </c>
      <c r="N3913" t="s">
        <v>4900</v>
      </c>
      <c r="O3913" t="s">
        <v>4910</v>
      </c>
    </row>
    <row r="3914" spans="1:15" x14ac:dyDescent="0.35">
      <c r="A3914" t="s">
        <v>3857</v>
      </c>
      <c r="B3914">
        <v>22</v>
      </c>
      <c r="C3914" t="s">
        <v>4802</v>
      </c>
      <c r="D3914" t="s">
        <v>13</v>
      </c>
      <c r="E3914">
        <v>41</v>
      </c>
      <c r="F3914">
        <v>7</v>
      </c>
      <c r="G3914" t="s">
        <v>4797</v>
      </c>
      <c r="H3914" t="s">
        <v>4805</v>
      </c>
      <c r="I3914">
        <v>13.99</v>
      </c>
      <c r="J3914">
        <v>4</v>
      </c>
      <c r="K3914">
        <v>1.37</v>
      </c>
      <c r="L3914">
        <v>0</v>
      </c>
      <c r="M3914" t="s">
        <v>4811</v>
      </c>
      <c r="N3914" t="s">
        <v>4900</v>
      </c>
      <c r="O3914" t="s">
        <v>4912</v>
      </c>
    </row>
    <row r="3915" spans="1:15" x14ac:dyDescent="0.35">
      <c r="A3915" t="s">
        <v>3858</v>
      </c>
      <c r="B3915">
        <v>47</v>
      </c>
      <c r="C3915" t="s">
        <v>4803</v>
      </c>
      <c r="D3915" t="s">
        <v>13</v>
      </c>
      <c r="E3915">
        <v>34</v>
      </c>
      <c r="F3915">
        <v>60</v>
      </c>
      <c r="G3915" t="s">
        <v>4798</v>
      </c>
      <c r="H3915" t="s">
        <v>4805</v>
      </c>
      <c r="I3915">
        <v>13.99</v>
      </c>
      <c r="J3915">
        <v>3</v>
      </c>
      <c r="K3915">
        <v>1.1299999999999999</v>
      </c>
      <c r="L3915">
        <v>0</v>
      </c>
      <c r="M3915" t="s">
        <v>4810</v>
      </c>
      <c r="N3915" t="s">
        <v>4900</v>
      </c>
      <c r="O3915" t="s">
        <v>4910</v>
      </c>
    </row>
    <row r="3916" spans="1:15" x14ac:dyDescent="0.35">
      <c r="A3916" t="s">
        <v>3859</v>
      </c>
      <c r="B3916">
        <v>59</v>
      </c>
      <c r="C3916" t="s">
        <v>4802</v>
      </c>
      <c r="D3916" t="s">
        <v>13</v>
      </c>
      <c r="E3916">
        <v>52</v>
      </c>
      <c r="F3916">
        <v>24</v>
      </c>
      <c r="G3916" t="s">
        <v>4798</v>
      </c>
      <c r="H3916" t="s">
        <v>4804</v>
      </c>
      <c r="I3916">
        <v>13.99</v>
      </c>
      <c r="J3916">
        <v>1</v>
      </c>
      <c r="K3916">
        <v>1.73</v>
      </c>
      <c r="L3916">
        <v>0</v>
      </c>
      <c r="M3916" t="s">
        <v>4809</v>
      </c>
      <c r="N3916" t="s">
        <v>4900</v>
      </c>
      <c r="O3916" t="s">
        <v>4911</v>
      </c>
    </row>
    <row r="3917" spans="1:15" x14ac:dyDescent="0.35">
      <c r="A3917" t="s">
        <v>3860</v>
      </c>
      <c r="B3917">
        <v>38</v>
      </c>
      <c r="C3917" t="s">
        <v>4803</v>
      </c>
      <c r="D3917" t="s">
        <v>15</v>
      </c>
      <c r="E3917">
        <v>50</v>
      </c>
      <c r="F3917">
        <v>999</v>
      </c>
      <c r="G3917" t="s">
        <v>4798</v>
      </c>
      <c r="H3917" t="s">
        <v>4805</v>
      </c>
      <c r="I3917">
        <v>17.989999999999998</v>
      </c>
      <c r="J3917">
        <v>2</v>
      </c>
      <c r="K3917">
        <v>1.67</v>
      </c>
      <c r="L3917">
        <v>0</v>
      </c>
      <c r="M3917" t="s">
        <v>4809</v>
      </c>
      <c r="N3917" t="s">
        <v>4900</v>
      </c>
      <c r="O3917" t="s">
        <v>4910</v>
      </c>
    </row>
    <row r="3918" spans="1:15" x14ac:dyDescent="0.35">
      <c r="A3918" t="s">
        <v>3861</v>
      </c>
      <c r="B3918">
        <v>23</v>
      </c>
      <c r="C3918" t="s">
        <v>4802</v>
      </c>
      <c r="D3918" t="s">
        <v>13</v>
      </c>
      <c r="E3918">
        <v>48</v>
      </c>
      <c r="F3918">
        <v>14</v>
      </c>
      <c r="G3918" t="s">
        <v>4799</v>
      </c>
      <c r="H3918" t="s">
        <v>4805</v>
      </c>
      <c r="I3918">
        <v>13.99</v>
      </c>
      <c r="J3918">
        <v>3</v>
      </c>
      <c r="K3918">
        <v>1.6</v>
      </c>
      <c r="L3918">
        <v>0</v>
      </c>
      <c r="M3918" t="s">
        <v>4809</v>
      </c>
      <c r="N3918" t="s">
        <v>4900</v>
      </c>
      <c r="O3918" t="s">
        <v>4912</v>
      </c>
    </row>
    <row r="3919" spans="1:15" x14ac:dyDescent="0.35">
      <c r="A3919" t="s">
        <v>3862</v>
      </c>
      <c r="B3919">
        <v>58</v>
      </c>
      <c r="C3919" t="s">
        <v>4802</v>
      </c>
      <c r="D3919" t="s">
        <v>13</v>
      </c>
      <c r="E3919">
        <v>64</v>
      </c>
      <c r="F3919">
        <v>38</v>
      </c>
      <c r="G3919" t="s">
        <v>4798</v>
      </c>
      <c r="H3919" t="s">
        <v>4804</v>
      </c>
      <c r="I3919">
        <v>13.99</v>
      </c>
      <c r="J3919">
        <v>4</v>
      </c>
      <c r="K3919">
        <v>2.13</v>
      </c>
      <c r="L3919">
        <v>0</v>
      </c>
      <c r="M3919" t="s">
        <v>4812</v>
      </c>
      <c r="N3919" t="s">
        <v>4900</v>
      </c>
      <c r="O3919" t="s">
        <v>4911</v>
      </c>
    </row>
    <row r="3920" spans="1:15" x14ac:dyDescent="0.35">
      <c r="A3920" t="s">
        <v>3863</v>
      </c>
      <c r="B3920">
        <v>38</v>
      </c>
      <c r="C3920" t="s">
        <v>4802</v>
      </c>
      <c r="D3920" t="s">
        <v>15</v>
      </c>
      <c r="E3920">
        <v>98</v>
      </c>
      <c r="F3920">
        <v>32</v>
      </c>
      <c r="G3920" t="s">
        <v>4799</v>
      </c>
      <c r="H3920" t="s">
        <v>4804</v>
      </c>
      <c r="I3920">
        <v>17.989999999999998</v>
      </c>
      <c r="J3920">
        <v>4</v>
      </c>
      <c r="K3920">
        <v>3.27</v>
      </c>
      <c r="L3920">
        <v>1</v>
      </c>
      <c r="M3920" t="s">
        <v>4810</v>
      </c>
      <c r="N3920" t="s">
        <v>4899</v>
      </c>
      <c r="O3920" t="s">
        <v>4910</v>
      </c>
    </row>
    <row r="3921" spans="1:15" x14ac:dyDescent="0.35">
      <c r="A3921" t="s">
        <v>3864</v>
      </c>
      <c r="B3921">
        <v>53</v>
      </c>
      <c r="C3921" t="s">
        <v>4803</v>
      </c>
      <c r="D3921" t="s">
        <v>13</v>
      </c>
      <c r="E3921">
        <v>77</v>
      </c>
      <c r="F3921">
        <v>36</v>
      </c>
      <c r="G3921" t="s">
        <v>4798</v>
      </c>
      <c r="H3921" t="s">
        <v>4804</v>
      </c>
      <c r="I3921">
        <v>13.99</v>
      </c>
      <c r="J3921">
        <v>1</v>
      </c>
      <c r="K3921">
        <v>2.57</v>
      </c>
      <c r="L3921">
        <v>0</v>
      </c>
      <c r="M3921" t="s">
        <v>4809</v>
      </c>
      <c r="N3921" t="s">
        <v>4900</v>
      </c>
      <c r="O3921" t="s">
        <v>4910</v>
      </c>
    </row>
    <row r="3922" spans="1:15" x14ac:dyDescent="0.35">
      <c r="A3922" t="s">
        <v>3865</v>
      </c>
      <c r="B3922">
        <v>31</v>
      </c>
      <c r="C3922" t="s">
        <v>4803</v>
      </c>
      <c r="D3922" t="s">
        <v>13</v>
      </c>
      <c r="E3922">
        <v>57</v>
      </c>
      <c r="F3922">
        <v>34</v>
      </c>
      <c r="G3922" t="s">
        <v>4799</v>
      </c>
      <c r="H3922" t="s">
        <v>4805</v>
      </c>
      <c r="I3922">
        <v>13.99</v>
      </c>
      <c r="J3922">
        <v>1</v>
      </c>
      <c r="K3922">
        <v>2.0299999999999998</v>
      </c>
      <c r="L3922">
        <v>0</v>
      </c>
      <c r="M3922" t="s">
        <v>4810</v>
      </c>
      <c r="N3922" t="s">
        <v>4900</v>
      </c>
      <c r="O3922" t="s">
        <v>4912</v>
      </c>
    </row>
    <row r="3923" spans="1:15" x14ac:dyDescent="0.35">
      <c r="A3923" t="s">
        <v>3866</v>
      </c>
      <c r="B3923">
        <v>49</v>
      </c>
      <c r="C3923" t="s">
        <v>4803</v>
      </c>
      <c r="D3923" t="s">
        <v>13</v>
      </c>
      <c r="E3923">
        <v>74</v>
      </c>
      <c r="F3923">
        <v>36</v>
      </c>
      <c r="G3923" t="s">
        <v>4799</v>
      </c>
      <c r="H3923" t="s">
        <v>4806</v>
      </c>
      <c r="I3923">
        <v>13.99</v>
      </c>
      <c r="J3923">
        <v>3</v>
      </c>
      <c r="K3923">
        <v>2.0299999999999998</v>
      </c>
      <c r="L3923">
        <v>0</v>
      </c>
      <c r="M3923" t="s">
        <v>4812</v>
      </c>
      <c r="N3923" t="s">
        <v>4900</v>
      </c>
      <c r="O3923" t="s">
        <v>4910</v>
      </c>
    </row>
    <row r="3924" spans="1:15" x14ac:dyDescent="0.35">
      <c r="A3924" t="s">
        <v>3867</v>
      </c>
      <c r="B3924">
        <v>19</v>
      </c>
      <c r="C3924" t="s">
        <v>4802</v>
      </c>
      <c r="D3924" t="s">
        <v>13</v>
      </c>
      <c r="E3924">
        <v>68</v>
      </c>
      <c r="F3924">
        <v>38</v>
      </c>
      <c r="G3924" t="s">
        <v>4797</v>
      </c>
      <c r="H3924" t="s">
        <v>4805</v>
      </c>
      <c r="I3924">
        <v>13.99</v>
      </c>
      <c r="J3924">
        <v>1</v>
      </c>
      <c r="K3924">
        <v>2.27</v>
      </c>
      <c r="L3924">
        <v>1</v>
      </c>
      <c r="M3924" t="s">
        <v>4808</v>
      </c>
      <c r="N3924" t="s">
        <v>4899</v>
      </c>
      <c r="O3924" t="s">
        <v>4912</v>
      </c>
    </row>
    <row r="3925" spans="1:15" x14ac:dyDescent="0.35">
      <c r="A3925" t="s">
        <v>3868</v>
      </c>
      <c r="B3925">
        <v>48</v>
      </c>
      <c r="C3925" t="s">
        <v>4803</v>
      </c>
      <c r="D3925" t="s">
        <v>13</v>
      </c>
      <c r="E3925">
        <v>56</v>
      </c>
      <c r="F3925">
        <v>27</v>
      </c>
      <c r="G3925" t="s">
        <v>4797</v>
      </c>
      <c r="H3925" t="s">
        <v>4806</v>
      </c>
      <c r="I3925">
        <v>13.99</v>
      </c>
      <c r="J3925">
        <v>3</v>
      </c>
      <c r="K3925">
        <v>1.87</v>
      </c>
      <c r="L3925">
        <v>1</v>
      </c>
      <c r="M3925" t="s">
        <v>4811</v>
      </c>
      <c r="N3925" t="s">
        <v>4899</v>
      </c>
      <c r="O3925" t="s">
        <v>4910</v>
      </c>
    </row>
    <row r="3926" spans="1:15" x14ac:dyDescent="0.35">
      <c r="A3926" t="s">
        <v>3869</v>
      </c>
      <c r="B3926">
        <v>37</v>
      </c>
      <c r="C3926" t="s">
        <v>4802</v>
      </c>
      <c r="D3926" t="s">
        <v>15</v>
      </c>
      <c r="E3926">
        <v>87</v>
      </c>
      <c r="F3926">
        <v>14</v>
      </c>
      <c r="G3926" t="s">
        <v>4797</v>
      </c>
      <c r="H3926" t="s">
        <v>4804</v>
      </c>
      <c r="I3926">
        <v>17.989999999999998</v>
      </c>
      <c r="J3926">
        <v>3</v>
      </c>
      <c r="K3926">
        <v>2.9</v>
      </c>
      <c r="L3926">
        <v>0</v>
      </c>
      <c r="M3926" t="s">
        <v>4812</v>
      </c>
      <c r="N3926" t="s">
        <v>4900</v>
      </c>
      <c r="O3926" t="s">
        <v>4910</v>
      </c>
    </row>
    <row r="3927" spans="1:15" x14ac:dyDescent="0.35">
      <c r="A3927" t="s">
        <v>3870</v>
      </c>
      <c r="B3927">
        <v>42</v>
      </c>
      <c r="C3927" t="s">
        <v>4802</v>
      </c>
      <c r="D3927" t="s">
        <v>13</v>
      </c>
      <c r="E3927">
        <v>54</v>
      </c>
      <c r="F3927">
        <v>18</v>
      </c>
      <c r="G3927" t="s">
        <v>4799</v>
      </c>
      <c r="H3927" t="s">
        <v>4806</v>
      </c>
      <c r="I3927">
        <v>13.99</v>
      </c>
      <c r="J3927">
        <v>1</v>
      </c>
      <c r="K3927">
        <v>1.8</v>
      </c>
      <c r="L3927">
        <v>0</v>
      </c>
      <c r="M3927" t="s">
        <v>4812</v>
      </c>
      <c r="N3927" t="s">
        <v>4900</v>
      </c>
      <c r="O3927" t="s">
        <v>4910</v>
      </c>
    </row>
    <row r="3928" spans="1:15" x14ac:dyDescent="0.35">
      <c r="A3928" t="s">
        <v>3871</v>
      </c>
      <c r="B3928">
        <v>30</v>
      </c>
      <c r="C3928" t="s">
        <v>4803</v>
      </c>
      <c r="D3928" t="s">
        <v>13</v>
      </c>
      <c r="E3928">
        <v>36</v>
      </c>
      <c r="F3928">
        <v>38</v>
      </c>
      <c r="G3928" t="s">
        <v>4799</v>
      </c>
      <c r="H3928" t="s">
        <v>4804</v>
      </c>
      <c r="I3928">
        <v>13.99</v>
      </c>
      <c r="J3928">
        <v>4</v>
      </c>
      <c r="K3928">
        <v>1.2</v>
      </c>
      <c r="L3928">
        <v>0</v>
      </c>
      <c r="M3928" t="s">
        <v>4810</v>
      </c>
      <c r="N3928" t="s">
        <v>4900</v>
      </c>
      <c r="O3928" t="s">
        <v>4912</v>
      </c>
    </row>
    <row r="3929" spans="1:15" x14ac:dyDescent="0.35">
      <c r="A3929" t="s">
        <v>3872</v>
      </c>
      <c r="B3929">
        <v>53</v>
      </c>
      <c r="C3929" t="s">
        <v>4802</v>
      </c>
      <c r="D3929" t="s">
        <v>13</v>
      </c>
      <c r="E3929">
        <v>34</v>
      </c>
      <c r="F3929">
        <v>23</v>
      </c>
      <c r="G3929" t="s">
        <v>4799</v>
      </c>
      <c r="H3929" t="s">
        <v>4806</v>
      </c>
      <c r="I3929">
        <v>13.99</v>
      </c>
      <c r="J3929">
        <v>4</v>
      </c>
      <c r="K3929">
        <v>1.1299999999999999</v>
      </c>
      <c r="L3929">
        <v>0</v>
      </c>
      <c r="M3929" t="s">
        <v>4812</v>
      </c>
      <c r="N3929" t="s">
        <v>4900</v>
      </c>
      <c r="O3929" t="s">
        <v>4910</v>
      </c>
    </row>
    <row r="3930" spans="1:15" x14ac:dyDescent="0.35">
      <c r="A3930" t="s">
        <v>3873</v>
      </c>
      <c r="B3930">
        <v>65</v>
      </c>
      <c r="C3930" t="s">
        <v>4803</v>
      </c>
      <c r="D3930" t="s">
        <v>14</v>
      </c>
      <c r="E3930">
        <v>11</v>
      </c>
      <c r="F3930">
        <v>37</v>
      </c>
      <c r="G3930" t="s">
        <v>4798</v>
      </c>
      <c r="H3930" t="s">
        <v>4805</v>
      </c>
      <c r="I3930">
        <v>8.99</v>
      </c>
      <c r="J3930">
        <v>1</v>
      </c>
      <c r="K3930">
        <v>0.37</v>
      </c>
      <c r="L3930">
        <v>1</v>
      </c>
      <c r="M3930" t="s">
        <v>4811</v>
      </c>
      <c r="N3930" t="s">
        <v>4899</v>
      </c>
      <c r="O3930" t="s">
        <v>4911</v>
      </c>
    </row>
    <row r="3931" spans="1:15" x14ac:dyDescent="0.35">
      <c r="A3931" t="s">
        <v>3874</v>
      </c>
      <c r="B3931">
        <v>49</v>
      </c>
      <c r="C3931" t="s">
        <v>4802</v>
      </c>
      <c r="D3931" t="s">
        <v>15</v>
      </c>
      <c r="E3931">
        <v>45</v>
      </c>
      <c r="F3931">
        <v>58</v>
      </c>
      <c r="G3931" t="s">
        <v>4799</v>
      </c>
      <c r="H3931" t="s">
        <v>4804</v>
      </c>
      <c r="I3931">
        <v>17.989999999999998</v>
      </c>
      <c r="J3931">
        <v>2</v>
      </c>
      <c r="K3931">
        <v>1.5</v>
      </c>
      <c r="L3931">
        <v>0</v>
      </c>
      <c r="M3931" t="s">
        <v>4812</v>
      </c>
      <c r="N3931" t="s">
        <v>4900</v>
      </c>
      <c r="O3931" t="s">
        <v>4910</v>
      </c>
    </row>
    <row r="3932" spans="1:15" x14ac:dyDescent="0.35">
      <c r="A3932" t="s">
        <v>3875</v>
      </c>
      <c r="B3932">
        <v>25</v>
      </c>
      <c r="C3932" t="s">
        <v>4803</v>
      </c>
      <c r="D3932" t="s">
        <v>13</v>
      </c>
      <c r="E3932">
        <v>43</v>
      </c>
      <c r="F3932">
        <v>52</v>
      </c>
      <c r="G3932" t="s">
        <v>4798</v>
      </c>
      <c r="H3932" t="s">
        <v>4804</v>
      </c>
      <c r="I3932">
        <v>13.99</v>
      </c>
      <c r="J3932">
        <v>1</v>
      </c>
      <c r="K3932">
        <v>1.43</v>
      </c>
      <c r="L3932">
        <v>0</v>
      </c>
      <c r="M3932" t="s">
        <v>4808</v>
      </c>
      <c r="N3932" t="s">
        <v>4900</v>
      </c>
      <c r="O3932" t="s">
        <v>4912</v>
      </c>
    </row>
    <row r="3933" spans="1:15" x14ac:dyDescent="0.35">
      <c r="A3933" t="s">
        <v>3876</v>
      </c>
      <c r="B3933">
        <v>20</v>
      </c>
      <c r="C3933" t="s">
        <v>4803</v>
      </c>
      <c r="D3933" t="s">
        <v>13</v>
      </c>
      <c r="E3933">
        <v>61</v>
      </c>
      <c r="F3933">
        <v>14</v>
      </c>
      <c r="G3933" t="s">
        <v>4798</v>
      </c>
      <c r="H3933" t="s">
        <v>4805</v>
      </c>
      <c r="I3933">
        <v>13.99</v>
      </c>
      <c r="J3933">
        <v>3</v>
      </c>
      <c r="K3933">
        <v>2.0299999999999998</v>
      </c>
      <c r="L3933">
        <v>0</v>
      </c>
      <c r="M3933" t="s">
        <v>4810</v>
      </c>
      <c r="N3933" t="s">
        <v>4900</v>
      </c>
      <c r="O3933" t="s">
        <v>4912</v>
      </c>
    </row>
    <row r="3934" spans="1:15" x14ac:dyDescent="0.35">
      <c r="A3934" t="s">
        <v>3877</v>
      </c>
      <c r="B3934">
        <v>50</v>
      </c>
      <c r="C3934" t="s">
        <v>4803</v>
      </c>
      <c r="D3934" t="s">
        <v>13</v>
      </c>
      <c r="E3934">
        <v>52</v>
      </c>
      <c r="F3934">
        <v>17</v>
      </c>
      <c r="G3934" t="s">
        <v>4797</v>
      </c>
      <c r="H3934" t="s">
        <v>4804</v>
      </c>
      <c r="I3934">
        <v>13.99</v>
      </c>
      <c r="J3934">
        <v>2</v>
      </c>
      <c r="K3934">
        <v>5</v>
      </c>
      <c r="L3934">
        <v>0</v>
      </c>
      <c r="M3934" t="s">
        <v>4808</v>
      </c>
      <c r="N3934" t="s">
        <v>4900</v>
      </c>
      <c r="O3934" t="s">
        <v>4910</v>
      </c>
    </row>
    <row r="3935" spans="1:15" x14ac:dyDescent="0.35">
      <c r="A3935" t="s">
        <v>3878</v>
      </c>
      <c r="B3935">
        <v>41</v>
      </c>
      <c r="C3935" t="s">
        <v>4802</v>
      </c>
      <c r="D3935" t="s">
        <v>13</v>
      </c>
      <c r="E3935">
        <v>78</v>
      </c>
      <c r="F3935">
        <v>37</v>
      </c>
      <c r="G3935" t="s">
        <v>4797</v>
      </c>
      <c r="H3935" t="s">
        <v>4805</v>
      </c>
      <c r="I3935">
        <v>13.99</v>
      </c>
      <c r="J3935">
        <v>4</v>
      </c>
      <c r="K3935">
        <v>2.6</v>
      </c>
      <c r="L3935">
        <v>0</v>
      </c>
      <c r="M3935" t="s">
        <v>4812</v>
      </c>
      <c r="N3935" t="s">
        <v>4900</v>
      </c>
      <c r="O3935" t="s">
        <v>4910</v>
      </c>
    </row>
    <row r="3936" spans="1:15" x14ac:dyDescent="0.35">
      <c r="A3936" t="s">
        <v>3879</v>
      </c>
      <c r="B3936">
        <v>28</v>
      </c>
      <c r="C3936" t="s">
        <v>4803</v>
      </c>
      <c r="D3936" t="s">
        <v>15</v>
      </c>
      <c r="E3936">
        <v>107</v>
      </c>
      <c r="F3936">
        <v>44</v>
      </c>
      <c r="G3936" t="s">
        <v>4798</v>
      </c>
      <c r="H3936" t="s">
        <v>4804</v>
      </c>
      <c r="I3936">
        <v>17.989999999999998</v>
      </c>
      <c r="J3936">
        <v>5</v>
      </c>
      <c r="K3936">
        <v>3.57</v>
      </c>
      <c r="L3936">
        <v>0</v>
      </c>
      <c r="M3936" t="s">
        <v>4812</v>
      </c>
      <c r="N3936" t="s">
        <v>4900</v>
      </c>
      <c r="O3936" t="s">
        <v>4912</v>
      </c>
    </row>
    <row r="3937" spans="1:15" x14ac:dyDescent="0.35">
      <c r="A3937" t="s">
        <v>3880</v>
      </c>
      <c r="B3937">
        <v>58</v>
      </c>
      <c r="C3937" t="s">
        <v>4803</v>
      </c>
      <c r="D3937" t="s">
        <v>15</v>
      </c>
      <c r="E3937">
        <v>90</v>
      </c>
      <c r="F3937">
        <v>34</v>
      </c>
      <c r="G3937" t="s">
        <v>4799</v>
      </c>
      <c r="H3937" t="s">
        <v>4805</v>
      </c>
      <c r="I3937">
        <v>17.989999999999998</v>
      </c>
      <c r="J3937">
        <v>3</v>
      </c>
      <c r="K3937">
        <v>3</v>
      </c>
      <c r="L3937">
        <v>0</v>
      </c>
      <c r="M3937" t="s">
        <v>4808</v>
      </c>
      <c r="N3937" t="s">
        <v>4900</v>
      </c>
      <c r="O3937" t="s">
        <v>4911</v>
      </c>
    </row>
    <row r="3938" spans="1:15" x14ac:dyDescent="0.35">
      <c r="A3938" t="s">
        <v>3881</v>
      </c>
      <c r="B3938">
        <v>34</v>
      </c>
      <c r="C3938" t="s">
        <v>4802</v>
      </c>
      <c r="D3938" t="s">
        <v>13</v>
      </c>
      <c r="E3938">
        <v>60</v>
      </c>
      <c r="F3938">
        <v>17</v>
      </c>
      <c r="G3938" t="s">
        <v>4799</v>
      </c>
      <c r="H3938" t="s">
        <v>4806</v>
      </c>
      <c r="I3938">
        <v>13.99</v>
      </c>
      <c r="J3938">
        <v>4</v>
      </c>
      <c r="K3938">
        <v>2</v>
      </c>
      <c r="L3938">
        <v>0</v>
      </c>
      <c r="M3938" t="s">
        <v>4810</v>
      </c>
      <c r="N3938" t="s">
        <v>4900</v>
      </c>
      <c r="O3938" t="s">
        <v>4912</v>
      </c>
    </row>
    <row r="3939" spans="1:15" x14ac:dyDescent="0.35">
      <c r="A3939" t="s">
        <v>4885</v>
      </c>
      <c r="B3939">
        <v>32</v>
      </c>
      <c r="C3939" t="s">
        <v>4803</v>
      </c>
      <c r="D3939" t="s">
        <v>13</v>
      </c>
      <c r="E3939">
        <v>49</v>
      </c>
      <c r="F3939">
        <v>21</v>
      </c>
      <c r="G3939" t="s">
        <v>4799</v>
      </c>
      <c r="H3939" t="s">
        <v>4805</v>
      </c>
      <c r="I3939">
        <v>13.99</v>
      </c>
      <c r="J3939">
        <v>2</v>
      </c>
      <c r="K3939">
        <v>1.63</v>
      </c>
      <c r="L3939">
        <v>0</v>
      </c>
      <c r="M3939" t="s">
        <v>4809</v>
      </c>
      <c r="N3939" t="s">
        <v>4900</v>
      </c>
      <c r="O3939" t="s">
        <v>4912</v>
      </c>
    </row>
    <row r="3940" spans="1:15" x14ac:dyDescent="0.35">
      <c r="A3940" t="s">
        <v>3882</v>
      </c>
      <c r="B3940">
        <v>30</v>
      </c>
      <c r="C3940" t="s">
        <v>4803</v>
      </c>
      <c r="D3940" t="s">
        <v>15</v>
      </c>
      <c r="E3940">
        <v>91</v>
      </c>
      <c r="F3940">
        <v>21</v>
      </c>
      <c r="G3940" t="s">
        <v>4798</v>
      </c>
      <c r="H3940" t="s">
        <v>4804</v>
      </c>
      <c r="I3940">
        <v>17.989999999999998</v>
      </c>
      <c r="J3940">
        <v>2</v>
      </c>
      <c r="K3940">
        <v>2.0299999999999998</v>
      </c>
      <c r="L3940">
        <v>0</v>
      </c>
      <c r="M3940" t="s">
        <v>4811</v>
      </c>
      <c r="N3940" t="s">
        <v>4900</v>
      </c>
      <c r="O3940" t="s">
        <v>4912</v>
      </c>
    </row>
    <row r="3941" spans="1:15" x14ac:dyDescent="0.35">
      <c r="A3941" t="s">
        <v>3883</v>
      </c>
      <c r="B3941">
        <v>34</v>
      </c>
      <c r="C3941" t="s">
        <v>4802</v>
      </c>
      <c r="D3941" t="s">
        <v>15</v>
      </c>
      <c r="E3941">
        <v>72</v>
      </c>
      <c r="F3941">
        <v>40</v>
      </c>
      <c r="G3941" t="s">
        <v>4797</v>
      </c>
      <c r="H3941" t="s">
        <v>4806</v>
      </c>
      <c r="I3941">
        <v>17.989999999999998</v>
      </c>
      <c r="J3941">
        <v>4</v>
      </c>
      <c r="K3941">
        <v>2.4</v>
      </c>
      <c r="L3941">
        <v>0</v>
      </c>
      <c r="M3941" t="s">
        <v>4812</v>
      </c>
      <c r="N3941" t="s">
        <v>4900</v>
      </c>
      <c r="O3941" t="s">
        <v>4912</v>
      </c>
    </row>
    <row r="3942" spans="1:15" x14ac:dyDescent="0.35">
      <c r="A3942" t="s">
        <v>3884</v>
      </c>
      <c r="B3942">
        <v>62</v>
      </c>
      <c r="C3942" t="s">
        <v>4803</v>
      </c>
      <c r="D3942" t="s">
        <v>13</v>
      </c>
      <c r="E3942">
        <v>34</v>
      </c>
      <c r="F3942">
        <v>60</v>
      </c>
      <c r="G3942" t="s">
        <v>4799</v>
      </c>
      <c r="H3942" t="s">
        <v>4806</v>
      </c>
      <c r="I3942">
        <v>13.99</v>
      </c>
      <c r="J3942">
        <v>2</v>
      </c>
      <c r="K3942">
        <v>1.1299999999999999</v>
      </c>
      <c r="L3942">
        <v>1</v>
      </c>
      <c r="M3942" t="s">
        <v>4809</v>
      </c>
      <c r="N3942" t="s">
        <v>4899</v>
      </c>
      <c r="O3942" t="s">
        <v>4911</v>
      </c>
    </row>
    <row r="3943" spans="1:15" x14ac:dyDescent="0.35">
      <c r="A3943" t="s">
        <v>3885</v>
      </c>
      <c r="B3943">
        <v>42</v>
      </c>
      <c r="C3943" t="s">
        <v>4802</v>
      </c>
      <c r="D3943" t="s">
        <v>15</v>
      </c>
      <c r="E3943">
        <v>54</v>
      </c>
      <c r="F3943">
        <v>53</v>
      </c>
      <c r="G3943" t="s">
        <v>4799</v>
      </c>
      <c r="H3943" t="s">
        <v>4805</v>
      </c>
      <c r="I3943">
        <v>17.989999999999998</v>
      </c>
      <c r="J3943">
        <v>2</v>
      </c>
      <c r="K3943">
        <v>1.8</v>
      </c>
      <c r="L3943">
        <v>0</v>
      </c>
      <c r="M3943" t="s">
        <v>4809</v>
      </c>
      <c r="N3943" t="s">
        <v>4900</v>
      </c>
      <c r="O3943" t="s">
        <v>4910</v>
      </c>
    </row>
    <row r="3944" spans="1:15" x14ac:dyDescent="0.35">
      <c r="A3944" t="s">
        <v>3886</v>
      </c>
      <c r="B3944">
        <v>23</v>
      </c>
      <c r="C3944" t="s">
        <v>4803</v>
      </c>
      <c r="D3944" t="s">
        <v>15</v>
      </c>
      <c r="E3944">
        <v>112</v>
      </c>
      <c r="F3944">
        <v>22</v>
      </c>
      <c r="G3944" t="s">
        <v>4798</v>
      </c>
      <c r="H3944" t="s">
        <v>4805</v>
      </c>
      <c r="I3944">
        <v>17.989999999999998</v>
      </c>
      <c r="J3944">
        <v>3</v>
      </c>
      <c r="K3944">
        <v>3.73</v>
      </c>
      <c r="L3944">
        <v>0</v>
      </c>
      <c r="M3944" t="s">
        <v>4808</v>
      </c>
      <c r="N3944" t="s">
        <v>4900</v>
      </c>
      <c r="O3944" t="s">
        <v>4912</v>
      </c>
    </row>
    <row r="3945" spans="1:15" x14ac:dyDescent="0.35">
      <c r="A3945" t="s">
        <v>3887</v>
      </c>
      <c r="B3945">
        <v>58</v>
      </c>
      <c r="C3945" t="s">
        <v>4802</v>
      </c>
      <c r="D3945" t="s">
        <v>13</v>
      </c>
      <c r="E3945">
        <v>78</v>
      </c>
      <c r="F3945">
        <v>57</v>
      </c>
      <c r="G3945" t="s">
        <v>4798</v>
      </c>
      <c r="H3945" t="s">
        <v>4804</v>
      </c>
      <c r="I3945">
        <v>13.99</v>
      </c>
      <c r="J3945">
        <v>3</v>
      </c>
      <c r="K3945">
        <v>2.6</v>
      </c>
      <c r="L3945">
        <v>0</v>
      </c>
      <c r="M3945" t="s">
        <v>4809</v>
      </c>
      <c r="N3945" t="s">
        <v>4900</v>
      </c>
      <c r="O3945" t="s">
        <v>4911</v>
      </c>
    </row>
    <row r="3946" spans="1:15" x14ac:dyDescent="0.35">
      <c r="A3946" t="s">
        <v>3888</v>
      </c>
      <c r="B3946">
        <v>26</v>
      </c>
      <c r="C3946" t="s">
        <v>4802</v>
      </c>
      <c r="D3946" t="s">
        <v>15</v>
      </c>
      <c r="E3946">
        <v>89</v>
      </c>
      <c r="F3946">
        <v>29</v>
      </c>
      <c r="G3946" t="s">
        <v>4800</v>
      </c>
      <c r="H3946" t="s">
        <v>4804</v>
      </c>
      <c r="I3946">
        <v>17.989999999999998</v>
      </c>
      <c r="J3946">
        <v>3</v>
      </c>
      <c r="K3946">
        <v>2.97</v>
      </c>
      <c r="L3946">
        <v>0</v>
      </c>
      <c r="M3946" t="s">
        <v>4810</v>
      </c>
      <c r="N3946" t="s">
        <v>4900</v>
      </c>
      <c r="O3946" t="s">
        <v>4912</v>
      </c>
    </row>
    <row r="3947" spans="1:15" x14ac:dyDescent="0.35">
      <c r="A3947" t="s">
        <v>3889</v>
      </c>
      <c r="B3947">
        <v>42</v>
      </c>
      <c r="C3947" t="s">
        <v>4802</v>
      </c>
      <c r="D3947" t="s">
        <v>15</v>
      </c>
      <c r="E3947">
        <v>66</v>
      </c>
      <c r="F3947">
        <v>27</v>
      </c>
      <c r="G3947" t="s">
        <v>4798</v>
      </c>
      <c r="H3947" t="s">
        <v>4805</v>
      </c>
      <c r="I3947">
        <v>17.989999999999998</v>
      </c>
      <c r="J3947">
        <v>2</v>
      </c>
      <c r="K3947">
        <v>2.0299999999999998</v>
      </c>
      <c r="L3947">
        <v>0</v>
      </c>
      <c r="M3947" t="s">
        <v>4810</v>
      </c>
      <c r="N3947" t="s">
        <v>4900</v>
      </c>
      <c r="O3947" t="s">
        <v>4910</v>
      </c>
    </row>
    <row r="3948" spans="1:15" x14ac:dyDescent="0.35">
      <c r="A3948" t="s">
        <v>3890</v>
      </c>
      <c r="B3948">
        <v>59</v>
      </c>
      <c r="C3948" t="s">
        <v>4802</v>
      </c>
      <c r="D3948" t="s">
        <v>13</v>
      </c>
      <c r="E3948">
        <v>46</v>
      </c>
      <c r="F3948">
        <v>1</v>
      </c>
      <c r="G3948" t="s">
        <v>4799</v>
      </c>
      <c r="H3948" t="s">
        <v>4804</v>
      </c>
      <c r="I3948">
        <v>13.99</v>
      </c>
      <c r="J3948">
        <v>4</v>
      </c>
      <c r="K3948">
        <v>1.53</v>
      </c>
      <c r="L3948">
        <v>0</v>
      </c>
      <c r="M3948" t="s">
        <v>4809</v>
      </c>
      <c r="N3948" t="s">
        <v>4900</v>
      </c>
      <c r="O3948" t="s">
        <v>4911</v>
      </c>
    </row>
    <row r="3949" spans="1:15" x14ac:dyDescent="0.35">
      <c r="A3949" t="s">
        <v>3891</v>
      </c>
      <c r="B3949">
        <v>33</v>
      </c>
      <c r="C3949" t="s">
        <v>4802</v>
      </c>
      <c r="D3949" t="s">
        <v>13</v>
      </c>
      <c r="E3949">
        <v>57</v>
      </c>
      <c r="F3949">
        <v>13</v>
      </c>
      <c r="G3949" t="s">
        <v>4798</v>
      </c>
      <c r="H3949" t="s">
        <v>4806</v>
      </c>
      <c r="I3949">
        <v>13.99</v>
      </c>
      <c r="J3949">
        <v>4</v>
      </c>
      <c r="K3949">
        <v>1.9</v>
      </c>
      <c r="L3949">
        <v>0</v>
      </c>
      <c r="M3949" t="s">
        <v>4812</v>
      </c>
      <c r="N3949" t="s">
        <v>4900</v>
      </c>
      <c r="O3949" t="s">
        <v>4912</v>
      </c>
    </row>
    <row r="3950" spans="1:15" x14ac:dyDescent="0.35">
      <c r="A3950" t="s">
        <v>3892</v>
      </c>
      <c r="B3950">
        <v>38</v>
      </c>
      <c r="C3950" t="s">
        <v>4803</v>
      </c>
      <c r="D3950" t="s">
        <v>15</v>
      </c>
      <c r="E3950">
        <v>67</v>
      </c>
      <c r="F3950">
        <v>7</v>
      </c>
      <c r="G3950" t="s">
        <v>4798</v>
      </c>
      <c r="H3950" t="s">
        <v>4804</v>
      </c>
      <c r="I3950">
        <v>17.989999999999998</v>
      </c>
      <c r="J3950">
        <v>2</v>
      </c>
      <c r="K3950">
        <v>2.23</v>
      </c>
      <c r="L3950">
        <v>0</v>
      </c>
      <c r="M3950" t="s">
        <v>4808</v>
      </c>
      <c r="N3950" t="s">
        <v>4900</v>
      </c>
      <c r="O3950" t="s">
        <v>4910</v>
      </c>
    </row>
    <row r="3951" spans="1:15" x14ac:dyDescent="0.35">
      <c r="A3951" t="s">
        <v>3893</v>
      </c>
      <c r="B3951">
        <v>45</v>
      </c>
      <c r="C3951" t="s">
        <v>4803</v>
      </c>
      <c r="D3951" t="s">
        <v>13</v>
      </c>
      <c r="E3951">
        <v>49</v>
      </c>
      <c r="F3951">
        <v>18</v>
      </c>
      <c r="G3951" t="s">
        <v>4798</v>
      </c>
      <c r="H3951" t="s">
        <v>4806</v>
      </c>
      <c r="I3951">
        <v>13.99</v>
      </c>
      <c r="J3951">
        <v>4</v>
      </c>
      <c r="K3951">
        <v>1.63</v>
      </c>
      <c r="L3951">
        <v>1</v>
      </c>
      <c r="M3951" t="s">
        <v>4808</v>
      </c>
      <c r="N3951" t="s">
        <v>4899</v>
      </c>
      <c r="O3951" t="s">
        <v>4910</v>
      </c>
    </row>
    <row r="3952" spans="1:15" x14ac:dyDescent="0.35">
      <c r="A3952" t="s">
        <v>3894</v>
      </c>
      <c r="B3952">
        <v>62</v>
      </c>
      <c r="C3952" t="s">
        <v>4802</v>
      </c>
      <c r="D3952" t="s">
        <v>15</v>
      </c>
      <c r="E3952">
        <v>66</v>
      </c>
      <c r="F3952">
        <v>4</v>
      </c>
      <c r="G3952" t="s">
        <v>4798</v>
      </c>
      <c r="H3952" t="s">
        <v>4805</v>
      </c>
      <c r="I3952">
        <v>17.989999999999998</v>
      </c>
      <c r="J3952">
        <v>2</v>
      </c>
      <c r="K3952">
        <v>2.2000000000000002</v>
      </c>
      <c r="L3952">
        <v>0</v>
      </c>
      <c r="M3952" t="s">
        <v>4810</v>
      </c>
      <c r="N3952" t="s">
        <v>4900</v>
      </c>
      <c r="O3952" t="s">
        <v>4911</v>
      </c>
    </row>
    <row r="3953" spans="1:15" x14ac:dyDescent="0.35">
      <c r="A3953" t="s">
        <v>3895</v>
      </c>
      <c r="B3953">
        <v>35</v>
      </c>
      <c r="C3953" t="s">
        <v>4802</v>
      </c>
      <c r="D3953" t="s">
        <v>15</v>
      </c>
      <c r="E3953">
        <v>13</v>
      </c>
      <c r="F3953">
        <v>8</v>
      </c>
      <c r="G3953" t="s">
        <v>4799</v>
      </c>
      <c r="H3953" t="s">
        <v>4804</v>
      </c>
      <c r="I3953">
        <v>17.989999999999998</v>
      </c>
      <c r="J3953">
        <v>2</v>
      </c>
      <c r="K3953">
        <v>0.43</v>
      </c>
      <c r="L3953">
        <v>0</v>
      </c>
      <c r="M3953" t="s">
        <v>4808</v>
      </c>
      <c r="N3953" t="s">
        <v>4900</v>
      </c>
      <c r="O3953" t="s">
        <v>4910</v>
      </c>
    </row>
    <row r="3954" spans="1:15" x14ac:dyDescent="0.35">
      <c r="A3954" t="s">
        <v>3896</v>
      </c>
      <c r="B3954">
        <v>55</v>
      </c>
      <c r="C3954" t="s">
        <v>4803</v>
      </c>
      <c r="D3954" t="s">
        <v>14</v>
      </c>
      <c r="E3954">
        <v>37</v>
      </c>
      <c r="F3954">
        <v>16</v>
      </c>
      <c r="G3954" t="s">
        <v>4797</v>
      </c>
      <c r="H3954" t="s">
        <v>4805</v>
      </c>
      <c r="I3954">
        <v>8.99</v>
      </c>
      <c r="J3954">
        <v>3</v>
      </c>
      <c r="K3954">
        <v>1.23</v>
      </c>
      <c r="L3954">
        <v>0</v>
      </c>
      <c r="M3954" t="s">
        <v>4808</v>
      </c>
      <c r="N3954" t="s">
        <v>4900</v>
      </c>
      <c r="O3954" t="s">
        <v>4911</v>
      </c>
    </row>
    <row r="3955" spans="1:15" x14ac:dyDescent="0.35">
      <c r="A3955" t="s">
        <v>3897</v>
      </c>
      <c r="B3955">
        <v>44</v>
      </c>
      <c r="C3955" t="s">
        <v>4803</v>
      </c>
      <c r="D3955" t="s">
        <v>13</v>
      </c>
      <c r="E3955">
        <v>36</v>
      </c>
      <c r="F3955">
        <v>20</v>
      </c>
      <c r="G3955" t="s">
        <v>4797</v>
      </c>
      <c r="H3955" t="s">
        <v>4806</v>
      </c>
      <c r="I3955">
        <v>13.99</v>
      </c>
      <c r="J3955">
        <v>4</v>
      </c>
      <c r="K3955">
        <v>1.2</v>
      </c>
      <c r="L3955">
        <v>0</v>
      </c>
      <c r="M3955" t="s">
        <v>4812</v>
      </c>
      <c r="N3955" t="s">
        <v>4900</v>
      </c>
      <c r="O3955" t="s">
        <v>4910</v>
      </c>
    </row>
    <row r="3956" spans="1:15" x14ac:dyDescent="0.35">
      <c r="A3956" t="s">
        <v>3898</v>
      </c>
      <c r="B3956">
        <v>22</v>
      </c>
      <c r="C3956" t="s">
        <v>4803</v>
      </c>
      <c r="D3956" t="s">
        <v>15</v>
      </c>
      <c r="E3956">
        <v>63</v>
      </c>
      <c r="F3956">
        <v>56</v>
      </c>
      <c r="G3956" t="s">
        <v>4799</v>
      </c>
      <c r="H3956" t="s">
        <v>4805</v>
      </c>
      <c r="I3956">
        <v>17.989999999999998</v>
      </c>
      <c r="J3956">
        <v>3</v>
      </c>
      <c r="K3956">
        <v>2.1</v>
      </c>
      <c r="L3956">
        <v>0</v>
      </c>
      <c r="M3956" t="s">
        <v>4812</v>
      </c>
      <c r="N3956" t="s">
        <v>4900</v>
      </c>
      <c r="O3956" t="s">
        <v>4912</v>
      </c>
    </row>
    <row r="3957" spans="1:15" x14ac:dyDescent="0.35">
      <c r="A3957" t="s">
        <v>3899</v>
      </c>
      <c r="B3957">
        <v>43</v>
      </c>
      <c r="C3957" t="s">
        <v>4803</v>
      </c>
      <c r="D3957" t="s">
        <v>13</v>
      </c>
      <c r="E3957">
        <v>45</v>
      </c>
      <c r="F3957">
        <v>45</v>
      </c>
      <c r="G3957" t="s">
        <v>4799</v>
      </c>
      <c r="H3957" t="s">
        <v>4805</v>
      </c>
      <c r="I3957">
        <v>13.99</v>
      </c>
      <c r="J3957">
        <v>4</v>
      </c>
      <c r="K3957">
        <v>1.5</v>
      </c>
      <c r="L3957">
        <v>0</v>
      </c>
      <c r="M3957" t="s">
        <v>4809</v>
      </c>
      <c r="N3957" t="s">
        <v>4900</v>
      </c>
      <c r="O3957" t="s">
        <v>4910</v>
      </c>
    </row>
    <row r="3958" spans="1:15" x14ac:dyDescent="0.35">
      <c r="A3958" t="s">
        <v>3900</v>
      </c>
      <c r="B3958">
        <v>42</v>
      </c>
      <c r="C3958" t="s">
        <v>4802</v>
      </c>
      <c r="D3958" t="s">
        <v>13</v>
      </c>
      <c r="E3958">
        <v>58</v>
      </c>
      <c r="F3958">
        <v>55</v>
      </c>
      <c r="G3958" t="s">
        <v>4799</v>
      </c>
      <c r="H3958" t="s">
        <v>4806</v>
      </c>
      <c r="I3958">
        <v>13.99</v>
      </c>
      <c r="J3958">
        <v>3</v>
      </c>
      <c r="K3958">
        <v>1.93</v>
      </c>
      <c r="L3958">
        <v>1</v>
      </c>
      <c r="M3958" t="s">
        <v>4811</v>
      </c>
      <c r="N3958" t="s">
        <v>4899</v>
      </c>
      <c r="O3958" t="s">
        <v>4910</v>
      </c>
    </row>
    <row r="3959" spans="1:15" x14ac:dyDescent="0.35">
      <c r="A3959" t="s">
        <v>3901</v>
      </c>
      <c r="B3959">
        <v>58</v>
      </c>
      <c r="C3959" t="s">
        <v>4803</v>
      </c>
      <c r="D3959" t="s">
        <v>15</v>
      </c>
      <c r="E3959">
        <v>77</v>
      </c>
      <c r="F3959">
        <v>16</v>
      </c>
      <c r="G3959" t="s">
        <v>4800</v>
      </c>
      <c r="H3959" t="s">
        <v>4806</v>
      </c>
      <c r="I3959">
        <v>17.989999999999998</v>
      </c>
      <c r="J3959">
        <v>5</v>
      </c>
      <c r="K3959">
        <v>2.57</v>
      </c>
      <c r="L3959">
        <v>0</v>
      </c>
      <c r="M3959" t="s">
        <v>4812</v>
      </c>
      <c r="N3959" t="s">
        <v>4900</v>
      </c>
      <c r="O3959" t="s">
        <v>4911</v>
      </c>
    </row>
    <row r="3960" spans="1:15" x14ac:dyDescent="0.35">
      <c r="A3960" t="s">
        <v>3902</v>
      </c>
      <c r="B3960">
        <v>63</v>
      </c>
      <c r="C3960" t="s">
        <v>4802</v>
      </c>
      <c r="D3960" t="s">
        <v>13</v>
      </c>
      <c r="E3960">
        <v>37</v>
      </c>
      <c r="F3960">
        <v>47</v>
      </c>
      <c r="G3960" t="s">
        <v>4801</v>
      </c>
      <c r="H3960" t="s">
        <v>4806</v>
      </c>
      <c r="I3960">
        <v>13.99</v>
      </c>
      <c r="J3960">
        <v>3</v>
      </c>
      <c r="K3960">
        <v>1.23</v>
      </c>
      <c r="L3960">
        <v>0</v>
      </c>
      <c r="M3960" t="s">
        <v>4810</v>
      </c>
      <c r="N3960" t="s">
        <v>4900</v>
      </c>
      <c r="O3960" t="s">
        <v>4911</v>
      </c>
    </row>
    <row r="3961" spans="1:15" x14ac:dyDescent="0.35">
      <c r="A3961" t="s">
        <v>3903</v>
      </c>
      <c r="B3961">
        <v>53</v>
      </c>
      <c r="C3961" t="s">
        <v>4803</v>
      </c>
      <c r="D3961" t="s">
        <v>13</v>
      </c>
      <c r="E3961">
        <v>48</v>
      </c>
      <c r="F3961">
        <v>28</v>
      </c>
      <c r="G3961" t="s">
        <v>4797</v>
      </c>
      <c r="H3961" t="s">
        <v>4806</v>
      </c>
      <c r="I3961">
        <v>13.99</v>
      </c>
      <c r="J3961">
        <v>4</v>
      </c>
      <c r="K3961">
        <v>1.6</v>
      </c>
      <c r="L3961">
        <v>0</v>
      </c>
      <c r="M3961" t="s">
        <v>4810</v>
      </c>
      <c r="N3961" t="s">
        <v>4900</v>
      </c>
      <c r="O3961" t="s">
        <v>4910</v>
      </c>
    </row>
    <row r="3962" spans="1:15" x14ac:dyDescent="0.35">
      <c r="A3962" t="s">
        <v>3904</v>
      </c>
      <c r="B3962">
        <v>46</v>
      </c>
      <c r="C3962" t="s">
        <v>4803</v>
      </c>
      <c r="D3962" t="s">
        <v>15</v>
      </c>
      <c r="E3962">
        <v>57</v>
      </c>
      <c r="F3962">
        <v>26</v>
      </c>
      <c r="G3962" t="s">
        <v>4799</v>
      </c>
      <c r="H3962" t="s">
        <v>4804</v>
      </c>
      <c r="I3962">
        <v>17.989999999999998</v>
      </c>
      <c r="J3962">
        <v>2</v>
      </c>
      <c r="K3962">
        <v>1.9</v>
      </c>
      <c r="L3962">
        <v>1</v>
      </c>
      <c r="M3962" t="s">
        <v>4812</v>
      </c>
      <c r="N3962" t="s">
        <v>4899</v>
      </c>
      <c r="O3962" t="s">
        <v>4910</v>
      </c>
    </row>
    <row r="3963" spans="1:15" x14ac:dyDescent="0.35">
      <c r="A3963" t="s">
        <v>3905</v>
      </c>
      <c r="B3963">
        <v>58</v>
      </c>
      <c r="C3963" t="s">
        <v>4802</v>
      </c>
      <c r="D3963" t="s">
        <v>13</v>
      </c>
      <c r="E3963">
        <v>39</v>
      </c>
      <c r="F3963">
        <v>36</v>
      </c>
      <c r="G3963" t="s">
        <v>4797</v>
      </c>
      <c r="H3963" t="s">
        <v>4807</v>
      </c>
      <c r="I3963">
        <v>13.99</v>
      </c>
      <c r="J3963">
        <v>3</v>
      </c>
      <c r="K3963">
        <v>1.3</v>
      </c>
      <c r="L3963">
        <v>0</v>
      </c>
      <c r="M3963" t="s">
        <v>4811</v>
      </c>
      <c r="N3963" t="s">
        <v>4900</v>
      </c>
      <c r="O3963" t="s">
        <v>4911</v>
      </c>
    </row>
    <row r="3964" spans="1:15" x14ac:dyDescent="0.35">
      <c r="A3964" t="s">
        <v>3906</v>
      </c>
      <c r="B3964">
        <v>50</v>
      </c>
      <c r="C3964" t="s">
        <v>4802</v>
      </c>
      <c r="D3964" t="s">
        <v>13</v>
      </c>
      <c r="E3964">
        <v>43</v>
      </c>
      <c r="F3964">
        <v>45</v>
      </c>
      <c r="G3964" t="s">
        <v>4800</v>
      </c>
      <c r="H3964" t="s">
        <v>4805</v>
      </c>
      <c r="I3964">
        <v>13.99</v>
      </c>
      <c r="J3964">
        <v>3</v>
      </c>
      <c r="K3964">
        <v>2.0299999999999998</v>
      </c>
      <c r="L3964">
        <v>1</v>
      </c>
      <c r="M3964" t="s">
        <v>4809</v>
      </c>
      <c r="N3964" t="s">
        <v>4899</v>
      </c>
      <c r="O3964" t="s">
        <v>4910</v>
      </c>
    </row>
    <row r="3965" spans="1:15" x14ac:dyDescent="0.35">
      <c r="A3965" t="s">
        <v>3907</v>
      </c>
      <c r="B3965">
        <v>26</v>
      </c>
      <c r="C3965" t="s">
        <v>4802</v>
      </c>
      <c r="D3965" t="s">
        <v>13</v>
      </c>
      <c r="E3965">
        <v>62</v>
      </c>
      <c r="F3965">
        <v>47</v>
      </c>
      <c r="G3965" t="s">
        <v>4797</v>
      </c>
      <c r="H3965" t="s">
        <v>4805</v>
      </c>
      <c r="I3965">
        <v>13.99</v>
      </c>
      <c r="J3965">
        <v>3</v>
      </c>
      <c r="K3965">
        <v>2.0699999999999998</v>
      </c>
      <c r="L3965">
        <v>0</v>
      </c>
      <c r="M3965" t="s">
        <v>4811</v>
      </c>
      <c r="N3965" t="s">
        <v>4900</v>
      </c>
      <c r="O3965" t="s">
        <v>4912</v>
      </c>
    </row>
    <row r="3966" spans="1:15" x14ac:dyDescent="0.35">
      <c r="A3966" t="s">
        <v>3908</v>
      </c>
      <c r="B3966">
        <v>38</v>
      </c>
      <c r="C3966" t="s">
        <v>4803</v>
      </c>
      <c r="D3966" t="s">
        <v>13</v>
      </c>
      <c r="E3966">
        <v>68</v>
      </c>
      <c r="F3966">
        <v>24</v>
      </c>
      <c r="G3966" t="s">
        <v>4797</v>
      </c>
      <c r="H3966" t="s">
        <v>4805</v>
      </c>
      <c r="I3966">
        <v>13.99</v>
      </c>
      <c r="J3966">
        <v>4</v>
      </c>
      <c r="K3966">
        <v>2.27</v>
      </c>
      <c r="L3966">
        <v>0</v>
      </c>
      <c r="M3966" t="s">
        <v>4810</v>
      </c>
      <c r="N3966" t="s">
        <v>4900</v>
      </c>
      <c r="O3966" t="s">
        <v>4910</v>
      </c>
    </row>
    <row r="3967" spans="1:15" x14ac:dyDescent="0.35">
      <c r="A3967" t="s">
        <v>3909</v>
      </c>
      <c r="B3967">
        <v>32</v>
      </c>
      <c r="C3967" t="s">
        <v>4802</v>
      </c>
      <c r="D3967" t="s">
        <v>13</v>
      </c>
      <c r="E3967">
        <v>31</v>
      </c>
      <c r="F3967">
        <v>3</v>
      </c>
      <c r="G3967" t="s">
        <v>4800</v>
      </c>
      <c r="H3967" t="s">
        <v>4805</v>
      </c>
      <c r="I3967">
        <v>13.99</v>
      </c>
      <c r="J3967">
        <v>2</v>
      </c>
      <c r="K3967">
        <v>1.03</v>
      </c>
      <c r="L3967">
        <v>0</v>
      </c>
      <c r="M3967" t="s">
        <v>4812</v>
      </c>
      <c r="N3967" t="s">
        <v>4900</v>
      </c>
      <c r="O3967" t="s">
        <v>4912</v>
      </c>
    </row>
    <row r="3968" spans="1:15" x14ac:dyDescent="0.35">
      <c r="A3968" t="s">
        <v>3910</v>
      </c>
      <c r="B3968">
        <v>59</v>
      </c>
      <c r="C3968" t="s">
        <v>4802</v>
      </c>
      <c r="D3968" t="s">
        <v>13</v>
      </c>
      <c r="E3968">
        <v>34</v>
      </c>
      <c r="F3968">
        <v>47</v>
      </c>
      <c r="G3968" t="s">
        <v>4800</v>
      </c>
      <c r="H3968" t="s">
        <v>4805</v>
      </c>
      <c r="I3968">
        <v>13.99</v>
      </c>
      <c r="J3968">
        <v>1</v>
      </c>
      <c r="K3968">
        <v>1.1299999999999999</v>
      </c>
      <c r="L3968">
        <v>0</v>
      </c>
      <c r="M3968" t="s">
        <v>4811</v>
      </c>
      <c r="N3968" t="s">
        <v>4900</v>
      </c>
      <c r="O3968" t="s">
        <v>4911</v>
      </c>
    </row>
    <row r="3969" spans="1:15" x14ac:dyDescent="0.35">
      <c r="A3969" t="s">
        <v>3911</v>
      </c>
      <c r="B3969">
        <v>43</v>
      </c>
      <c r="C3969" t="s">
        <v>4802</v>
      </c>
      <c r="D3969" t="s">
        <v>13</v>
      </c>
      <c r="E3969">
        <v>44</v>
      </c>
      <c r="F3969">
        <v>37</v>
      </c>
      <c r="G3969" t="s">
        <v>4797</v>
      </c>
      <c r="H3969" t="s">
        <v>4805</v>
      </c>
      <c r="I3969">
        <v>13.99</v>
      </c>
      <c r="J3969">
        <v>2</v>
      </c>
      <c r="K3969">
        <v>1.47</v>
      </c>
      <c r="L3969">
        <v>0</v>
      </c>
      <c r="M3969" t="s">
        <v>4811</v>
      </c>
      <c r="N3969" t="s">
        <v>4900</v>
      </c>
      <c r="O3969" t="s">
        <v>4910</v>
      </c>
    </row>
    <row r="3970" spans="1:15" x14ac:dyDescent="0.35">
      <c r="A3970" t="s">
        <v>3912</v>
      </c>
      <c r="B3970">
        <v>60</v>
      </c>
      <c r="C3970" t="s">
        <v>4802</v>
      </c>
      <c r="D3970" t="s">
        <v>13</v>
      </c>
      <c r="E3970">
        <v>49</v>
      </c>
      <c r="F3970">
        <v>37</v>
      </c>
      <c r="G3970" t="s">
        <v>4798</v>
      </c>
      <c r="H3970" t="s">
        <v>4805</v>
      </c>
      <c r="I3970">
        <v>13.99</v>
      </c>
      <c r="J3970">
        <v>3</v>
      </c>
      <c r="K3970">
        <v>1.63</v>
      </c>
      <c r="L3970">
        <v>1</v>
      </c>
      <c r="M3970" t="s">
        <v>4810</v>
      </c>
      <c r="N3970" t="s">
        <v>4899</v>
      </c>
      <c r="O3970" t="s">
        <v>4911</v>
      </c>
    </row>
    <row r="3971" spans="1:15" x14ac:dyDescent="0.35">
      <c r="A3971" t="s">
        <v>3913</v>
      </c>
      <c r="B3971">
        <v>39</v>
      </c>
      <c r="C3971" t="s">
        <v>4803</v>
      </c>
      <c r="D3971" t="s">
        <v>15</v>
      </c>
      <c r="E3971">
        <v>89</v>
      </c>
      <c r="F3971">
        <v>52</v>
      </c>
      <c r="G3971" t="s">
        <v>4797</v>
      </c>
      <c r="H3971" t="s">
        <v>4805</v>
      </c>
      <c r="I3971">
        <v>17.989999999999998</v>
      </c>
      <c r="J3971">
        <v>3</v>
      </c>
      <c r="K3971">
        <v>2.97</v>
      </c>
      <c r="L3971">
        <v>0</v>
      </c>
      <c r="M3971" t="s">
        <v>4812</v>
      </c>
      <c r="N3971" t="s">
        <v>4900</v>
      </c>
      <c r="O3971" t="s">
        <v>4910</v>
      </c>
    </row>
    <row r="3972" spans="1:15" x14ac:dyDescent="0.35">
      <c r="A3972" t="s">
        <v>3914</v>
      </c>
      <c r="B3972">
        <v>61</v>
      </c>
      <c r="C3972" t="s">
        <v>4802</v>
      </c>
      <c r="D3972" t="s">
        <v>13</v>
      </c>
      <c r="E3972">
        <v>80</v>
      </c>
      <c r="F3972">
        <v>30</v>
      </c>
      <c r="G3972" t="s">
        <v>4798</v>
      </c>
      <c r="H3972" t="s">
        <v>4805</v>
      </c>
      <c r="I3972">
        <v>13.99</v>
      </c>
      <c r="J3972">
        <v>3</v>
      </c>
      <c r="K3972">
        <v>2.67</v>
      </c>
      <c r="L3972">
        <v>1</v>
      </c>
      <c r="M3972" t="s">
        <v>4808</v>
      </c>
      <c r="N3972" t="s">
        <v>4899</v>
      </c>
      <c r="O3972" t="s">
        <v>4911</v>
      </c>
    </row>
    <row r="3973" spans="1:15" x14ac:dyDescent="0.35">
      <c r="A3973" t="s">
        <v>3915</v>
      </c>
      <c r="B3973">
        <v>48</v>
      </c>
      <c r="C3973" t="s">
        <v>4803</v>
      </c>
      <c r="D3973" t="s">
        <v>13</v>
      </c>
      <c r="E3973">
        <v>53</v>
      </c>
      <c r="F3973">
        <v>7</v>
      </c>
      <c r="G3973" t="s">
        <v>4798</v>
      </c>
      <c r="H3973" t="s">
        <v>4805</v>
      </c>
      <c r="I3973">
        <v>13.99</v>
      </c>
      <c r="J3973">
        <v>1</v>
      </c>
      <c r="K3973">
        <v>1.77</v>
      </c>
      <c r="L3973">
        <v>0</v>
      </c>
      <c r="M3973" t="s">
        <v>4811</v>
      </c>
      <c r="N3973" t="s">
        <v>4900</v>
      </c>
      <c r="O3973" t="s">
        <v>4910</v>
      </c>
    </row>
    <row r="3974" spans="1:15" x14ac:dyDescent="0.35">
      <c r="A3974" t="s">
        <v>3916</v>
      </c>
      <c r="B3974">
        <v>32</v>
      </c>
      <c r="C3974" t="s">
        <v>4803</v>
      </c>
      <c r="D3974" t="s">
        <v>15</v>
      </c>
      <c r="E3974">
        <v>83</v>
      </c>
      <c r="F3974">
        <v>34</v>
      </c>
      <c r="G3974" t="s">
        <v>4799</v>
      </c>
      <c r="H3974" t="s">
        <v>4804</v>
      </c>
      <c r="I3974">
        <v>17.989999999999998</v>
      </c>
      <c r="J3974">
        <v>4</v>
      </c>
      <c r="K3974">
        <v>2.77</v>
      </c>
      <c r="L3974">
        <v>1</v>
      </c>
      <c r="M3974" t="s">
        <v>4810</v>
      </c>
      <c r="N3974" t="s">
        <v>4899</v>
      </c>
      <c r="O3974" t="s">
        <v>4912</v>
      </c>
    </row>
    <row r="3975" spans="1:15" x14ac:dyDescent="0.35">
      <c r="A3975" t="s">
        <v>3917</v>
      </c>
      <c r="B3975">
        <v>64</v>
      </c>
      <c r="C3975" t="s">
        <v>4803</v>
      </c>
      <c r="D3975" t="s">
        <v>13</v>
      </c>
      <c r="E3975">
        <v>47</v>
      </c>
      <c r="F3975">
        <v>59</v>
      </c>
      <c r="G3975" t="s">
        <v>4799</v>
      </c>
      <c r="H3975" t="s">
        <v>4804</v>
      </c>
      <c r="I3975">
        <v>13.99</v>
      </c>
      <c r="J3975">
        <v>1</v>
      </c>
      <c r="K3975">
        <v>1.57</v>
      </c>
      <c r="L3975">
        <v>0</v>
      </c>
      <c r="M3975" t="s">
        <v>4809</v>
      </c>
      <c r="N3975" t="s">
        <v>4900</v>
      </c>
      <c r="O3975" t="s">
        <v>4911</v>
      </c>
    </row>
    <row r="3976" spans="1:15" x14ac:dyDescent="0.35">
      <c r="A3976" t="s">
        <v>3918</v>
      </c>
      <c r="B3976">
        <v>21</v>
      </c>
      <c r="C3976" t="s">
        <v>4803</v>
      </c>
      <c r="D3976" t="s">
        <v>13</v>
      </c>
      <c r="E3976">
        <v>75</v>
      </c>
      <c r="F3976">
        <v>20</v>
      </c>
      <c r="G3976" t="s">
        <v>4799</v>
      </c>
      <c r="H3976" t="s">
        <v>4805</v>
      </c>
      <c r="I3976">
        <v>13.99</v>
      </c>
      <c r="J3976">
        <v>2</v>
      </c>
      <c r="K3976">
        <v>2.5</v>
      </c>
      <c r="L3976">
        <v>0</v>
      </c>
      <c r="M3976" t="s">
        <v>4812</v>
      </c>
      <c r="N3976" t="s">
        <v>4900</v>
      </c>
      <c r="O3976" t="s">
        <v>4912</v>
      </c>
    </row>
    <row r="3977" spans="1:15" x14ac:dyDescent="0.35">
      <c r="A3977" t="s">
        <v>3919</v>
      </c>
      <c r="B3977">
        <v>28</v>
      </c>
      <c r="C3977" t="s">
        <v>4803</v>
      </c>
      <c r="D3977" t="s">
        <v>15</v>
      </c>
      <c r="E3977">
        <v>65</v>
      </c>
      <c r="F3977">
        <v>26</v>
      </c>
      <c r="G3977" t="s">
        <v>4798</v>
      </c>
      <c r="H3977" t="s">
        <v>4805</v>
      </c>
      <c r="I3977">
        <v>17.989999999999998</v>
      </c>
      <c r="J3977">
        <v>2</v>
      </c>
      <c r="K3977">
        <v>2.17</v>
      </c>
      <c r="L3977">
        <v>0</v>
      </c>
      <c r="M3977" t="s">
        <v>4808</v>
      </c>
      <c r="N3977" t="s">
        <v>4900</v>
      </c>
      <c r="O3977" t="s">
        <v>4912</v>
      </c>
    </row>
    <row r="3978" spans="1:15" x14ac:dyDescent="0.35">
      <c r="A3978" t="s">
        <v>3920</v>
      </c>
      <c r="B3978">
        <v>65</v>
      </c>
      <c r="C3978" t="s">
        <v>4803</v>
      </c>
      <c r="D3978" t="s">
        <v>13</v>
      </c>
      <c r="E3978">
        <v>46</v>
      </c>
      <c r="F3978">
        <v>2</v>
      </c>
      <c r="G3978" t="s">
        <v>4797</v>
      </c>
      <c r="H3978" t="s">
        <v>4805</v>
      </c>
      <c r="I3978">
        <v>13.99</v>
      </c>
      <c r="J3978">
        <v>2</v>
      </c>
      <c r="K3978">
        <v>1.53</v>
      </c>
      <c r="L3978">
        <v>0</v>
      </c>
      <c r="M3978" t="s">
        <v>4812</v>
      </c>
      <c r="N3978" t="s">
        <v>4900</v>
      </c>
      <c r="O3978" t="s">
        <v>4911</v>
      </c>
    </row>
    <row r="3979" spans="1:15" x14ac:dyDescent="0.35">
      <c r="A3979" t="s">
        <v>3921</v>
      </c>
      <c r="B3979">
        <v>47</v>
      </c>
      <c r="C3979" t="s">
        <v>4802</v>
      </c>
      <c r="D3979" t="s">
        <v>13</v>
      </c>
      <c r="E3979">
        <v>47</v>
      </c>
      <c r="F3979">
        <v>58</v>
      </c>
      <c r="G3979" t="s">
        <v>4800</v>
      </c>
      <c r="H3979" t="s">
        <v>4805</v>
      </c>
      <c r="I3979">
        <v>13.99</v>
      </c>
      <c r="J3979">
        <v>2</v>
      </c>
      <c r="K3979">
        <v>1.57</v>
      </c>
      <c r="L3979">
        <v>0</v>
      </c>
      <c r="M3979" t="s">
        <v>4809</v>
      </c>
      <c r="N3979" t="s">
        <v>4900</v>
      </c>
      <c r="O3979" t="s">
        <v>4910</v>
      </c>
    </row>
    <row r="3980" spans="1:15" x14ac:dyDescent="0.35">
      <c r="A3980" t="s">
        <v>3922</v>
      </c>
      <c r="B3980">
        <v>27</v>
      </c>
      <c r="C3980" t="s">
        <v>4802</v>
      </c>
      <c r="D3980" t="s">
        <v>14</v>
      </c>
      <c r="E3980">
        <v>11</v>
      </c>
      <c r="F3980">
        <v>56</v>
      </c>
      <c r="G3980" t="s">
        <v>4798</v>
      </c>
      <c r="H3980" t="s">
        <v>4804</v>
      </c>
      <c r="I3980">
        <v>8.99</v>
      </c>
      <c r="J3980">
        <v>2</v>
      </c>
      <c r="K3980">
        <v>0.37</v>
      </c>
      <c r="L3980">
        <v>1</v>
      </c>
      <c r="M3980" t="s">
        <v>4809</v>
      </c>
      <c r="N3980" t="s">
        <v>4899</v>
      </c>
      <c r="O3980" t="s">
        <v>4912</v>
      </c>
    </row>
    <row r="3981" spans="1:15" x14ac:dyDescent="0.35">
      <c r="A3981" t="s">
        <v>3923</v>
      </c>
      <c r="B3981">
        <v>51</v>
      </c>
      <c r="C3981" t="s">
        <v>4802</v>
      </c>
      <c r="D3981" t="s">
        <v>13</v>
      </c>
      <c r="E3981">
        <v>47</v>
      </c>
      <c r="F3981">
        <v>7</v>
      </c>
      <c r="G3981" t="s">
        <v>4798</v>
      </c>
      <c r="H3981" t="s">
        <v>4804</v>
      </c>
      <c r="I3981">
        <v>13.99</v>
      </c>
      <c r="J3981">
        <v>1</v>
      </c>
      <c r="K3981">
        <v>2.0299999999999998</v>
      </c>
      <c r="L3981">
        <v>0</v>
      </c>
      <c r="M3981" t="s">
        <v>4810</v>
      </c>
      <c r="N3981" t="s">
        <v>4900</v>
      </c>
      <c r="O3981" t="s">
        <v>4910</v>
      </c>
    </row>
    <row r="3982" spans="1:15" x14ac:dyDescent="0.35">
      <c r="A3982" t="s">
        <v>3924</v>
      </c>
      <c r="B3982">
        <v>64</v>
      </c>
      <c r="C3982" t="s">
        <v>4802</v>
      </c>
      <c r="D3982" t="s">
        <v>13</v>
      </c>
      <c r="E3982">
        <v>76</v>
      </c>
      <c r="F3982">
        <v>57</v>
      </c>
      <c r="G3982" t="s">
        <v>4798</v>
      </c>
      <c r="H3982" t="s">
        <v>4804</v>
      </c>
      <c r="I3982">
        <v>13.99</v>
      </c>
      <c r="J3982">
        <v>2</v>
      </c>
      <c r="K3982">
        <v>2.5299999999999998</v>
      </c>
      <c r="L3982">
        <v>0</v>
      </c>
      <c r="M3982" t="s">
        <v>4809</v>
      </c>
      <c r="N3982" t="s">
        <v>4900</v>
      </c>
      <c r="O3982" t="s">
        <v>4911</v>
      </c>
    </row>
    <row r="3983" spans="1:15" x14ac:dyDescent="0.35">
      <c r="A3983" t="s">
        <v>3925</v>
      </c>
      <c r="B3983">
        <v>52</v>
      </c>
      <c r="C3983" t="s">
        <v>4803</v>
      </c>
      <c r="D3983" t="s">
        <v>13</v>
      </c>
      <c r="E3983">
        <v>66</v>
      </c>
      <c r="F3983">
        <v>39</v>
      </c>
      <c r="G3983" t="s">
        <v>4799</v>
      </c>
      <c r="H3983" t="s">
        <v>4804</v>
      </c>
      <c r="I3983">
        <v>13.99</v>
      </c>
      <c r="J3983">
        <v>4</v>
      </c>
      <c r="K3983">
        <v>2.2000000000000002</v>
      </c>
      <c r="L3983">
        <v>0</v>
      </c>
      <c r="M3983" t="s">
        <v>4809</v>
      </c>
      <c r="N3983" t="s">
        <v>4900</v>
      </c>
      <c r="O3983" t="s">
        <v>4910</v>
      </c>
    </row>
    <row r="3984" spans="1:15" x14ac:dyDescent="0.35">
      <c r="A3984" t="s">
        <v>3926</v>
      </c>
      <c r="B3984">
        <v>19</v>
      </c>
      <c r="C3984" t="s">
        <v>4802</v>
      </c>
      <c r="D3984" t="s">
        <v>15</v>
      </c>
      <c r="E3984">
        <v>93</v>
      </c>
      <c r="F3984">
        <v>26</v>
      </c>
      <c r="G3984" t="s">
        <v>4798</v>
      </c>
      <c r="H3984" t="s">
        <v>4805</v>
      </c>
      <c r="I3984">
        <v>17.989999999999998</v>
      </c>
      <c r="J3984">
        <v>5</v>
      </c>
      <c r="K3984">
        <v>3.1</v>
      </c>
      <c r="L3984">
        <v>0</v>
      </c>
      <c r="M3984" t="s">
        <v>4812</v>
      </c>
      <c r="N3984" t="s">
        <v>4900</v>
      </c>
      <c r="O3984" t="s">
        <v>4912</v>
      </c>
    </row>
    <row r="3985" spans="1:15" x14ac:dyDescent="0.35">
      <c r="A3985" t="s">
        <v>3927</v>
      </c>
      <c r="B3985">
        <v>50</v>
      </c>
      <c r="C3985" t="s">
        <v>4802</v>
      </c>
      <c r="D3985" t="s">
        <v>14</v>
      </c>
      <c r="E3985">
        <v>21</v>
      </c>
      <c r="F3985">
        <v>40</v>
      </c>
      <c r="G3985" t="s">
        <v>4797</v>
      </c>
      <c r="H3985" t="s">
        <v>4806</v>
      </c>
      <c r="I3985">
        <v>8.99</v>
      </c>
      <c r="J3985">
        <v>1</v>
      </c>
      <c r="K3985">
        <v>0.7</v>
      </c>
      <c r="L3985">
        <v>0</v>
      </c>
      <c r="M3985" t="s">
        <v>4811</v>
      </c>
      <c r="N3985" t="s">
        <v>4900</v>
      </c>
      <c r="O3985" t="s">
        <v>4910</v>
      </c>
    </row>
    <row r="3986" spans="1:15" x14ac:dyDescent="0.35">
      <c r="A3986" t="s">
        <v>3928</v>
      </c>
      <c r="B3986">
        <v>20</v>
      </c>
      <c r="C3986" t="s">
        <v>4802</v>
      </c>
      <c r="D3986" t="s">
        <v>15</v>
      </c>
      <c r="E3986">
        <v>114</v>
      </c>
      <c r="F3986">
        <v>52</v>
      </c>
      <c r="G3986" t="s">
        <v>4799</v>
      </c>
      <c r="H3986" t="s">
        <v>4805</v>
      </c>
      <c r="I3986">
        <v>17.989999999999998</v>
      </c>
      <c r="J3986">
        <v>3</v>
      </c>
      <c r="K3986">
        <v>3.8</v>
      </c>
      <c r="L3986">
        <v>1</v>
      </c>
      <c r="M3986" t="s">
        <v>4808</v>
      </c>
      <c r="N3986" t="s">
        <v>4899</v>
      </c>
      <c r="O3986" t="s">
        <v>4912</v>
      </c>
    </row>
    <row r="3987" spans="1:15" x14ac:dyDescent="0.35">
      <c r="A3987" t="s">
        <v>3929</v>
      </c>
      <c r="B3987">
        <v>24</v>
      </c>
      <c r="C3987" t="s">
        <v>4802</v>
      </c>
      <c r="D3987" t="s">
        <v>14</v>
      </c>
      <c r="E3987">
        <v>34</v>
      </c>
      <c r="F3987">
        <v>0</v>
      </c>
      <c r="G3987" t="s">
        <v>4797</v>
      </c>
      <c r="H3987" t="s">
        <v>4805</v>
      </c>
      <c r="I3987">
        <v>8.99</v>
      </c>
      <c r="J3987">
        <v>2</v>
      </c>
      <c r="K3987">
        <v>1.1299999999999999</v>
      </c>
      <c r="L3987">
        <v>0</v>
      </c>
      <c r="M3987" t="s">
        <v>4811</v>
      </c>
      <c r="N3987" t="s">
        <v>4900</v>
      </c>
      <c r="O3987" t="s">
        <v>4912</v>
      </c>
    </row>
    <row r="3988" spans="1:15" x14ac:dyDescent="0.35">
      <c r="A3988" t="s">
        <v>3930</v>
      </c>
      <c r="B3988">
        <v>56</v>
      </c>
      <c r="C3988" t="s">
        <v>4803</v>
      </c>
      <c r="D3988" t="s">
        <v>15</v>
      </c>
      <c r="E3988">
        <v>92</v>
      </c>
      <c r="F3988">
        <v>6</v>
      </c>
      <c r="G3988" t="s">
        <v>4798</v>
      </c>
      <c r="H3988" t="s">
        <v>4804</v>
      </c>
      <c r="I3988">
        <v>17.989999999999998</v>
      </c>
      <c r="J3988">
        <v>4</v>
      </c>
      <c r="K3988">
        <v>3.07</v>
      </c>
      <c r="L3988">
        <v>0</v>
      </c>
      <c r="M3988" t="s">
        <v>4809</v>
      </c>
      <c r="N3988" t="s">
        <v>4900</v>
      </c>
      <c r="O3988" t="s">
        <v>4911</v>
      </c>
    </row>
    <row r="3989" spans="1:15" x14ac:dyDescent="0.35">
      <c r="A3989" t="s">
        <v>3931</v>
      </c>
      <c r="B3989">
        <v>25</v>
      </c>
      <c r="C3989" t="s">
        <v>4802</v>
      </c>
      <c r="D3989" t="s">
        <v>15</v>
      </c>
      <c r="E3989">
        <v>73</v>
      </c>
      <c r="F3989">
        <v>29</v>
      </c>
      <c r="G3989" t="s">
        <v>4799</v>
      </c>
      <c r="H3989" t="s">
        <v>4806</v>
      </c>
      <c r="I3989">
        <v>17.989999999999998</v>
      </c>
      <c r="J3989">
        <v>4</v>
      </c>
      <c r="K3989">
        <v>2.4300000000000002</v>
      </c>
      <c r="L3989">
        <v>0</v>
      </c>
      <c r="M3989" t="s">
        <v>4812</v>
      </c>
      <c r="N3989" t="s">
        <v>4900</v>
      </c>
      <c r="O3989" t="s">
        <v>4912</v>
      </c>
    </row>
    <row r="3990" spans="1:15" x14ac:dyDescent="0.35">
      <c r="A3990" t="s">
        <v>3932</v>
      </c>
      <c r="B3990">
        <v>51</v>
      </c>
      <c r="C3990" t="s">
        <v>4802</v>
      </c>
      <c r="D3990" t="s">
        <v>13</v>
      </c>
      <c r="E3990">
        <v>30</v>
      </c>
      <c r="F3990">
        <v>23</v>
      </c>
      <c r="G3990" t="s">
        <v>4798</v>
      </c>
      <c r="H3990" t="s">
        <v>4806</v>
      </c>
      <c r="I3990">
        <v>13.99</v>
      </c>
      <c r="J3990">
        <v>3</v>
      </c>
      <c r="K3990">
        <v>2.0299999999999998</v>
      </c>
      <c r="L3990">
        <v>1</v>
      </c>
      <c r="M3990" t="s">
        <v>4811</v>
      </c>
      <c r="N3990" t="s">
        <v>4899</v>
      </c>
      <c r="O3990" t="s">
        <v>4910</v>
      </c>
    </row>
    <row r="3991" spans="1:15" x14ac:dyDescent="0.35">
      <c r="A3991" t="s">
        <v>3933</v>
      </c>
      <c r="B3991">
        <v>20</v>
      </c>
      <c r="C3991" t="s">
        <v>4803</v>
      </c>
      <c r="D3991" t="s">
        <v>13</v>
      </c>
      <c r="E3991">
        <v>41</v>
      </c>
      <c r="F3991">
        <v>24</v>
      </c>
      <c r="G3991" t="s">
        <v>4798</v>
      </c>
      <c r="H3991" t="s">
        <v>4805</v>
      </c>
      <c r="I3991">
        <v>13.99</v>
      </c>
      <c r="J3991">
        <v>1</v>
      </c>
      <c r="K3991">
        <v>1.37</v>
      </c>
      <c r="L3991">
        <v>0</v>
      </c>
      <c r="M3991" t="s">
        <v>4812</v>
      </c>
      <c r="N3991" t="s">
        <v>4900</v>
      </c>
      <c r="O3991" t="s">
        <v>4912</v>
      </c>
    </row>
    <row r="3992" spans="1:15" x14ac:dyDescent="0.35">
      <c r="A3992" t="s">
        <v>3934</v>
      </c>
      <c r="B3992">
        <v>35</v>
      </c>
      <c r="C3992" t="s">
        <v>4803</v>
      </c>
      <c r="D3992" t="s">
        <v>13</v>
      </c>
      <c r="E3992">
        <v>59</v>
      </c>
      <c r="F3992">
        <v>24</v>
      </c>
      <c r="G3992" t="s">
        <v>4798</v>
      </c>
      <c r="H3992" t="s">
        <v>4804</v>
      </c>
      <c r="I3992">
        <v>13.99</v>
      </c>
      <c r="J3992">
        <v>4</v>
      </c>
      <c r="K3992">
        <v>2.0299999999999998</v>
      </c>
      <c r="L3992">
        <v>0</v>
      </c>
      <c r="M3992" t="s">
        <v>4809</v>
      </c>
      <c r="N3992" t="s">
        <v>4900</v>
      </c>
      <c r="O3992" t="s">
        <v>4910</v>
      </c>
    </row>
    <row r="3993" spans="1:15" x14ac:dyDescent="0.35">
      <c r="A3993" t="s">
        <v>3935</v>
      </c>
      <c r="B3993">
        <v>38</v>
      </c>
      <c r="C3993" t="s">
        <v>4802</v>
      </c>
      <c r="D3993" t="s">
        <v>13</v>
      </c>
      <c r="E3993">
        <v>57</v>
      </c>
      <c r="F3993">
        <v>4</v>
      </c>
      <c r="G3993" t="s">
        <v>4797</v>
      </c>
      <c r="H3993" t="s">
        <v>4804</v>
      </c>
      <c r="I3993">
        <v>13.99</v>
      </c>
      <c r="J3993">
        <v>4</v>
      </c>
      <c r="K3993">
        <v>1.9</v>
      </c>
      <c r="L3993">
        <v>0</v>
      </c>
      <c r="M3993" t="s">
        <v>4808</v>
      </c>
      <c r="N3993" t="s">
        <v>4900</v>
      </c>
      <c r="O3993" t="s">
        <v>4910</v>
      </c>
    </row>
    <row r="3994" spans="1:15" x14ac:dyDescent="0.35">
      <c r="A3994" t="s">
        <v>3936</v>
      </c>
      <c r="B3994">
        <v>26</v>
      </c>
      <c r="C3994" t="s">
        <v>4803</v>
      </c>
      <c r="D3994" t="s">
        <v>13</v>
      </c>
      <c r="E3994">
        <v>44</v>
      </c>
      <c r="F3994">
        <v>26</v>
      </c>
      <c r="G3994" t="s">
        <v>4799</v>
      </c>
      <c r="H3994" t="s">
        <v>4806</v>
      </c>
      <c r="I3994">
        <v>13.99</v>
      </c>
      <c r="J3994">
        <v>1</v>
      </c>
      <c r="K3994">
        <v>2.0299999999999998</v>
      </c>
      <c r="L3994">
        <v>0</v>
      </c>
      <c r="M3994" t="s">
        <v>4810</v>
      </c>
      <c r="N3994" t="s">
        <v>4900</v>
      </c>
      <c r="O3994" t="s">
        <v>4912</v>
      </c>
    </row>
    <row r="3995" spans="1:15" x14ac:dyDescent="0.35">
      <c r="A3995" t="s">
        <v>3937</v>
      </c>
      <c r="B3995">
        <v>31</v>
      </c>
      <c r="C3995" t="s">
        <v>4802</v>
      </c>
      <c r="D3995" t="s">
        <v>13</v>
      </c>
      <c r="E3995">
        <v>56</v>
      </c>
      <c r="F3995">
        <v>20</v>
      </c>
      <c r="G3995" t="s">
        <v>4797</v>
      </c>
      <c r="H3995" t="s">
        <v>4805</v>
      </c>
      <c r="I3995">
        <v>13.99</v>
      </c>
      <c r="J3995">
        <v>2</v>
      </c>
      <c r="K3995">
        <v>1.87</v>
      </c>
      <c r="L3995">
        <v>0</v>
      </c>
      <c r="M3995" t="s">
        <v>4812</v>
      </c>
      <c r="N3995" t="s">
        <v>4900</v>
      </c>
      <c r="O3995" t="s">
        <v>4912</v>
      </c>
    </row>
    <row r="3996" spans="1:15" x14ac:dyDescent="0.35">
      <c r="A3996" t="s">
        <v>3938</v>
      </c>
      <c r="B3996">
        <v>65</v>
      </c>
      <c r="C3996" t="s">
        <v>4803</v>
      </c>
      <c r="D3996" t="s">
        <v>13</v>
      </c>
      <c r="E3996">
        <v>42</v>
      </c>
      <c r="F3996">
        <v>47</v>
      </c>
      <c r="G3996" t="s">
        <v>4798</v>
      </c>
      <c r="H3996" t="s">
        <v>4804</v>
      </c>
      <c r="I3996">
        <v>13.99</v>
      </c>
      <c r="J3996">
        <v>1</v>
      </c>
      <c r="K3996">
        <v>1.4</v>
      </c>
      <c r="L3996">
        <v>0</v>
      </c>
      <c r="M3996" t="s">
        <v>4811</v>
      </c>
      <c r="N3996" t="s">
        <v>4900</v>
      </c>
      <c r="O3996" t="s">
        <v>4911</v>
      </c>
    </row>
    <row r="3997" spans="1:15" x14ac:dyDescent="0.35">
      <c r="A3997" t="s">
        <v>3939</v>
      </c>
      <c r="B3997">
        <v>63</v>
      </c>
      <c r="C3997" t="s">
        <v>4802</v>
      </c>
      <c r="D3997" t="s">
        <v>13</v>
      </c>
      <c r="E3997">
        <v>48</v>
      </c>
      <c r="F3997">
        <v>57</v>
      </c>
      <c r="G3997" t="s">
        <v>4797</v>
      </c>
      <c r="H3997" t="s">
        <v>4806</v>
      </c>
      <c r="I3997">
        <v>13.99</v>
      </c>
      <c r="J3997">
        <v>4</v>
      </c>
      <c r="K3997">
        <v>1.6</v>
      </c>
      <c r="L3997">
        <v>1</v>
      </c>
      <c r="M3997" t="s">
        <v>4808</v>
      </c>
      <c r="N3997" t="s">
        <v>4899</v>
      </c>
      <c r="O3997" t="s">
        <v>4911</v>
      </c>
    </row>
    <row r="3998" spans="1:15" x14ac:dyDescent="0.35">
      <c r="A3998" t="s">
        <v>3940</v>
      </c>
      <c r="B3998">
        <v>65</v>
      </c>
      <c r="C3998" t="s">
        <v>4802</v>
      </c>
      <c r="D3998" t="s">
        <v>13</v>
      </c>
      <c r="E3998">
        <v>46</v>
      </c>
      <c r="F3998">
        <v>42</v>
      </c>
      <c r="G3998" t="s">
        <v>4799</v>
      </c>
      <c r="H3998" t="s">
        <v>4804</v>
      </c>
      <c r="I3998">
        <v>13.99</v>
      </c>
      <c r="J3998">
        <v>4</v>
      </c>
      <c r="K3998">
        <v>1.53</v>
      </c>
      <c r="L3998">
        <v>1</v>
      </c>
      <c r="M3998" t="s">
        <v>4812</v>
      </c>
      <c r="N3998" t="s">
        <v>4899</v>
      </c>
      <c r="O3998" t="s">
        <v>4911</v>
      </c>
    </row>
    <row r="3999" spans="1:15" x14ac:dyDescent="0.35">
      <c r="A3999" t="s">
        <v>3941</v>
      </c>
      <c r="B3999">
        <v>51</v>
      </c>
      <c r="C3999" t="s">
        <v>4803</v>
      </c>
      <c r="D3999" t="s">
        <v>15</v>
      </c>
      <c r="E3999">
        <v>109</v>
      </c>
      <c r="F3999">
        <v>47</v>
      </c>
      <c r="G3999" t="s">
        <v>4799</v>
      </c>
      <c r="H3999" t="s">
        <v>4805</v>
      </c>
      <c r="I3999">
        <v>17.989999999999998</v>
      </c>
      <c r="J3999">
        <v>5</v>
      </c>
      <c r="K3999">
        <v>3.63</v>
      </c>
      <c r="L3999">
        <v>0</v>
      </c>
      <c r="M3999" t="s">
        <v>4809</v>
      </c>
      <c r="N3999" t="s">
        <v>4900</v>
      </c>
      <c r="O3999" t="s">
        <v>4910</v>
      </c>
    </row>
    <row r="4000" spans="1:15" x14ac:dyDescent="0.35">
      <c r="A4000" t="s">
        <v>3942</v>
      </c>
      <c r="B4000">
        <v>48</v>
      </c>
      <c r="C4000" t="s">
        <v>4802</v>
      </c>
      <c r="D4000" t="s">
        <v>13</v>
      </c>
      <c r="E4000">
        <v>80</v>
      </c>
      <c r="F4000">
        <v>55</v>
      </c>
      <c r="G4000" t="s">
        <v>4798</v>
      </c>
      <c r="H4000" t="s">
        <v>4804</v>
      </c>
      <c r="I4000">
        <v>13.99</v>
      </c>
      <c r="J4000">
        <v>1</v>
      </c>
      <c r="K4000">
        <v>2.0299999999999998</v>
      </c>
      <c r="L4000">
        <v>0</v>
      </c>
      <c r="M4000" t="s">
        <v>4810</v>
      </c>
      <c r="N4000" t="s">
        <v>4900</v>
      </c>
      <c r="O4000" t="s">
        <v>4910</v>
      </c>
    </row>
    <row r="4001" spans="1:15" x14ac:dyDescent="0.35">
      <c r="A4001" t="s">
        <v>3943</v>
      </c>
      <c r="B4001">
        <v>43</v>
      </c>
      <c r="C4001" t="s">
        <v>4802</v>
      </c>
      <c r="D4001" t="s">
        <v>13</v>
      </c>
      <c r="E4001">
        <v>64</v>
      </c>
      <c r="F4001">
        <v>5</v>
      </c>
      <c r="G4001" t="s">
        <v>4799</v>
      </c>
      <c r="H4001" t="s">
        <v>4807</v>
      </c>
      <c r="I4001">
        <v>13.99</v>
      </c>
      <c r="J4001">
        <v>2</v>
      </c>
      <c r="K4001">
        <v>2.13</v>
      </c>
      <c r="L4001">
        <v>0</v>
      </c>
      <c r="M4001" t="s">
        <v>4809</v>
      </c>
      <c r="N4001" t="s">
        <v>4900</v>
      </c>
      <c r="O4001" t="s">
        <v>4910</v>
      </c>
    </row>
    <row r="4002" spans="1:15" x14ac:dyDescent="0.35">
      <c r="A4002" t="s">
        <v>3944</v>
      </c>
      <c r="B4002">
        <v>24</v>
      </c>
      <c r="C4002" t="s">
        <v>4803</v>
      </c>
      <c r="D4002" t="s">
        <v>15</v>
      </c>
      <c r="E4002">
        <v>87</v>
      </c>
      <c r="F4002">
        <v>999</v>
      </c>
      <c r="G4002" t="s">
        <v>4798</v>
      </c>
      <c r="H4002" t="s">
        <v>4805</v>
      </c>
      <c r="I4002">
        <v>17.989999999999998</v>
      </c>
      <c r="J4002">
        <v>4</v>
      </c>
      <c r="K4002">
        <v>2.0299999999999998</v>
      </c>
      <c r="L4002">
        <v>0</v>
      </c>
      <c r="M4002" t="s">
        <v>4810</v>
      </c>
      <c r="N4002" t="s">
        <v>4900</v>
      </c>
      <c r="O4002" t="s">
        <v>4912</v>
      </c>
    </row>
    <row r="4003" spans="1:15" x14ac:dyDescent="0.35">
      <c r="A4003" t="s">
        <v>3945</v>
      </c>
      <c r="B4003">
        <v>60</v>
      </c>
      <c r="C4003" t="s">
        <v>4802</v>
      </c>
      <c r="D4003" t="s">
        <v>13</v>
      </c>
      <c r="E4003">
        <v>72</v>
      </c>
      <c r="F4003">
        <v>23</v>
      </c>
      <c r="G4003" t="s">
        <v>4799</v>
      </c>
      <c r="H4003" t="s">
        <v>4804</v>
      </c>
      <c r="I4003">
        <v>13.99</v>
      </c>
      <c r="J4003">
        <v>4</v>
      </c>
      <c r="K4003">
        <v>2.4</v>
      </c>
      <c r="L4003">
        <v>0</v>
      </c>
      <c r="M4003" t="s">
        <v>4808</v>
      </c>
      <c r="N4003" t="s">
        <v>4900</v>
      </c>
      <c r="O4003" t="s">
        <v>4911</v>
      </c>
    </row>
    <row r="4004" spans="1:15" x14ac:dyDescent="0.35">
      <c r="A4004" t="s">
        <v>3946</v>
      </c>
      <c r="B4004">
        <v>32</v>
      </c>
      <c r="C4004" t="s">
        <v>4803</v>
      </c>
      <c r="D4004" t="s">
        <v>13</v>
      </c>
      <c r="E4004">
        <v>37</v>
      </c>
      <c r="F4004">
        <v>20</v>
      </c>
      <c r="G4004" t="s">
        <v>4797</v>
      </c>
      <c r="H4004" t="s">
        <v>4805</v>
      </c>
      <c r="I4004">
        <v>13.99</v>
      </c>
      <c r="J4004">
        <v>1</v>
      </c>
      <c r="K4004">
        <v>5</v>
      </c>
      <c r="L4004">
        <v>0</v>
      </c>
      <c r="M4004" t="s">
        <v>4812</v>
      </c>
      <c r="N4004" t="s">
        <v>4900</v>
      </c>
      <c r="O4004" t="s">
        <v>4912</v>
      </c>
    </row>
    <row r="4005" spans="1:15" x14ac:dyDescent="0.35">
      <c r="A4005" t="s">
        <v>3947</v>
      </c>
      <c r="B4005">
        <v>21</v>
      </c>
      <c r="C4005" t="s">
        <v>4803</v>
      </c>
      <c r="D4005" t="s">
        <v>13</v>
      </c>
      <c r="E4005">
        <v>74</v>
      </c>
      <c r="F4005">
        <v>29</v>
      </c>
      <c r="G4005" t="s">
        <v>4800</v>
      </c>
      <c r="H4005" t="s">
        <v>4804</v>
      </c>
      <c r="I4005">
        <v>13.99</v>
      </c>
      <c r="J4005">
        <v>2</v>
      </c>
      <c r="K4005">
        <v>2.0299999999999998</v>
      </c>
      <c r="L4005">
        <v>0</v>
      </c>
      <c r="M4005" t="s">
        <v>4811</v>
      </c>
      <c r="N4005" t="s">
        <v>4900</v>
      </c>
      <c r="O4005" t="s">
        <v>4912</v>
      </c>
    </row>
    <row r="4006" spans="1:15" x14ac:dyDescent="0.35">
      <c r="A4006" t="s">
        <v>3948</v>
      </c>
      <c r="B4006">
        <v>45</v>
      </c>
      <c r="C4006" t="s">
        <v>4803</v>
      </c>
      <c r="D4006" t="s">
        <v>13</v>
      </c>
      <c r="E4006">
        <v>54</v>
      </c>
      <c r="F4006">
        <v>25</v>
      </c>
      <c r="G4006" t="s">
        <v>4797</v>
      </c>
      <c r="H4006" t="s">
        <v>4805</v>
      </c>
      <c r="I4006">
        <v>13.99</v>
      </c>
      <c r="J4006">
        <v>4</v>
      </c>
      <c r="K4006">
        <v>1.8</v>
      </c>
      <c r="L4006">
        <v>1</v>
      </c>
      <c r="M4006" t="s">
        <v>4811</v>
      </c>
      <c r="N4006" t="s">
        <v>4899</v>
      </c>
      <c r="O4006" t="s">
        <v>4910</v>
      </c>
    </row>
    <row r="4007" spans="1:15" x14ac:dyDescent="0.35">
      <c r="A4007" t="s">
        <v>3949</v>
      </c>
      <c r="B4007">
        <v>62</v>
      </c>
      <c r="C4007" t="s">
        <v>4802</v>
      </c>
      <c r="D4007" t="s">
        <v>15</v>
      </c>
      <c r="E4007">
        <v>86</v>
      </c>
      <c r="F4007">
        <v>0</v>
      </c>
      <c r="G4007" t="s">
        <v>4798</v>
      </c>
      <c r="H4007" t="s">
        <v>4806</v>
      </c>
      <c r="I4007">
        <v>17.989999999999998</v>
      </c>
      <c r="J4007">
        <v>5</v>
      </c>
      <c r="K4007">
        <v>2.87</v>
      </c>
      <c r="L4007">
        <v>0</v>
      </c>
      <c r="M4007" t="s">
        <v>4811</v>
      </c>
      <c r="N4007" t="s">
        <v>4900</v>
      </c>
      <c r="O4007" t="s">
        <v>4911</v>
      </c>
    </row>
    <row r="4008" spans="1:15" x14ac:dyDescent="0.35">
      <c r="A4008" t="s">
        <v>3950</v>
      </c>
      <c r="B4008">
        <v>60</v>
      </c>
      <c r="C4008" t="s">
        <v>4803</v>
      </c>
      <c r="D4008" t="s">
        <v>13</v>
      </c>
      <c r="E4008">
        <v>45</v>
      </c>
      <c r="F4008">
        <v>10</v>
      </c>
      <c r="G4008" t="s">
        <v>4801</v>
      </c>
      <c r="H4008" t="s">
        <v>4805</v>
      </c>
      <c r="I4008">
        <v>13.99</v>
      </c>
      <c r="J4008">
        <v>3</v>
      </c>
      <c r="K4008">
        <v>5</v>
      </c>
      <c r="L4008">
        <v>0</v>
      </c>
      <c r="M4008" t="s">
        <v>4811</v>
      </c>
      <c r="N4008" t="s">
        <v>4900</v>
      </c>
      <c r="O4008" t="s">
        <v>4911</v>
      </c>
    </row>
    <row r="4009" spans="1:15" x14ac:dyDescent="0.35">
      <c r="A4009" t="s">
        <v>4886</v>
      </c>
      <c r="B4009">
        <v>31</v>
      </c>
      <c r="C4009" t="s">
        <v>4802</v>
      </c>
      <c r="D4009" t="s">
        <v>13</v>
      </c>
      <c r="E4009">
        <v>49</v>
      </c>
      <c r="F4009">
        <v>46</v>
      </c>
      <c r="G4009" t="s">
        <v>4798</v>
      </c>
      <c r="H4009" t="s">
        <v>4805</v>
      </c>
      <c r="I4009">
        <v>13.99</v>
      </c>
      <c r="J4009">
        <v>1</v>
      </c>
      <c r="K4009">
        <v>5</v>
      </c>
      <c r="L4009">
        <v>1</v>
      </c>
      <c r="M4009" t="s">
        <v>4811</v>
      </c>
      <c r="N4009" t="s">
        <v>4899</v>
      </c>
      <c r="O4009" t="s">
        <v>4912</v>
      </c>
    </row>
    <row r="4010" spans="1:15" x14ac:dyDescent="0.35">
      <c r="A4010" t="s">
        <v>3951</v>
      </c>
      <c r="B4010">
        <v>38</v>
      </c>
      <c r="C4010" t="s">
        <v>4802</v>
      </c>
      <c r="D4010" t="s">
        <v>13</v>
      </c>
      <c r="E4010">
        <v>62</v>
      </c>
      <c r="F4010">
        <v>17</v>
      </c>
      <c r="G4010" t="s">
        <v>4798</v>
      </c>
      <c r="H4010" t="s">
        <v>4804</v>
      </c>
      <c r="I4010">
        <v>13.99</v>
      </c>
      <c r="J4010">
        <v>1</v>
      </c>
      <c r="K4010">
        <v>2.0699999999999998</v>
      </c>
      <c r="L4010">
        <v>0</v>
      </c>
      <c r="M4010" t="s">
        <v>4812</v>
      </c>
      <c r="N4010" t="s">
        <v>4900</v>
      </c>
      <c r="O4010" t="s">
        <v>4910</v>
      </c>
    </row>
    <row r="4011" spans="1:15" x14ac:dyDescent="0.35">
      <c r="A4011" t="s">
        <v>3952</v>
      </c>
      <c r="B4011">
        <v>35</v>
      </c>
      <c r="C4011" t="s">
        <v>4803</v>
      </c>
      <c r="D4011" t="s">
        <v>13</v>
      </c>
      <c r="E4011">
        <v>35</v>
      </c>
      <c r="F4011">
        <v>32</v>
      </c>
      <c r="G4011" t="s">
        <v>4798</v>
      </c>
      <c r="H4011" t="s">
        <v>4805</v>
      </c>
      <c r="I4011">
        <v>13.99</v>
      </c>
      <c r="J4011">
        <v>4</v>
      </c>
      <c r="K4011">
        <v>1.17</v>
      </c>
      <c r="L4011">
        <v>0</v>
      </c>
      <c r="M4011" t="s">
        <v>4811</v>
      </c>
      <c r="N4011" t="s">
        <v>4900</v>
      </c>
      <c r="O4011" t="s">
        <v>4910</v>
      </c>
    </row>
    <row r="4012" spans="1:15" x14ac:dyDescent="0.35">
      <c r="A4012" t="s">
        <v>3953</v>
      </c>
      <c r="B4012">
        <v>42</v>
      </c>
      <c r="C4012" t="s">
        <v>4803</v>
      </c>
      <c r="D4012" t="s">
        <v>13</v>
      </c>
      <c r="E4012">
        <v>41</v>
      </c>
      <c r="F4012">
        <v>2</v>
      </c>
      <c r="G4012" t="s">
        <v>4797</v>
      </c>
      <c r="H4012" t="s">
        <v>4805</v>
      </c>
      <c r="I4012">
        <v>13.99</v>
      </c>
      <c r="J4012">
        <v>3</v>
      </c>
      <c r="K4012">
        <v>1.37</v>
      </c>
      <c r="L4012">
        <v>0</v>
      </c>
      <c r="M4012" t="s">
        <v>4812</v>
      </c>
      <c r="N4012" t="s">
        <v>4900</v>
      </c>
      <c r="O4012" t="s">
        <v>4910</v>
      </c>
    </row>
    <row r="4013" spans="1:15" x14ac:dyDescent="0.35">
      <c r="A4013" t="s">
        <v>3954</v>
      </c>
      <c r="B4013">
        <v>62</v>
      </c>
      <c r="C4013" t="s">
        <v>4803</v>
      </c>
      <c r="D4013" t="s">
        <v>13</v>
      </c>
      <c r="E4013">
        <v>44</v>
      </c>
      <c r="F4013">
        <v>59</v>
      </c>
      <c r="G4013" t="s">
        <v>4800</v>
      </c>
      <c r="H4013" t="s">
        <v>4805</v>
      </c>
      <c r="I4013">
        <v>13.99</v>
      </c>
      <c r="J4013">
        <v>4</v>
      </c>
      <c r="K4013">
        <v>1.47</v>
      </c>
      <c r="L4013">
        <v>0</v>
      </c>
      <c r="M4013" t="s">
        <v>4812</v>
      </c>
      <c r="N4013" t="s">
        <v>4900</v>
      </c>
      <c r="O4013" t="s">
        <v>4911</v>
      </c>
    </row>
    <row r="4014" spans="1:15" x14ac:dyDescent="0.35">
      <c r="A4014" t="s">
        <v>3955</v>
      </c>
      <c r="B4014">
        <v>61</v>
      </c>
      <c r="C4014" t="s">
        <v>4802</v>
      </c>
      <c r="D4014" t="s">
        <v>13</v>
      </c>
      <c r="E4014">
        <v>33</v>
      </c>
      <c r="F4014">
        <v>33</v>
      </c>
      <c r="G4014" t="s">
        <v>4798</v>
      </c>
      <c r="H4014" t="s">
        <v>4805</v>
      </c>
      <c r="I4014">
        <v>13.99</v>
      </c>
      <c r="J4014">
        <v>2</v>
      </c>
      <c r="K4014">
        <v>1.1000000000000001</v>
      </c>
      <c r="L4014">
        <v>0</v>
      </c>
      <c r="M4014" t="s">
        <v>4810</v>
      </c>
      <c r="N4014" t="s">
        <v>4900</v>
      </c>
      <c r="O4014" t="s">
        <v>4911</v>
      </c>
    </row>
    <row r="4015" spans="1:15" x14ac:dyDescent="0.35">
      <c r="A4015" t="s">
        <v>4887</v>
      </c>
      <c r="B4015">
        <v>20</v>
      </c>
      <c r="C4015" t="s">
        <v>4803</v>
      </c>
      <c r="D4015" t="s">
        <v>14</v>
      </c>
      <c r="E4015">
        <v>40</v>
      </c>
      <c r="F4015">
        <v>27</v>
      </c>
      <c r="G4015" t="s">
        <v>4798</v>
      </c>
      <c r="H4015" t="s">
        <v>4805</v>
      </c>
      <c r="I4015">
        <v>8.99</v>
      </c>
      <c r="J4015">
        <v>1</v>
      </c>
      <c r="K4015">
        <v>5</v>
      </c>
      <c r="L4015">
        <v>1</v>
      </c>
      <c r="M4015" t="s">
        <v>4809</v>
      </c>
      <c r="N4015" t="s">
        <v>4899</v>
      </c>
      <c r="O4015" t="s">
        <v>4912</v>
      </c>
    </row>
    <row r="4016" spans="1:15" x14ac:dyDescent="0.35">
      <c r="A4016" t="s">
        <v>3956</v>
      </c>
      <c r="B4016">
        <v>26</v>
      </c>
      <c r="C4016" t="s">
        <v>4802</v>
      </c>
      <c r="D4016" t="s">
        <v>13</v>
      </c>
      <c r="E4016">
        <v>79</v>
      </c>
      <c r="F4016">
        <v>30</v>
      </c>
      <c r="G4016" t="s">
        <v>4798</v>
      </c>
      <c r="H4016" t="s">
        <v>4805</v>
      </c>
      <c r="I4016">
        <v>13.99</v>
      </c>
      <c r="J4016">
        <v>1</v>
      </c>
      <c r="K4016">
        <v>2.63</v>
      </c>
      <c r="L4016">
        <v>0</v>
      </c>
      <c r="M4016" t="s">
        <v>4812</v>
      </c>
      <c r="N4016" t="s">
        <v>4900</v>
      </c>
      <c r="O4016" t="s">
        <v>4912</v>
      </c>
    </row>
    <row r="4017" spans="1:15" x14ac:dyDescent="0.35">
      <c r="A4017" t="s">
        <v>3957</v>
      </c>
      <c r="B4017">
        <v>46</v>
      </c>
      <c r="C4017" t="s">
        <v>4802</v>
      </c>
      <c r="D4017" t="s">
        <v>13</v>
      </c>
      <c r="E4017">
        <v>60</v>
      </c>
      <c r="F4017">
        <v>0</v>
      </c>
      <c r="G4017" t="s">
        <v>4798</v>
      </c>
      <c r="H4017" t="s">
        <v>4805</v>
      </c>
      <c r="I4017">
        <v>13.99</v>
      </c>
      <c r="J4017">
        <v>2</v>
      </c>
      <c r="K4017">
        <v>2.0299999999999998</v>
      </c>
      <c r="L4017">
        <v>0</v>
      </c>
      <c r="M4017" t="s">
        <v>4811</v>
      </c>
      <c r="N4017" t="s">
        <v>4900</v>
      </c>
      <c r="O4017" t="s">
        <v>4910</v>
      </c>
    </row>
    <row r="4018" spans="1:15" x14ac:dyDescent="0.35">
      <c r="A4018" t="s">
        <v>3958</v>
      </c>
      <c r="B4018">
        <v>43</v>
      </c>
      <c r="C4018" t="s">
        <v>4803</v>
      </c>
      <c r="D4018" t="s">
        <v>15</v>
      </c>
      <c r="E4018">
        <v>52</v>
      </c>
      <c r="F4018" t="s">
        <v>4814</v>
      </c>
      <c r="G4018" t="s">
        <v>4798</v>
      </c>
      <c r="H4018" t="s">
        <v>4804</v>
      </c>
      <c r="I4018">
        <v>17.989999999999998</v>
      </c>
      <c r="J4018">
        <v>5</v>
      </c>
      <c r="K4018">
        <v>1.73</v>
      </c>
      <c r="L4018">
        <v>0</v>
      </c>
      <c r="M4018" t="s">
        <v>4812</v>
      </c>
      <c r="N4018" t="s">
        <v>4900</v>
      </c>
      <c r="O4018" t="s">
        <v>4910</v>
      </c>
    </row>
    <row r="4019" spans="1:15" x14ac:dyDescent="0.35">
      <c r="A4019" t="s">
        <v>3959</v>
      </c>
      <c r="B4019">
        <v>42</v>
      </c>
      <c r="C4019" t="s">
        <v>4803</v>
      </c>
      <c r="D4019" t="s">
        <v>13</v>
      </c>
      <c r="E4019">
        <v>34</v>
      </c>
      <c r="F4019">
        <v>50</v>
      </c>
      <c r="G4019" t="s">
        <v>4799</v>
      </c>
      <c r="H4019" t="s">
        <v>4805</v>
      </c>
      <c r="I4019">
        <v>13.99</v>
      </c>
      <c r="J4019">
        <v>2</v>
      </c>
      <c r="K4019">
        <v>1.1299999999999999</v>
      </c>
      <c r="L4019">
        <v>1</v>
      </c>
      <c r="M4019" t="s">
        <v>4809</v>
      </c>
      <c r="N4019" t="s">
        <v>4899</v>
      </c>
      <c r="O4019" t="s">
        <v>4910</v>
      </c>
    </row>
    <row r="4020" spans="1:15" x14ac:dyDescent="0.35">
      <c r="A4020" t="s">
        <v>3960</v>
      </c>
      <c r="B4020">
        <v>49</v>
      </c>
      <c r="C4020" t="s">
        <v>4803</v>
      </c>
      <c r="D4020" t="s">
        <v>13</v>
      </c>
      <c r="E4020">
        <v>66</v>
      </c>
      <c r="F4020">
        <v>7</v>
      </c>
      <c r="G4020" t="s">
        <v>4799</v>
      </c>
      <c r="H4020" t="s">
        <v>4805</v>
      </c>
      <c r="I4020">
        <v>13.99</v>
      </c>
      <c r="J4020">
        <v>4</v>
      </c>
      <c r="K4020">
        <v>2.2000000000000002</v>
      </c>
      <c r="L4020">
        <v>0</v>
      </c>
      <c r="M4020" t="s">
        <v>4810</v>
      </c>
      <c r="N4020" t="s">
        <v>4900</v>
      </c>
      <c r="O4020" t="s">
        <v>4910</v>
      </c>
    </row>
    <row r="4021" spans="1:15" x14ac:dyDescent="0.35">
      <c r="A4021" t="s">
        <v>3961</v>
      </c>
      <c r="B4021">
        <v>55</v>
      </c>
      <c r="C4021" t="s">
        <v>4802</v>
      </c>
      <c r="D4021" t="s">
        <v>13</v>
      </c>
      <c r="E4021">
        <v>44</v>
      </c>
      <c r="F4021">
        <v>1</v>
      </c>
      <c r="G4021" t="s">
        <v>4797</v>
      </c>
      <c r="H4021" t="s">
        <v>4806</v>
      </c>
      <c r="I4021">
        <v>13.99</v>
      </c>
      <c r="J4021">
        <v>1</v>
      </c>
      <c r="K4021">
        <v>1.47</v>
      </c>
      <c r="L4021">
        <v>0</v>
      </c>
      <c r="M4021" t="s">
        <v>4808</v>
      </c>
      <c r="N4021" t="s">
        <v>4900</v>
      </c>
      <c r="O4021" t="s">
        <v>4911</v>
      </c>
    </row>
    <row r="4022" spans="1:15" x14ac:dyDescent="0.35">
      <c r="A4022" t="s">
        <v>3962</v>
      </c>
      <c r="B4022">
        <v>61</v>
      </c>
      <c r="C4022" t="s">
        <v>4803</v>
      </c>
      <c r="D4022" t="s">
        <v>13</v>
      </c>
      <c r="E4022">
        <v>45</v>
      </c>
      <c r="F4022">
        <v>22</v>
      </c>
      <c r="G4022" t="s">
        <v>4798</v>
      </c>
      <c r="H4022" t="s">
        <v>4805</v>
      </c>
      <c r="I4022">
        <v>13.99</v>
      </c>
      <c r="J4022">
        <v>3</v>
      </c>
      <c r="K4022">
        <v>1.5</v>
      </c>
      <c r="L4022">
        <v>0</v>
      </c>
      <c r="M4022" t="s">
        <v>4811</v>
      </c>
      <c r="N4022" t="s">
        <v>4900</v>
      </c>
      <c r="O4022" t="s">
        <v>4911</v>
      </c>
    </row>
    <row r="4023" spans="1:15" x14ac:dyDescent="0.35">
      <c r="A4023" t="s">
        <v>3963</v>
      </c>
      <c r="B4023">
        <v>25</v>
      </c>
      <c r="C4023" t="s">
        <v>4803</v>
      </c>
      <c r="D4023" t="s">
        <v>13</v>
      </c>
      <c r="E4023">
        <v>74</v>
      </c>
      <c r="F4023">
        <v>15</v>
      </c>
      <c r="G4023" t="s">
        <v>4798</v>
      </c>
      <c r="H4023" t="s">
        <v>4804</v>
      </c>
      <c r="I4023">
        <v>13.99</v>
      </c>
      <c r="J4023">
        <v>2</v>
      </c>
      <c r="K4023">
        <v>2.4700000000000002</v>
      </c>
      <c r="L4023">
        <v>0</v>
      </c>
      <c r="M4023" t="s">
        <v>4811</v>
      </c>
      <c r="N4023" t="s">
        <v>4900</v>
      </c>
      <c r="O4023" t="s">
        <v>4912</v>
      </c>
    </row>
    <row r="4024" spans="1:15" x14ac:dyDescent="0.35">
      <c r="A4024" t="s">
        <v>3964</v>
      </c>
      <c r="B4024">
        <v>24</v>
      </c>
      <c r="C4024" t="s">
        <v>4802</v>
      </c>
      <c r="D4024" t="s">
        <v>13</v>
      </c>
      <c r="E4024">
        <v>46</v>
      </c>
      <c r="F4024">
        <v>49</v>
      </c>
      <c r="G4024" t="s">
        <v>4798</v>
      </c>
      <c r="H4024" t="s">
        <v>4805</v>
      </c>
      <c r="I4024">
        <v>13.99</v>
      </c>
      <c r="J4024">
        <v>2</v>
      </c>
      <c r="K4024">
        <v>1.53</v>
      </c>
      <c r="L4024">
        <v>0</v>
      </c>
      <c r="M4024" t="s">
        <v>4811</v>
      </c>
      <c r="N4024" t="s">
        <v>4900</v>
      </c>
      <c r="O4024" t="s">
        <v>4912</v>
      </c>
    </row>
    <row r="4025" spans="1:15" x14ac:dyDescent="0.35">
      <c r="A4025" t="s">
        <v>3965</v>
      </c>
      <c r="B4025">
        <v>26</v>
      </c>
      <c r="C4025" t="s">
        <v>4802</v>
      </c>
      <c r="D4025" t="s">
        <v>13</v>
      </c>
      <c r="E4025">
        <v>35</v>
      </c>
      <c r="F4025">
        <v>37</v>
      </c>
      <c r="G4025" t="s">
        <v>4797</v>
      </c>
      <c r="H4025" t="s">
        <v>4804</v>
      </c>
      <c r="I4025">
        <v>13.99</v>
      </c>
      <c r="J4025">
        <v>2</v>
      </c>
      <c r="K4025">
        <v>1.17</v>
      </c>
      <c r="L4025">
        <v>0</v>
      </c>
      <c r="M4025" t="s">
        <v>4810</v>
      </c>
      <c r="N4025" t="s">
        <v>4900</v>
      </c>
      <c r="O4025" t="s">
        <v>4912</v>
      </c>
    </row>
    <row r="4026" spans="1:15" x14ac:dyDescent="0.35">
      <c r="A4026" t="s">
        <v>3966</v>
      </c>
      <c r="B4026">
        <v>57</v>
      </c>
      <c r="C4026" t="s">
        <v>4803</v>
      </c>
      <c r="D4026" t="s">
        <v>15</v>
      </c>
      <c r="E4026">
        <v>94</v>
      </c>
      <c r="F4026">
        <v>24</v>
      </c>
      <c r="G4026" t="s">
        <v>4798</v>
      </c>
      <c r="H4026" t="s">
        <v>4806</v>
      </c>
      <c r="I4026">
        <v>17.989999999999998</v>
      </c>
      <c r="J4026">
        <v>5</v>
      </c>
      <c r="K4026">
        <v>3.13</v>
      </c>
      <c r="L4026">
        <v>0</v>
      </c>
      <c r="M4026" t="s">
        <v>4812</v>
      </c>
      <c r="N4026" t="s">
        <v>4900</v>
      </c>
      <c r="O4026" t="s">
        <v>4911</v>
      </c>
    </row>
    <row r="4027" spans="1:15" x14ac:dyDescent="0.35">
      <c r="A4027" t="s">
        <v>3967</v>
      </c>
      <c r="B4027">
        <v>53</v>
      </c>
      <c r="C4027" t="s">
        <v>4803</v>
      </c>
      <c r="D4027" t="s">
        <v>13</v>
      </c>
      <c r="E4027">
        <v>64</v>
      </c>
      <c r="F4027">
        <v>55</v>
      </c>
      <c r="G4027" t="s">
        <v>4798</v>
      </c>
      <c r="H4027" t="s">
        <v>4804</v>
      </c>
      <c r="I4027">
        <v>13.99</v>
      </c>
      <c r="J4027">
        <v>3</v>
      </c>
      <c r="K4027">
        <v>2.13</v>
      </c>
      <c r="L4027">
        <v>0</v>
      </c>
      <c r="M4027" t="s">
        <v>4812</v>
      </c>
      <c r="N4027" t="s">
        <v>4900</v>
      </c>
      <c r="O4027" t="s">
        <v>4910</v>
      </c>
    </row>
    <row r="4028" spans="1:15" x14ac:dyDescent="0.35">
      <c r="A4028" t="s">
        <v>3968</v>
      </c>
      <c r="B4028">
        <v>45</v>
      </c>
      <c r="C4028" t="s">
        <v>4803</v>
      </c>
      <c r="D4028" t="s">
        <v>13</v>
      </c>
      <c r="E4028">
        <v>49</v>
      </c>
      <c r="F4028">
        <v>34</v>
      </c>
      <c r="G4028" t="s">
        <v>4797</v>
      </c>
      <c r="H4028" t="s">
        <v>4804</v>
      </c>
      <c r="I4028">
        <v>13.99</v>
      </c>
      <c r="J4028">
        <v>1</v>
      </c>
      <c r="K4028">
        <v>1.63</v>
      </c>
      <c r="L4028">
        <v>0</v>
      </c>
      <c r="M4028" t="s">
        <v>4811</v>
      </c>
      <c r="N4028" t="s">
        <v>4900</v>
      </c>
      <c r="O4028" t="s">
        <v>4910</v>
      </c>
    </row>
    <row r="4029" spans="1:15" x14ac:dyDescent="0.35">
      <c r="A4029" t="s">
        <v>3969</v>
      </c>
      <c r="B4029">
        <v>53</v>
      </c>
      <c r="C4029" t="s">
        <v>4803</v>
      </c>
      <c r="D4029" t="s">
        <v>13</v>
      </c>
      <c r="E4029">
        <v>64</v>
      </c>
      <c r="F4029">
        <v>19</v>
      </c>
      <c r="G4029" t="s">
        <v>4797</v>
      </c>
      <c r="H4029" t="s">
        <v>4805</v>
      </c>
      <c r="I4029">
        <v>13.99</v>
      </c>
      <c r="J4029">
        <v>1</v>
      </c>
      <c r="K4029">
        <v>2.0299999999999998</v>
      </c>
      <c r="L4029">
        <v>0</v>
      </c>
      <c r="M4029" t="s">
        <v>4808</v>
      </c>
      <c r="N4029" t="s">
        <v>4900</v>
      </c>
      <c r="O4029" t="s">
        <v>4910</v>
      </c>
    </row>
    <row r="4030" spans="1:15" x14ac:dyDescent="0.35">
      <c r="A4030" t="s">
        <v>3970</v>
      </c>
      <c r="B4030">
        <v>45</v>
      </c>
      <c r="C4030" t="s">
        <v>4802</v>
      </c>
      <c r="D4030" t="s">
        <v>13</v>
      </c>
      <c r="E4030">
        <v>35</v>
      </c>
      <c r="F4030">
        <v>53</v>
      </c>
      <c r="G4030" t="s">
        <v>4799</v>
      </c>
      <c r="H4030" t="s">
        <v>4804</v>
      </c>
      <c r="I4030">
        <v>13.99</v>
      </c>
      <c r="J4030">
        <v>2</v>
      </c>
      <c r="K4030">
        <v>1.17</v>
      </c>
      <c r="L4030">
        <v>0</v>
      </c>
      <c r="M4030" t="s">
        <v>4809</v>
      </c>
      <c r="N4030" t="s">
        <v>4900</v>
      </c>
      <c r="O4030" t="s">
        <v>4910</v>
      </c>
    </row>
    <row r="4031" spans="1:15" x14ac:dyDescent="0.35">
      <c r="A4031" t="s">
        <v>3971</v>
      </c>
      <c r="B4031">
        <v>44</v>
      </c>
      <c r="C4031" t="s">
        <v>4803</v>
      </c>
      <c r="D4031" t="s">
        <v>13</v>
      </c>
      <c r="E4031">
        <v>38</v>
      </c>
      <c r="F4031">
        <v>38</v>
      </c>
      <c r="G4031" t="s">
        <v>4799</v>
      </c>
      <c r="H4031" t="s">
        <v>4806</v>
      </c>
      <c r="I4031">
        <v>13.99</v>
      </c>
      <c r="J4031">
        <v>4</v>
      </c>
      <c r="K4031">
        <v>1.27</v>
      </c>
      <c r="L4031">
        <v>0</v>
      </c>
      <c r="M4031" t="s">
        <v>4809</v>
      </c>
      <c r="N4031" t="s">
        <v>4900</v>
      </c>
      <c r="O4031" t="s">
        <v>4910</v>
      </c>
    </row>
    <row r="4032" spans="1:15" x14ac:dyDescent="0.35">
      <c r="A4032" t="s">
        <v>3972</v>
      </c>
      <c r="B4032">
        <v>35</v>
      </c>
      <c r="C4032" t="s">
        <v>4802</v>
      </c>
      <c r="D4032" t="s">
        <v>15</v>
      </c>
      <c r="E4032">
        <v>67</v>
      </c>
      <c r="F4032">
        <v>36</v>
      </c>
      <c r="G4032" t="s">
        <v>4799</v>
      </c>
      <c r="H4032" t="s">
        <v>4804</v>
      </c>
      <c r="I4032">
        <v>17.989999999999998</v>
      </c>
      <c r="J4032">
        <v>4</v>
      </c>
      <c r="K4032">
        <v>2.23</v>
      </c>
      <c r="L4032">
        <v>0</v>
      </c>
      <c r="M4032" t="s">
        <v>4811</v>
      </c>
      <c r="N4032" t="s">
        <v>4900</v>
      </c>
      <c r="O4032" t="s">
        <v>4910</v>
      </c>
    </row>
    <row r="4033" spans="1:15" x14ac:dyDescent="0.35">
      <c r="A4033" t="s">
        <v>3973</v>
      </c>
      <c r="B4033">
        <v>18</v>
      </c>
      <c r="C4033" t="s">
        <v>4803</v>
      </c>
      <c r="D4033" t="s">
        <v>13</v>
      </c>
      <c r="E4033">
        <v>69</v>
      </c>
      <c r="F4033">
        <v>12</v>
      </c>
      <c r="G4033" t="s">
        <v>4799</v>
      </c>
      <c r="H4033" t="s">
        <v>4805</v>
      </c>
      <c r="I4033">
        <v>13.99</v>
      </c>
      <c r="J4033">
        <v>3</v>
      </c>
      <c r="K4033">
        <v>2.2999999999999998</v>
      </c>
      <c r="L4033">
        <v>0</v>
      </c>
      <c r="M4033" t="s">
        <v>4808</v>
      </c>
      <c r="N4033" t="s">
        <v>4900</v>
      </c>
      <c r="O4033" t="s">
        <v>4912</v>
      </c>
    </row>
    <row r="4034" spans="1:15" x14ac:dyDescent="0.35">
      <c r="A4034" t="s">
        <v>3974</v>
      </c>
      <c r="B4034">
        <v>53</v>
      </c>
      <c r="C4034" t="s">
        <v>4803</v>
      </c>
      <c r="D4034" t="s">
        <v>13</v>
      </c>
      <c r="E4034">
        <v>67</v>
      </c>
      <c r="F4034">
        <v>27</v>
      </c>
      <c r="G4034" t="s">
        <v>4799</v>
      </c>
      <c r="H4034" t="s">
        <v>4805</v>
      </c>
      <c r="I4034">
        <v>13.99</v>
      </c>
      <c r="J4034">
        <v>4</v>
      </c>
      <c r="K4034">
        <v>2.23</v>
      </c>
      <c r="L4034">
        <v>0</v>
      </c>
      <c r="M4034" t="s">
        <v>4811</v>
      </c>
      <c r="N4034" t="s">
        <v>4900</v>
      </c>
      <c r="O4034" t="s">
        <v>4910</v>
      </c>
    </row>
    <row r="4035" spans="1:15" x14ac:dyDescent="0.35">
      <c r="A4035" t="s">
        <v>3975</v>
      </c>
      <c r="B4035">
        <v>29</v>
      </c>
      <c r="C4035" t="s">
        <v>4802</v>
      </c>
      <c r="D4035" t="s">
        <v>13</v>
      </c>
      <c r="E4035">
        <v>73</v>
      </c>
      <c r="F4035">
        <v>17</v>
      </c>
      <c r="G4035" t="s">
        <v>4798</v>
      </c>
      <c r="H4035" t="s">
        <v>4805</v>
      </c>
      <c r="I4035">
        <v>13.99</v>
      </c>
      <c r="J4035">
        <v>1</v>
      </c>
      <c r="K4035">
        <v>2.4300000000000002</v>
      </c>
      <c r="L4035">
        <v>0</v>
      </c>
      <c r="M4035" t="s">
        <v>4810</v>
      </c>
      <c r="N4035" t="s">
        <v>4900</v>
      </c>
      <c r="O4035" t="s">
        <v>4912</v>
      </c>
    </row>
    <row r="4036" spans="1:15" x14ac:dyDescent="0.35">
      <c r="A4036" t="s">
        <v>3976</v>
      </c>
      <c r="B4036">
        <v>55</v>
      </c>
      <c r="C4036" t="s">
        <v>4803</v>
      </c>
      <c r="D4036" t="s">
        <v>13</v>
      </c>
      <c r="E4036">
        <v>59</v>
      </c>
      <c r="F4036">
        <v>40</v>
      </c>
      <c r="G4036" t="s">
        <v>4799</v>
      </c>
      <c r="H4036" t="s">
        <v>4805</v>
      </c>
      <c r="I4036">
        <v>13.99</v>
      </c>
      <c r="J4036">
        <v>2</v>
      </c>
      <c r="K4036">
        <v>1.97</v>
      </c>
      <c r="L4036">
        <v>0</v>
      </c>
      <c r="M4036" t="s">
        <v>4808</v>
      </c>
      <c r="N4036" t="s">
        <v>4900</v>
      </c>
      <c r="O4036" t="s">
        <v>4911</v>
      </c>
    </row>
    <row r="4037" spans="1:15" x14ac:dyDescent="0.35">
      <c r="A4037" t="s">
        <v>3977</v>
      </c>
      <c r="B4037">
        <v>19</v>
      </c>
      <c r="C4037" t="s">
        <v>4803</v>
      </c>
      <c r="D4037" t="s">
        <v>13</v>
      </c>
      <c r="E4037">
        <v>51</v>
      </c>
      <c r="F4037">
        <v>20</v>
      </c>
      <c r="G4037" t="s">
        <v>4798</v>
      </c>
      <c r="H4037" t="s">
        <v>4804</v>
      </c>
      <c r="I4037">
        <v>13.99</v>
      </c>
      <c r="J4037">
        <v>3</v>
      </c>
      <c r="K4037">
        <v>1.7</v>
      </c>
      <c r="L4037">
        <v>0</v>
      </c>
      <c r="M4037" t="s">
        <v>4809</v>
      </c>
      <c r="N4037" t="s">
        <v>4900</v>
      </c>
      <c r="O4037" t="s">
        <v>4912</v>
      </c>
    </row>
    <row r="4038" spans="1:15" x14ac:dyDescent="0.35">
      <c r="A4038" t="s">
        <v>3978</v>
      </c>
      <c r="B4038">
        <v>22</v>
      </c>
      <c r="C4038" t="s">
        <v>4803</v>
      </c>
      <c r="D4038" t="s">
        <v>13</v>
      </c>
      <c r="E4038">
        <v>34</v>
      </c>
      <c r="F4038">
        <v>21</v>
      </c>
      <c r="G4038" t="s">
        <v>4798</v>
      </c>
      <c r="H4038" t="s">
        <v>4804</v>
      </c>
      <c r="I4038">
        <v>13.99</v>
      </c>
      <c r="J4038">
        <v>3</v>
      </c>
      <c r="K4038">
        <v>1.1299999999999999</v>
      </c>
      <c r="L4038">
        <v>0</v>
      </c>
      <c r="M4038" t="s">
        <v>4808</v>
      </c>
      <c r="N4038" t="s">
        <v>4900</v>
      </c>
      <c r="O4038" t="s">
        <v>4912</v>
      </c>
    </row>
    <row r="4039" spans="1:15" x14ac:dyDescent="0.35">
      <c r="A4039" t="s">
        <v>3979</v>
      </c>
      <c r="B4039">
        <v>52</v>
      </c>
      <c r="C4039" t="s">
        <v>4803</v>
      </c>
      <c r="D4039" t="s">
        <v>13</v>
      </c>
      <c r="E4039">
        <v>76</v>
      </c>
      <c r="F4039">
        <v>999</v>
      </c>
      <c r="G4039" t="s">
        <v>4798</v>
      </c>
      <c r="H4039" t="s">
        <v>4804</v>
      </c>
      <c r="I4039">
        <v>13.99</v>
      </c>
      <c r="J4039">
        <v>2</v>
      </c>
      <c r="K4039">
        <v>2.0299999999999998</v>
      </c>
      <c r="L4039">
        <v>0</v>
      </c>
      <c r="M4039" t="s">
        <v>4811</v>
      </c>
      <c r="N4039" t="s">
        <v>4900</v>
      </c>
      <c r="O4039" t="s">
        <v>4910</v>
      </c>
    </row>
    <row r="4040" spans="1:15" x14ac:dyDescent="0.35">
      <c r="A4040" t="s">
        <v>3980</v>
      </c>
      <c r="B4040">
        <v>54</v>
      </c>
      <c r="C4040" t="s">
        <v>4802</v>
      </c>
      <c r="D4040" t="s">
        <v>13</v>
      </c>
      <c r="E4040">
        <v>40</v>
      </c>
      <c r="F4040">
        <v>29</v>
      </c>
      <c r="G4040" t="s">
        <v>4797</v>
      </c>
      <c r="H4040" t="s">
        <v>4804</v>
      </c>
      <c r="I4040">
        <v>13.99</v>
      </c>
      <c r="J4040">
        <v>3</v>
      </c>
      <c r="K4040">
        <v>1.33</v>
      </c>
      <c r="L4040">
        <v>1</v>
      </c>
      <c r="M4040" t="s">
        <v>4808</v>
      </c>
      <c r="N4040" t="s">
        <v>4899</v>
      </c>
      <c r="O4040" t="s">
        <v>4910</v>
      </c>
    </row>
    <row r="4041" spans="1:15" x14ac:dyDescent="0.35">
      <c r="A4041" t="s">
        <v>3981</v>
      </c>
      <c r="B4041">
        <v>33</v>
      </c>
      <c r="C4041" t="s">
        <v>4803</v>
      </c>
      <c r="D4041" t="s">
        <v>13</v>
      </c>
      <c r="E4041">
        <v>50</v>
      </c>
      <c r="F4041">
        <v>47</v>
      </c>
      <c r="G4041" t="s">
        <v>4797</v>
      </c>
      <c r="H4041" t="s">
        <v>4804</v>
      </c>
      <c r="I4041">
        <v>13.99</v>
      </c>
      <c r="J4041">
        <v>1</v>
      </c>
      <c r="K4041">
        <v>1.67</v>
      </c>
      <c r="L4041">
        <v>0</v>
      </c>
      <c r="M4041" t="s">
        <v>4812</v>
      </c>
      <c r="N4041" t="s">
        <v>4900</v>
      </c>
      <c r="O4041" t="s">
        <v>4912</v>
      </c>
    </row>
    <row r="4042" spans="1:15" x14ac:dyDescent="0.35">
      <c r="A4042" t="s">
        <v>3982</v>
      </c>
      <c r="B4042">
        <v>21</v>
      </c>
      <c r="C4042" t="s">
        <v>4803</v>
      </c>
      <c r="D4042" t="s">
        <v>13</v>
      </c>
      <c r="E4042">
        <v>70</v>
      </c>
      <c r="F4042">
        <v>26</v>
      </c>
      <c r="G4042" t="s">
        <v>4797</v>
      </c>
      <c r="H4042" t="s">
        <v>4804</v>
      </c>
      <c r="I4042">
        <v>13.99</v>
      </c>
      <c r="J4042">
        <v>1</v>
      </c>
      <c r="K4042">
        <v>2.33</v>
      </c>
      <c r="L4042">
        <v>0</v>
      </c>
      <c r="M4042" t="s">
        <v>4809</v>
      </c>
      <c r="N4042" t="s">
        <v>4900</v>
      </c>
      <c r="O4042" t="s">
        <v>4912</v>
      </c>
    </row>
    <row r="4043" spans="1:15" x14ac:dyDescent="0.35">
      <c r="A4043" t="s">
        <v>3983</v>
      </c>
      <c r="B4043">
        <v>20</v>
      </c>
      <c r="C4043" t="s">
        <v>4802</v>
      </c>
      <c r="D4043" t="s">
        <v>13</v>
      </c>
      <c r="E4043">
        <v>52</v>
      </c>
      <c r="F4043">
        <v>24</v>
      </c>
      <c r="G4043" t="s">
        <v>4798</v>
      </c>
      <c r="H4043" t="s">
        <v>4804</v>
      </c>
      <c r="I4043">
        <v>13.99</v>
      </c>
      <c r="J4043">
        <v>4</v>
      </c>
      <c r="K4043">
        <v>1.73</v>
      </c>
      <c r="L4043">
        <v>0</v>
      </c>
      <c r="M4043" t="s">
        <v>4810</v>
      </c>
      <c r="N4043" t="s">
        <v>4900</v>
      </c>
      <c r="O4043" t="s">
        <v>4912</v>
      </c>
    </row>
    <row r="4044" spans="1:15" x14ac:dyDescent="0.35">
      <c r="A4044" t="s">
        <v>3984</v>
      </c>
      <c r="B4044">
        <v>48</v>
      </c>
      <c r="C4044" t="s">
        <v>4802</v>
      </c>
      <c r="D4044" t="s">
        <v>14</v>
      </c>
      <c r="E4044">
        <v>49</v>
      </c>
      <c r="F4044">
        <v>35</v>
      </c>
      <c r="G4044" t="s">
        <v>4798</v>
      </c>
      <c r="H4044" t="s">
        <v>4806</v>
      </c>
      <c r="I4044">
        <v>8.99</v>
      </c>
      <c r="J4044">
        <v>2</v>
      </c>
      <c r="K4044">
        <v>1.63</v>
      </c>
      <c r="L4044">
        <v>0</v>
      </c>
      <c r="M4044" t="s">
        <v>4808</v>
      </c>
      <c r="N4044" t="s">
        <v>4900</v>
      </c>
      <c r="O4044" t="s">
        <v>4910</v>
      </c>
    </row>
    <row r="4045" spans="1:15" x14ac:dyDescent="0.35">
      <c r="A4045" t="s">
        <v>3985</v>
      </c>
      <c r="B4045">
        <v>58</v>
      </c>
      <c r="C4045" t="s">
        <v>4802</v>
      </c>
      <c r="D4045" t="s">
        <v>15</v>
      </c>
      <c r="E4045">
        <v>84</v>
      </c>
      <c r="F4045">
        <v>4</v>
      </c>
      <c r="G4045" t="s">
        <v>4798</v>
      </c>
      <c r="H4045" t="s">
        <v>4804</v>
      </c>
      <c r="I4045">
        <v>17.989999999999998</v>
      </c>
      <c r="J4045">
        <v>4</v>
      </c>
      <c r="K4045">
        <v>2.8</v>
      </c>
      <c r="L4045">
        <v>0</v>
      </c>
      <c r="M4045" t="s">
        <v>4812</v>
      </c>
      <c r="N4045" t="s">
        <v>4900</v>
      </c>
      <c r="O4045" t="s">
        <v>4911</v>
      </c>
    </row>
    <row r="4046" spans="1:15" x14ac:dyDescent="0.35">
      <c r="A4046" t="s">
        <v>3986</v>
      </c>
      <c r="B4046">
        <v>37</v>
      </c>
      <c r="C4046" t="s">
        <v>4803</v>
      </c>
      <c r="D4046" t="s">
        <v>13</v>
      </c>
      <c r="E4046">
        <v>44</v>
      </c>
      <c r="F4046">
        <v>39</v>
      </c>
      <c r="G4046" t="s">
        <v>4798</v>
      </c>
      <c r="H4046" t="s">
        <v>4805</v>
      </c>
      <c r="I4046">
        <v>13.99</v>
      </c>
      <c r="J4046">
        <v>4</v>
      </c>
      <c r="K4046">
        <v>1.47</v>
      </c>
      <c r="L4046">
        <v>1</v>
      </c>
      <c r="M4046" t="s">
        <v>4811</v>
      </c>
      <c r="N4046" t="s">
        <v>4899</v>
      </c>
      <c r="O4046" t="s">
        <v>4910</v>
      </c>
    </row>
    <row r="4047" spans="1:15" x14ac:dyDescent="0.35">
      <c r="A4047" t="s">
        <v>3987</v>
      </c>
      <c r="B4047">
        <v>62</v>
      </c>
      <c r="C4047" t="s">
        <v>4803</v>
      </c>
      <c r="D4047" t="s">
        <v>13</v>
      </c>
      <c r="E4047">
        <v>45</v>
      </c>
      <c r="F4047">
        <v>43</v>
      </c>
      <c r="G4047" t="s">
        <v>4799</v>
      </c>
      <c r="H4047" t="s">
        <v>4806</v>
      </c>
      <c r="I4047">
        <v>13.99</v>
      </c>
      <c r="J4047">
        <v>1</v>
      </c>
      <c r="K4047">
        <v>1.5</v>
      </c>
      <c r="L4047">
        <v>0</v>
      </c>
      <c r="M4047" t="s">
        <v>4808</v>
      </c>
      <c r="N4047" t="s">
        <v>4900</v>
      </c>
      <c r="O4047" t="s">
        <v>4911</v>
      </c>
    </row>
    <row r="4048" spans="1:15" x14ac:dyDescent="0.35">
      <c r="A4048" t="s">
        <v>3988</v>
      </c>
      <c r="B4048">
        <v>21</v>
      </c>
      <c r="C4048" t="s">
        <v>4803</v>
      </c>
      <c r="D4048" t="s">
        <v>13</v>
      </c>
      <c r="E4048">
        <v>68</v>
      </c>
      <c r="F4048">
        <v>32</v>
      </c>
      <c r="G4048" t="s">
        <v>4798</v>
      </c>
      <c r="H4048" t="s">
        <v>4804</v>
      </c>
      <c r="I4048">
        <v>13.99</v>
      </c>
      <c r="J4048">
        <v>2</v>
      </c>
      <c r="K4048">
        <v>5</v>
      </c>
      <c r="L4048">
        <v>0</v>
      </c>
      <c r="M4048" t="s">
        <v>4809</v>
      </c>
      <c r="N4048" t="s">
        <v>4900</v>
      </c>
      <c r="O4048" t="s">
        <v>4912</v>
      </c>
    </row>
    <row r="4049" spans="1:15" x14ac:dyDescent="0.35">
      <c r="A4049" t="s">
        <v>3989</v>
      </c>
      <c r="B4049">
        <v>28</v>
      </c>
      <c r="C4049" t="s">
        <v>4803</v>
      </c>
      <c r="D4049" t="s">
        <v>13</v>
      </c>
      <c r="E4049">
        <v>65</v>
      </c>
      <c r="F4049">
        <v>36</v>
      </c>
      <c r="G4049" t="s">
        <v>4799</v>
      </c>
      <c r="H4049" t="s">
        <v>4805</v>
      </c>
      <c r="I4049">
        <v>13.99</v>
      </c>
      <c r="J4049">
        <v>4</v>
      </c>
      <c r="K4049">
        <v>2.17</v>
      </c>
      <c r="L4049">
        <v>1</v>
      </c>
      <c r="M4049" t="s">
        <v>4808</v>
      </c>
      <c r="N4049" t="s">
        <v>4899</v>
      </c>
      <c r="O4049" t="s">
        <v>4912</v>
      </c>
    </row>
    <row r="4050" spans="1:15" x14ac:dyDescent="0.35">
      <c r="A4050" t="s">
        <v>3990</v>
      </c>
      <c r="B4050">
        <v>25</v>
      </c>
      <c r="C4050" t="s">
        <v>4802</v>
      </c>
      <c r="D4050" t="s">
        <v>13</v>
      </c>
      <c r="E4050">
        <v>66</v>
      </c>
      <c r="F4050">
        <v>28</v>
      </c>
      <c r="G4050" t="s">
        <v>4797</v>
      </c>
      <c r="H4050" t="s">
        <v>4805</v>
      </c>
      <c r="I4050">
        <v>13.99</v>
      </c>
      <c r="J4050">
        <v>4</v>
      </c>
      <c r="K4050">
        <v>2.2000000000000002</v>
      </c>
      <c r="L4050">
        <v>0</v>
      </c>
      <c r="M4050" t="s">
        <v>4810</v>
      </c>
      <c r="N4050" t="s">
        <v>4900</v>
      </c>
      <c r="O4050" t="s">
        <v>4912</v>
      </c>
    </row>
    <row r="4051" spans="1:15" x14ac:dyDescent="0.35">
      <c r="A4051" t="s">
        <v>3991</v>
      </c>
      <c r="B4051">
        <v>61</v>
      </c>
      <c r="C4051" t="s">
        <v>4803</v>
      </c>
      <c r="D4051" t="s">
        <v>14</v>
      </c>
      <c r="E4051">
        <v>38</v>
      </c>
      <c r="F4051">
        <v>55</v>
      </c>
      <c r="G4051" t="s">
        <v>4799</v>
      </c>
      <c r="H4051" t="s">
        <v>4805</v>
      </c>
      <c r="I4051">
        <v>8.99</v>
      </c>
      <c r="J4051">
        <v>1</v>
      </c>
      <c r="K4051">
        <v>1.27</v>
      </c>
      <c r="L4051">
        <v>0</v>
      </c>
      <c r="M4051" t="s">
        <v>4810</v>
      </c>
      <c r="N4051" t="s">
        <v>4900</v>
      </c>
      <c r="O4051" t="s">
        <v>4911</v>
      </c>
    </row>
    <row r="4052" spans="1:15" x14ac:dyDescent="0.35">
      <c r="A4052" t="s">
        <v>3992</v>
      </c>
      <c r="B4052">
        <v>29</v>
      </c>
      <c r="C4052" t="s">
        <v>4803</v>
      </c>
      <c r="D4052" t="s">
        <v>13</v>
      </c>
      <c r="E4052">
        <v>76</v>
      </c>
      <c r="F4052">
        <v>17</v>
      </c>
      <c r="G4052" t="s">
        <v>4800</v>
      </c>
      <c r="H4052" t="s">
        <v>4805</v>
      </c>
      <c r="I4052">
        <v>13.99</v>
      </c>
      <c r="J4052">
        <v>2</v>
      </c>
      <c r="K4052">
        <v>2.5299999999999998</v>
      </c>
      <c r="L4052">
        <v>0</v>
      </c>
      <c r="M4052" t="s">
        <v>4812</v>
      </c>
      <c r="N4052" t="s">
        <v>4900</v>
      </c>
      <c r="O4052" t="s">
        <v>4912</v>
      </c>
    </row>
    <row r="4053" spans="1:15" x14ac:dyDescent="0.35">
      <c r="A4053" t="s">
        <v>3993</v>
      </c>
      <c r="B4053">
        <v>49</v>
      </c>
      <c r="C4053" t="s">
        <v>4802</v>
      </c>
      <c r="D4053" t="s">
        <v>13</v>
      </c>
      <c r="E4053">
        <v>59</v>
      </c>
      <c r="F4053">
        <v>50</v>
      </c>
      <c r="G4053" t="s">
        <v>4797</v>
      </c>
      <c r="H4053" t="s">
        <v>4805</v>
      </c>
      <c r="I4053">
        <v>13.99</v>
      </c>
      <c r="J4053">
        <v>4</v>
      </c>
      <c r="K4053">
        <v>1.97</v>
      </c>
      <c r="L4053">
        <v>0</v>
      </c>
      <c r="M4053" t="s">
        <v>4812</v>
      </c>
      <c r="N4053" t="s">
        <v>4900</v>
      </c>
      <c r="O4053" t="s">
        <v>4910</v>
      </c>
    </row>
    <row r="4054" spans="1:15" x14ac:dyDescent="0.35">
      <c r="A4054" t="s">
        <v>3994</v>
      </c>
      <c r="B4054">
        <v>37</v>
      </c>
      <c r="C4054" t="s">
        <v>4802</v>
      </c>
      <c r="D4054" t="s">
        <v>15</v>
      </c>
      <c r="E4054">
        <v>61</v>
      </c>
      <c r="F4054">
        <v>39</v>
      </c>
      <c r="G4054" t="s">
        <v>4798</v>
      </c>
      <c r="H4054" t="s">
        <v>4806</v>
      </c>
      <c r="I4054">
        <v>17.989999999999998</v>
      </c>
      <c r="J4054">
        <v>2</v>
      </c>
      <c r="K4054">
        <v>2.0299999999999998</v>
      </c>
      <c r="L4054">
        <v>0</v>
      </c>
      <c r="M4054" t="s">
        <v>4812</v>
      </c>
      <c r="N4054" t="s">
        <v>4900</v>
      </c>
      <c r="O4054" t="s">
        <v>4910</v>
      </c>
    </row>
    <row r="4055" spans="1:15" x14ac:dyDescent="0.35">
      <c r="A4055" t="s">
        <v>3995</v>
      </c>
      <c r="B4055">
        <v>36</v>
      </c>
      <c r="C4055" t="s">
        <v>4803</v>
      </c>
      <c r="D4055" t="s">
        <v>13</v>
      </c>
      <c r="E4055">
        <v>33</v>
      </c>
      <c r="F4055">
        <v>54</v>
      </c>
      <c r="G4055" t="s">
        <v>4799</v>
      </c>
      <c r="H4055" t="s">
        <v>4805</v>
      </c>
      <c r="I4055">
        <v>13.99</v>
      </c>
      <c r="J4055">
        <v>2</v>
      </c>
      <c r="K4055">
        <v>1.1000000000000001</v>
      </c>
      <c r="L4055">
        <v>0</v>
      </c>
      <c r="M4055" t="s">
        <v>4808</v>
      </c>
      <c r="N4055" t="s">
        <v>4900</v>
      </c>
      <c r="O4055" t="s">
        <v>4910</v>
      </c>
    </row>
    <row r="4056" spans="1:15" x14ac:dyDescent="0.35">
      <c r="A4056" t="s">
        <v>3996</v>
      </c>
      <c r="B4056">
        <v>48</v>
      </c>
      <c r="C4056" t="s">
        <v>4803</v>
      </c>
      <c r="D4056" t="s">
        <v>13</v>
      </c>
      <c r="E4056">
        <v>74</v>
      </c>
      <c r="F4056">
        <v>58</v>
      </c>
      <c r="G4056" t="s">
        <v>4797</v>
      </c>
      <c r="H4056" t="s">
        <v>4804</v>
      </c>
      <c r="I4056">
        <v>13.99</v>
      </c>
      <c r="J4056">
        <v>4</v>
      </c>
      <c r="K4056">
        <v>5</v>
      </c>
      <c r="L4056">
        <v>0</v>
      </c>
      <c r="M4056" t="s">
        <v>4812</v>
      </c>
      <c r="N4056" t="s">
        <v>4900</v>
      </c>
      <c r="O4056" t="s">
        <v>4910</v>
      </c>
    </row>
    <row r="4057" spans="1:15" x14ac:dyDescent="0.35">
      <c r="A4057" t="s">
        <v>3997</v>
      </c>
      <c r="B4057">
        <v>39</v>
      </c>
      <c r="C4057" t="s">
        <v>4802</v>
      </c>
      <c r="D4057" t="s">
        <v>13</v>
      </c>
      <c r="E4057">
        <v>77</v>
      </c>
      <c r="F4057">
        <v>57</v>
      </c>
      <c r="G4057" t="s">
        <v>4797</v>
      </c>
      <c r="H4057" t="s">
        <v>4805</v>
      </c>
      <c r="I4057">
        <v>13.99</v>
      </c>
      <c r="J4057">
        <v>3</v>
      </c>
      <c r="K4057">
        <v>2.57</v>
      </c>
      <c r="L4057">
        <v>0</v>
      </c>
      <c r="M4057" t="s">
        <v>4812</v>
      </c>
      <c r="N4057" t="s">
        <v>4900</v>
      </c>
      <c r="O4057" t="s">
        <v>4910</v>
      </c>
    </row>
    <row r="4058" spans="1:15" x14ac:dyDescent="0.35">
      <c r="A4058" t="s">
        <v>3998</v>
      </c>
      <c r="B4058">
        <v>54</v>
      </c>
      <c r="C4058" t="s">
        <v>4802</v>
      </c>
      <c r="D4058" t="s">
        <v>15</v>
      </c>
      <c r="E4058">
        <v>68</v>
      </c>
      <c r="F4058">
        <v>44</v>
      </c>
      <c r="G4058" t="s">
        <v>4798</v>
      </c>
      <c r="H4058" t="s">
        <v>4804</v>
      </c>
      <c r="I4058">
        <v>17.989999999999998</v>
      </c>
      <c r="J4058">
        <v>3</v>
      </c>
      <c r="K4058">
        <v>2.27</v>
      </c>
      <c r="L4058">
        <v>0</v>
      </c>
      <c r="M4058" t="s">
        <v>4812</v>
      </c>
      <c r="N4058" t="s">
        <v>4900</v>
      </c>
      <c r="O4058" t="s">
        <v>4910</v>
      </c>
    </row>
    <row r="4059" spans="1:15" x14ac:dyDescent="0.35">
      <c r="A4059" t="s">
        <v>3999</v>
      </c>
      <c r="B4059">
        <v>57</v>
      </c>
      <c r="C4059" t="s">
        <v>4803</v>
      </c>
      <c r="D4059" t="s">
        <v>13</v>
      </c>
      <c r="E4059">
        <v>63</v>
      </c>
      <c r="F4059">
        <v>999</v>
      </c>
      <c r="G4059" t="s">
        <v>4799</v>
      </c>
      <c r="H4059" t="s">
        <v>4806</v>
      </c>
      <c r="I4059">
        <v>13.99</v>
      </c>
      <c r="J4059">
        <v>3</v>
      </c>
      <c r="K4059">
        <v>2.1</v>
      </c>
      <c r="L4059">
        <v>0</v>
      </c>
      <c r="M4059" t="s">
        <v>4809</v>
      </c>
      <c r="N4059" t="s">
        <v>4900</v>
      </c>
      <c r="O4059" t="s">
        <v>4911</v>
      </c>
    </row>
    <row r="4060" spans="1:15" x14ac:dyDescent="0.35">
      <c r="A4060" t="s">
        <v>4000</v>
      </c>
      <c r="B4060">
        <v>26</v>
      </c>
      <c r="C4060" t="s">
        <v>4802</v>
      </c>
      <c r="D4060" t="s">
        <v>13</v>
      </c>
      <c r="E4060">
        <v>38</v>
      </c>
      <c r="F4060">
        <v>6</v>
      </c>
      <c r="G4060" t="s">
        <v>4797</v>
      </c>
      <c r="H4060" t="s">
        <v>4805</v>
      </c>
      <c r="I4060">
        <v>13.99</v>
      </c>
      <c r="J4060">
        <v>2</v>
      </c>
      <c r="K4060">
        <v>1.27</v>
      </c>
      <c r="L4060">
        <v>0</v>
      </c>
      <c r="M4060" t="s">
        <v>4812</v>
      </c>
      <c r="N4060" t="s">
        <v>4900</v>
      </c>
      <c r="O4060" t="s">
        <v>4912</v>
      </c>
    </row>
    <row r="4061" spans="1:15" x14ac:dyDescent="0.35">
      <c r="A4061" t="s">
        <v>4001</v>
      </c>
      <c r="B4061">
        <v>34</v>
      </c>
      <c r="C4061" t="s">
        <v>4803</v>
      </c>
      <c r="D4061" t="s">
        <v>13</v>
      </c>
      <c r="E4061">
        <v>68</v>
      </c>
      <c r="F4061">
        <v>29</v>
      </c>
      <c r="G4061" t="s">
        <v>4798</v>
      </c>
      <c r="H4061" t="s">
        <v>4805</v>
      </c>
      <c r="I4061">
        <v>13.99</v>
      </c>
      <c r="J4061">
        <v>1</v>
      </c>
      <c r="K4061">
        <v>2.27</v>
      </c>
      <c r="L4061">
        <v>1</v>
      </c>
      <c r="M4061" t="s">
        <v>4808</v>
      </c>
      <c r="N4061" t="s">
        <v>4899</v>
      </c>
      <c r="O4061" t="s">
        <v>4912</v>
      </c>
    </row>
    <row r="4062" spans="1:15" x14ac:dyDescent="0.35">
      <c r="A4062" t="s">
        <v>4002</v>
      </c>
      <c r="B4062">
        <v>61</v>
      </c>
      <c r="C4062" t="s">
        <v>4803</v>
      </c>
      <c r="D4062" t="s">
        <v>13</v>
      </c>
      <c r="E4062">
        <v>61</v>
      </c>
      <c r="F4062">
        <v>47</v>
      </c>
      <c r="G4062" t="s">
        <v>4798</v>
      </c>
      <c r="H4062" t="s">
        <v>4806</v>
      </c>
      <c r="I4062">
        <v>13.99</v>
      </c>
      <c r="J4062">
        <v>1</v>
      </c>
      <c r="K4062">
        <v>2.0299999999999998</v>
      </c>
      <c r="L4062">
        <v>0</v>
      </c>
      <c r="M4062" t="s">
        <v>4808</v>
      </c>
      <c r="N4062" t="s">
        <v>4900</v>
      </c>
      <c r="O4062" t="s">
        <v>4911</v>
      </c>
    </row>
    <row r="4063" spans="1:15" x14ac:dyDescent="0.35">
      <c r="A4063" t="s">
        <v>4003</v>
      </c>
      <c r="B4063">
        <v>31</v>
      </c>
      <c r="C4063" t="s">
        <v>4803</v>
      </c>
      <c r="D4063" t="s">
        <v>13</v>
      </c>
      <c r="E4063">
        <v>70</v>
      </c>
      <c r="F4063">
        <v>9</v>
      </c>
      <c r="G4063" t="s">
        <v>4797</v>
      </c>
      <c r="H4063" t="s">
        <v>4806</v>
      </c>
      <c r="I4063">
        <v>13.99</v>
      </c>
      <c r="J4063">
        <v>2</v>
      </c>
      <c r="K4063">
        <v>2.33</v>
      </c>
      <c r="L4063">
        <v>0</v>
      </c>
      <c r="M4063" t="s">
        <v>4812</v>
      </c>
      <c r="N4063" t="s">
        <v>4900</v>
      </c>
      <c r="O4063" t="s">
        <v>4912</v>
      </c>
    </row>
    <row r="4064" spans="1:15" x14ac:dyDescent="0.35">
      <c r="A4064" t="s">
        <v>4004</v>
      </c>
      <c r="B4064">
        <v>31</v>
      </c>
      <c r="C4064" t="s">
        <v>4802</v>
      </c>
      <c r="D4064" t="s">
        <v>13</v>
      </c>
      <c r="E4064">
        <v>34</v>
      </c>
      <c r="F4064">
        <v>8</v>
      </c>
      <c r="G4064" t="s">
        <v>4798</v>
      </c>
      <c r="H4064" t="s">
        <v>4804</v>
      </c>
      <c r="I4064">
        <v>13.99</v>
      </c>
      <c r="J4064">
        <v>1</v>
      </c>
      <c r="K4064">
        <v>1.1299999999999999</v>
      </c>
      <c r="L4064">
        <v>0</v>
      </c>
      <c r="M4064" t="s">
        <v>4812</v>
      </c>
      <c r="N4064" t="s">
        <v>4900</v>
      </c>
      <c r="O4064" t="s">
        <v>4912</v>
      </c>
    </row>
    <row r="4065" spans="1:15" x14ac:dyDescent="0.35">
      <c r="A4065" t="s">
        <v>4005</v>
      </c>
      <c r="B4065">
        <v>55</v>
      </c>
      <c r="C4065" t="s">
        <v>4802</v>
      </c>
      <c r="D4065" t="s">
        <v>13</v>
      </c>
      <c r="E4065">
        <v>48</v>
      </c>
      <c r="F4065">
        <v>54</v>
      </c>
      <c r="G4065" t="s">
        <v>4800</v>
      </c>
      <c r="H4065" t="s">
        <v>4805</v>
      </c>
      <c r="I4065">
        <v>13.99</v>
      </c>
      <c r="J4065">
        <v>1</v>
      </c>
      <c r="K4065">
        <v>1.6</v>
      </c>
      <c r="L4065">
        <v>0</v>
      </c>
      <c r="M4065" t="s">
        <v>4809</v>
      </c>
      <c r="N4065" t="s">
        <v>4900</v>
      </c>
      <c r="O4065" t="s">
        <v>4911</v>
      </c>
    </row>
    <row r="4066" spans="1:15" x14ac:dyDescent="0.35">
      <c r="A4066" t="s">
        <v>4006</v>
      </c>
      <c r="B4066">
        <v>58</v>
      </c>
      <c r="C4066" t="s">
        <v>4803</v>
      </c>
      <c r="D4066" t="s">
        <v>13</v>
      </c>
      <c r="E4066">
        <v>73</v>
      </c>
      <c r="F4066">
        <v>31</v>
      </c>
      <c r="G4066" t="s">
        <v>4798</v>
      </c>
      <c r="H4066" t="s">
        <v>4805</v>
      </c>
      <c r="I4066">
        <v>13.99</v>
      </c>
      <c r="J4066">
        <v>2</v>
      </c>
      <c r="K4066">
        <v>2.4300000000000002</v>
      </c>
      <c r="L4066">
        <v>0</v>
      </c>
      <c r="M4066" t="s">
        <v>4808</v>
      </c>
      <c r="N4066" t="s">
        <v>4900</v>
      </c>
      <c r="O4066" t="s">
        <v>4911</v>
      </c>
    </row>
    <row r="4067" spans="1:15" x14ac:dyDescent="0.35">
      <c r="A4067" t="s">
        <v>4007</v>
      </c>
      <c r="B4067">
        <v>63</v>
      </c>
      <c r="C4067" t="s">
        <v>4802</v>
      </c>
      <c r="D4067" t="s">
        <v>14</v>
      </c>
      <c r="E4067">
        <v>52</v>
      </c>
      <c r="F4067">
        <v>55</v>
      </c>
      <c r="G4067" t="s">
        <v>4799</v>
      </c>
      <c r="H4067" t="s">
        <v>4805</v>
      </c>
      <c r="I4067">
        <v>8.99</v>
      </c>
      <c r="J4067">
        <v>2</v>
      </c>
      <c r="K4067">
        <v>1.73</v>
      </c>
      <c r="L4067">
        <v>0</v>
      </c>
      <c r="M4067" t="s">
        <v>4811</v>
      </c>
      <c r="N4067" t="s">
        <v>4900</v>
      </c>
      <c r="O4067" t="s">
        <v>4911</v>
      </c>
    </row>
    <row r="4068" spans="1:15" x14ac:dyDescent="0.35">
      <c r="A4068" t="s">
        <v>4008</v>
      </c>
      <c r="B4068">
        <v>18</v>
      </c>
      <c r="C4068" t="s">
        <v>4803</v>
      </c>
      <c r="D4068" t="s">
        <v>13</v>
      </c>
      <c r="E4068">
        <v>34</v>
      </c>
      <c r="F4068">
        <v>47</v>
      </c>
      <c r="G4068" t="s">
        <v>4798</v>
      </c>
      <c r="H4068" t="s">
        <v>4805</v>
      </c>
      <c r="I4068">
        <v>13.99</v>
      </c>
      <c r="J4068">
        <v>4</v>
      </c>
      <c r="K4068">
        <v>1.1299999999999999</v>
      </c>
      <c r="L4068">
        <v>0</v>
      </c>
      <c r="M4068" t="s">
        <v>4810</v>
      </c>
      <c r="N4068" t="s">
        <v>4900</v>
      </c>
      <c r="O4068" t="s">
        <v>4912</v>
      </c>
    </row>
    <row r="4069" spans="1:15" x14ac:dyDescent="0.35">
      <c r="A4069" t="s">
        <v>4009</v>
      </c>
      <c r="B4069">
        <v>65</v>
      </c>
      <c r="C4069" t="s">
        <v>4802</v>
      </c>
      <c r="D4069" t="s">
        <v>13</v>
      </c>
      <c r="E4069">
        <v>72</v>
      </c>
      <c r="F4069">
        <v>36</v>
      </c>
      <c r="G4069" t="s">
        <v>4799</v>
      </c>
      <c r="H4069" t="s">
        <v>4805</v>
      </c>
      <c r="I4069">
        <v>13.99</v>
      </c>
      <c r="J4069">
        <v>2</v>
      </c>
      <c r="K4069">
        <v>2.4</v>
      </c>
      <c r="L4069">
        <v>0</v>
      </c>
      <c r="M4069" t="s">
        <v>4810</v>
      </c>
      <c r="N4069" t="s">
        <v>4900</v>
      </c>
      <c r="O4069" t="s">
        <v>4911</v>
      </c>
    </row>
    <row r="4070" spans="1:15" x14ac:dyDescent="0.35">
      <c r="A4070" t="s">
        <v>4010</v>
      </c>
      <c r="B4070">
        <v>50</v>
      </c>
      <c r="C4070" t="s">
        <v>4802</v>
      </c>
      <c r="D4070" t="s">
        <v>15</v>
      </c>
      <c r="E4070">
        <v>90</v>
      </c>
      <c r="F4070">
        <v>21</v>
      </c>
      <c r="G4070" t="s">
        <v>4798</v>
      </c>
      <c r="H4070" t="s">
        <v>4805</v>
      </c>
      <c r="I4070">
        <v>17.989999999999998</v>
      </c>
      <c r="J4070">
        <v>5</v>
      </c>
      <c r="K4070">
        <v>3</v>
      </c>
      <c r="L4070">
        <v>0</v>
      </c>
      <c r="M4070" t="s">
        <v>4812</v>
      </c>
      <c r="N4070" t="s">
        <v>4900</v>
      </c>
      <c r="O4070" t="s">
        <v>4910</v>
      </c>
    </row>
    <row r="4071" spans="1:15" x14ac:dyDescent="0.35">
      <c r="A4071" t="s">
        <v>4011</v>
      </c>
      <c r="B4071">
        <v>49</v>
      </c>
      <c r="C4071" t="s">
        <v>4802</v>
      </c>
      <c r="D4071" t="s">
        <v>13</v>
      </c>
      <c r="E4071">
        <v>37</v>
      </c>
      <c r="F4071">
        <v>0</v>
      </c>
      <c r="G4071" t="s">
        <v>4797</v>
      </c>
      <c r="H4071" t="s">
        <v>4805</v>
      </c>
      <c r="I4071">
        <v>13.99</v>
      </c>
      <c r="J4071">
        <v>3</v>
      </c>
      <c r="K4071">
        <v>1.23</v>
      </c>
      <c r="L4071">
        <v>0</v>
      </c>
      <c r="M4071" t="s">
        <v>4808</v>
      </c>
      <c r="N4071" t="s">
        <v>4900</v>
      </c>
      <c r="O4071" t="s">
        <v>4910</v>
      </c>
    </row>
    <row r="4072" spans="1:15" x14ac:dyDescent="0.35">
      <c r="A4072" t="s">
        <v>4012</v>
      </c>
      <c r="B4072">
        <v>27</v>
      </c>
      <c r="C4072" t="s">
        <v>4803</v>
      </c>
      <c r="D4072" t="s">
        <v>13</v>
      </c>
      <c r="E4072">
        <v>52</v>
      </c>
      <c r="F4072">
        <v>6</v>
      </c>
      <c r="G4072" t="s">
        <v>4799</v>
      </c>
      <c r="H4072" t="s">
        <v>4804</v>
      </c>
      <c r="I4072">
        <v>13.99</v>
      </c>
      <c r="J4072">
        <v>1</v>
      </c>
      <c r="K4072">
        <v>1.73</v>
      </c>
      <c r="L4072">
        <v>0</v>
      </c>
      <c r="M4072" t="s">
        <v>4812</v>
      </c>
      <c r="N4072" t="s">
        <v>4900</v>
      </c>
      <c r="O4072" t="s">
        <v>4912</v>
      </c>
    </row>
    <row r="4073" spans="1:15" x14ac:dyDescent="0.35">
      <c r="A4073" t="s">
        <v>4013</v>
      </c>
      <c r="B4073">
        <v>49</v>
      </c>
      <c r="C4073" t="s">
        <v>4802</v>
      </c>
      <c r="D4073" t="s">
        <v>13</v>
      </c>
      <c r="E4073">
        <v>61</v>
      </c>
      <c r="F4073">
        <v>11</v>
      </c>
      <c r="G4073" t="s">
        <v>4799</v>
      </c>
      <c r="H4073" t="s">
        <v>4806</v>
      </c>
      <c r="I4073">
        <v>13.99</v>
      </c>
      <c r="J4073">
        <v>3</v>
      </c>
      <c r="K4073">
        <v>2.0299999999999998</v>
      </c>
      <c r="L4073">
        <v>0</v>
      </c>
      <c r="M4073" t="s">
        <v>4811</v>
      </c>
      <c r="N4073" t="s">
        <v>4900</v>
      </c>
      <c r="O4073" t="s">
        <v>4910</v>
      </c>
    </row>
    <row r="4074" spans="1:15" x14ac:dyDescent="0.35">
      <c r="A4074" t="s">
        <v>4014</v>
      </c>
      <c r="B4074">
        <v>64</v>
      </c>
      <c r="C4074" t="s">
        <v>4803</v>
      </c>
      <c r="D4074" t="s">
        <v>13</v>
      </c>
      <c r="E4074">
        <v>59</v>
      </c>
      <c r="F4074">
        <v>0</v>
      </c>
      <c r="G4074" t="s">
        <v>4798</v>
      </c>
      <c r="H4074" t="s">
        <v>4805</v>
      </c>
      <c r="I4074">
        <v>13.99</v>
      </c>
      <c r="J4074">
        <v>3</v>
      </c>
      <c r="K4074">
        <v>1.97</v>
      </c>
      <c r="L4074">
        <v>0</v>
      </c>
      <c r="M4074" t="s">
        <v>4812</v>
      </c>
      <c r="N4074" t="s">
        <v>4900</v>
      </c>
      <c r="O4074" t="s">
        <v>4911</v>
      </c>
    </row>
    <row r="4075" spans="1:15" x14ac:dyDescent="0.35">
      <c r="A4075" t="s">
        <v>4015</v>
      </c>
      <c r="B4075">
        <v>22</v>
      </c>
      <c r="C4075" t="s">
        <v>4802</v>
      </c>
      <c r="D4075" t="s">
        <v>13</v>
      </c>
      <c r="E4075">
        <v>66</v>
      </c>
      <c r="F4075">
        <v>31</v>
      </c>
      <c r="G4075" t="s">
        <v>4797</v>
      </c>
      <c r="H4075" t="s">
        <v>4807</v>
      </c>
      <c r="I4075">
        <v>13.99</v>
      </c>
      <c r="J4075">
        <v>1</v>
      </c>
      <c r="K4075">
        <v>2.2000000000000002</v>
      </c>
      <c r="L4075">
        <v>0</v>
      </c>
      <c r="M4075" t="s">
        <v>4809</v>
      </c>
      <c r="N4075" t="s">
        <v>4900</v>
      </c>
      <c r="O4075" t="s">
        <v>4912</v>
      </c>
    </row>
    <row r="4076" spans="1:15" x14ac:dyDescent="0.35">
      <c r="A4076" t="s">
        <v>4016</v>
      </c>
      <c r="B4076">
        <v>51</v>
      </c>
      <c r="C4076" t="s">
        <v>4803</v>
      </c>
      <c r="D4076" t="s">
        <v>13</v>
      </c>
      <c r="E4076">
        <v>78</v>
      </c>
      <c r="F4076">
        <v>36</v>
      </c>
      <c r="G4076" t="s">
        <v>4798</v>
      </c>
      <c r="H4076" t="s">
        <v>4806</v>
      </c>
      <c r="I4076">
        <v>13.99</v>
      </c>
      <c r="J4076">
        <v>3</v>
      </c>
      <c r="K4076">
        <v>2.6</v>
      </c>
      <c r="L4076">
        <v>0</v>
      </c>
      <c r="M4076" t="s">
        <v>4811</v>
      </c>
      <c r="N4076" t="s">
        <v>4900</v>
      </c>
      <c r="O4076" t="s">
        <v>4910</v>
      </c>
    </row>
    <row r="4077" spans="1:15" x14ac:dyDescent="0.35">
      <c r="A4077" t="s">
        <v>4017</v>
      </c>
      <c r="B4077">
        <v>63</v>
      </c>
      <c r="C4077" t="s">
        <v>4803</v>
      </c>
      <c r="D4077" t="s">
        <v>13</v>
      </c>
      <c r="E4077">
        <v>61</v>
      </c>
      <c r="F4077">
        <v>19</v>
      </c>
      <c r="G4077" t="s">
        <v>4800</v>
      </c>
      <c r="H4077" t="s">
        <v>4805</v>
      </c>
      <c r="I4077">
        <v>13.99</v>
      </c>
      <c r="J4077">
        <v>1</v>
      </c>
      <c r="K4077">
        <v>2.0299999999999998</v>
      </c>
      <c r="L4077">
        <v>0</v>
      </c>
      <c r="M4077" t="s">
        <v>4808</v>
      </c>
      <c r="N4077" t="s">
        <v>4900</v>
      </c>
      <c r="O4077" t="s">
        <v>4911</v>
      </c>
    </row>
    <row r="4078" spans="1:15" x14ac:dyDescent="0.35">
      <c r="A4078" t="s">
        <v>4018</v>
      </c>
      <c r="B4078">
        <v>40</v>
      </c>
      <c r="C4078" t="s">
        <v>4803</v>
      </c>
      <c r="D4078" t="s">
        <v>13</v>
      </c>
      <c r="E4078">
        <v>66</v>
      </c>
      <c r="F4078">
        <v>10</v>
      </c>
      <c r="G4078" t="s">
        <v>4799</v>
      </c>
      <c r="H4078" t="s">
        <v>4804</v>
      </c>
      <c r="I4078">
        <v>13.99</v>
      </c>
      <c r="J4078">
        <v>1</v>
      </c>
      <c r="K4078">
        <v>2.2000000000000002</v>
      </c>
      <c r="L4078">
        <v>0</v>
      </c>
      <c r="M4078" t="s">
        <v>4810</v>
      </c>
      <c r="N4078" t="s">
        <v>4900</v>
      </c>
      <c r="O4078" t="s">
        <v>4910</v>
      </c>
    </row>
    <row r="4079" spans="1:15" x14ac:dyDescent="0.35">
      <c r="A4079" t="s">
        <v>4019</v>
      </c>
      <c r="B4079">
        <v>41</v>
      </c>
      <c r="C4079" t="s">
        <v>4802</v>
      </c>
      <c r="D4079" t="s">
        <v>13</v>
      </c>
      <c r="E4079">
        <v>65</v>
      </c>
      <c r="F4079">
        <v>41</v>
      </c>
      <c r="G4079" t="s">
        <v>4799</v>
      </c>
      <c r="H4079" t="s">
        <v>4805</v>
      </c>
      <c r="I4079">
        <v>13.99</v>
      </c>
      <c r="J4079">
        <v>4</v>
      </c>
      <c r="K4079">
        <v>2.17</v>
      </c>
      <c r="L4079">
        <v>1</v>
      </c>
      <c r="M4079" t="s">
        <v>4808</v>
      </c>
      <c r="N4079" t="s">
        <v>4899</v>
      </c>
      <c r="O4079" t="s">
        <v>4910</v>
      </c>
    </row>
    <row r="4080" spans="1:15" x14ac:dyDescent="0.35">
      <c r="A4080" t="s">
        <v>4020</v>
      </c>
      <c r="B4080">
        <v>40</v>
      </c>
      <c r="C4080" t="s">
        <v>4802</v>
      </c>
      <c r="D4080" t="s">
        <v>14</v>
      </c>
      <c r="E4080">
        <v>20</v>
      </c>
      <c r="F4080">
        <v>11</v>
      </c>
      <c r="G4080" t="s">
        <v>4797</v>
      </c>
      <c r="H4080" t="s">
        <v>4804</v>
      </c>
      <c r="I4080">
        <v>8.99</v>
      </c>
      <c r="J4080">
        <v>1</v>
      </c>
      <c r="K4080">
        <v>0.67</v>
      </c>
      <c r="L4080">
        <v>0</v>
      </c>
      <c r="M4080" t="s">
        <v>4809</v>
      </c>
      <c r="N4080" t="s">
        <v>4900</v>
      </c>
      <c r="O4080" t="s">
        <v>4910</v>
      </c>
    </row>
    <row r="4081" spans="1:15" x14ac:dyDescent="0.35">
      <c r="A4081" t="s">
        <v>4021</v>
      </c>
      <c r="B4081">
        <v>50</v>
      </c>
      <c r="C4081" t="s">
        <v>4802</v>
      </c>
      <c r="D4081" t="s">
        <v>13</v>
      </c>
      <c r="E4081">
        <v>80</v>
      </c>
      <c r="F4081">
        <v>31</v>
      </c>
      <c r="G4081" t="s">
        <v>4798</v>
      </c>
      <c r="H4081" t="s">
        <v>4805</v>
      </c>
      <c r="I4081">
        <v>13.99</v>
      </c>
      <c r="J4081">
        <v>3</v>
      </c>
      <c r="K4081">
        <v>2.67</v>
      </c>
      <c r="L4081">
        <v>0</v>
      </c>
      <c r="M4081" t="s">
        <v>4809</v>
      </c>
      <c r="N4081" t="s">
        <v>4900</v>
      </c>
      <c r="O4081" t="s">
        <v>4910</v>
      </c>
    </row>
    <row r="4082" spans="1:15" x14ac:dyDescent="0.35">
      <c r="A4082" t="s">
        <v>4022</v>
      </c>
      <c r="B4082">
        <v>37</v>
      </c>
      <c r="C4082" t="s">
        <v>4802</v>
      </c>
      <c r="D4082" t="s">
        <v>15</v>
      </c>
      <c r="E4082">
        <v>80</v>
      </c>
      <c r="F4082">
        <v>999</v>
      </c>
      <c r="G4082" t="s">
        <v>4800</v>
      </c>
      <c r="H4082" t="s">
        <v>4804</v>
      </c>
      <c r="I4082">
        <v>17.989999999999998</v>
      </c>
      <c r="J4082">
        <v>5</v>
      </c>
      <c r="K4082">
        <v>2.67</v>
      </c>
      <c r="L4082">
        <v>0</v>
      </c>
      <c r="M4082" t="s">
        <v>4810</v>
      </c>
      <c r="N4082" t="s">
        <v>4900</v>
      </c>
      <c r="O4082" t="s">
        <v>4910</v>
      </c>
    </row>
    <row r="4083" spans="1:15" x14ac:dyDescent="0.35">
      <c r="A4083" t="s">
        <v>4023</v>
      </c>
      <c r="B4083">
        <v>37</v>
      </c>
      <c r="C4083" t="s">
        <v>4803</v>
      </c>
      <c r="D4083" t="s">
        <v>15</v>
      </c>
      <c r="E4083">
        <v>76</v>
      </c>
      <c r="F4083">
        <v>56</v>
      </c>
      <c r="G4083" t="s">
        <v>4798</v>
      </c>
      <c r="H4083" t="s">
        <v>4804</v>
      </c>
      <c r="I4083">
        <v>17.989999999999998</v>
      </c>
      <c r="J4083">
        <v>2</v>
      </c>
      <c r="K4083">
        <v>2.5299999999999998</v>
      </c>
      <c r="L4083">
        <v>0</v>
      </c>
      <c r="M4083" t="s">
        <v>4809</v>
      </c>
      <c r="N4083" t="s">
        <v>4900</v>
      </c>
      <c r="O4083" t="s">
        <v>4910</v>
      </c>
    </row>
    <row r="4084" spans="1:15" x14ac:dyDescent="0.35">
      <c r="A4084" t="s">
        <v>4024</v>
      </c>
      <c r="B4084">
        <v>36</v>
      </c>
      <c r="C4084" t="s">
        <v>4802</v>
      </c>
      <c r="D4084" t="s">
        <v>13</v>
      </c>
      <c r="E4084">
        <v>38</v>
      </c>
      <c r="F4084">
        <v>10</v>
      </c>
      <c r="G4084" t="s">
        <v>4799</v>
      </c>
      <c r="H4084" t="s">
        <v>4806</v>
      </c>
      <c r="I4084">
        <v>13.99</v>
      </c>
      <c r="J4084">
        <v>4</v>
      </c>
      <c r="K4084">
        <v>1.27</v>
      </c>
      <c r="L4084">
        <v>0</v>
      </c>
      <c r="M4084" t="s">
        <v>4810</v>
      </c>
      <c r="N4084" t="s">
        <v>4900</v>
      </c>
      <c r="O4084" t="s">
        <v>4910</v>
      </c>
    </row>
    <row r="4085" spans="1:15" x14ac:dyDescent="0.35">
      <c r="A4085" t="s">
        <v>4025</v>
      </c>
      <c r="B4085">
        <v>21</v>
      </c>
      <c r="C4085" t="s">
        <v>4803</v>
      </c>
      <c r="D4085" t="s">
        <v>13</v>
      </c>
      <c r="E4085">
        <v>61</v>
      </c>
      <c r="F4085">
        <v>50</v>
      </c>
      <c r="G4085" t="s">
        <v>4799</v>
      </c>
      <c r="H4085" t="s">
        <v>4805</v>
      </c>
      <c r="I4085">
        <v>13.99</v>
      </c>
      <c r="J4085">
        <v>1</v>
      </c>
      <c r="K4085">
        <v>2.0299999999999998</v>
      </c>
      <c r="L4085">
        <v>0</v>
      </c>
      <c r="M4085" t="s">
        <v>4811</v>
      </c>
      <c r="N4085" t="s">
        <v>4900</v>
      </c>
      <c r="O4085" t="s">
        <v>4912</v>
      </c>
    </row>
    <row r="4086" spans="1:15" x14ac:dyDescent="0.35">
      <c r="A4086" t="s">
        <v>4026</v>
      </c>
      <c r="B4086">
        <v>31</v>
      </c>
      <c r="C4086" t="s">
        <v>4803</v>
      </c>
      <c r="D4086" t="s">
        <v>13</v>
      </c>
      <c r="E4086">
        <v>47</v>
      </c>
      <c r="F4086">
        <v>31</v>
      </c>
      <c r="G4086" t="s">
        <v>4797</v>
      </c>
      <c r="H4086" t="s">
        <v>4805</v>
      </c>
      <c r="I4086">
        <v>13.99</v>
      </c>
      <c r="J4086">
        <v>3</v>
      </c>
      <c r="K4086">
        <v>1.57</v>
      </c>
      <c r="L4086">
        <v>0</v>
      </c>
      <c r="M4086" t="s">
        <v>4808</v>
      </c>
      <c r="N4086" t="s">
        <v>4900</v>
      </c>
      <c r="O4086" t="s">
        <v>4912</v>
      </c>
    </row>
    <row r="4087" spans="1:15" x14ac:dyDescent="0.35">
      <c r="A4087" t="s">
        <v>4027</v>
      </c>
      <c r="B4087">
        <v>21</v>
      </c>
      <c r="C4087" t="s">
        <v>4803</v>
      </c>
      <c r="D4087" t="s">
        <v>14</v>
      </c>
      <c r="E4087">
        <v>26</v>
      </c>
      <c r="F4087">
        <v>11</v>
      </c>
      <c r="G4087" t="s">
        <v>4797</v>
      </c>
      <c r="H4087" t="s">
        <v>4805</v>
      </c>
      <c r="I4087">
        <v>8.99</v>
      </c>
      <c r="J4087">
        <v>2</v>
      </c>
      <c r="K4087">
        <v>0.87</v>
      </c>
      <c r="L4087">
        <v>0</v>
      </c>
      <c r="M4087" t="s">
        <v>4810</v>
      </c>
      <c r="N4087" t="s">
        <v>4900</v>
      </c>
      <c r="O4087" t="s">
        <v>4912</v>
      </c>
    </row>
    <row r="4088" spans="1:15" x14ac:dyDescent="0.35">
      <c r="A4088" t="s">
        <v>4028</v>
      </c>
      <c r="B4088">
        <v>21</v>
      </c>
      <c r="C4088" t="s">
        <v>4803</v>
      </c>
      <c r="D4088" t="s">
        <v>13</v>
      </c>
      <c r="E4088">
        <v>71</v>
      </c>
      <c r="F4088">
        <v>40</v>
      </c>
      <c r="G4088" t="s">
        <v>4797</v>
      </c>
      <c r="H4088" t="s">
        <v>4805</v>
      </c>
      <c r="I4088">
        <v>13.99</v>
      </c>
      <c r="J4088">
        <v>4</v>
      </c>
      <c r="K4088">
        <v>2.37</v>
      </c>
      <c r="L4088">
        <v>0</v>
      </c>
      <c r="M4088" t="s">
        <v>4808</v>
      </c>
      <c r="N4088" t="s">
        <v>4900</v>
      </c>
      <c r="O4088" t="s">
        <v>4912</v>
      </c>
    </row>
    <row r="4089" spans="1:15" x14ac:dyDescent="0.35">
      <c r="A4089" t="s">
        <v>4029</v>
      </c>
      <c r="B4089">
        <v>46</v>
      </c>
      <c r="C4089" t="s">
        <v>4802</v>
      </c>
      <c r="D4089" t="s">
        <v>15</v>
      </c>
      <c r="E4089">
        <v>118</v>
      </c>
      <c r="F4089">
        <v>45</v>
      </c>
      <c r="G4089" t="s">
        <v>4798</v>
      </c>
      <c r="H4089" t="s">
        <v>4805</v>
      </c>
      <c r="I4089">
        <v>17.989999999999998</v>
      </c>
      <c r="J4089">
        <v>4</v>
      </c>
      <c r="K4089">
        <v>3.93</v>
      </c>
      <c r="L4089">
        <v>0</v>
      </c>
      <c r="M4089" t="s">
        <v>4810</v>
      </c>
      <c r="N4089" t="s">
        <v>4900</v>
      </c>
      <c r="O4089" t="s">
        <v>4910</v>
      </c>
    </row>
    <row r="4090" spans="1:15" x14ac:dyDescent="0.35">
      <c r="A4090" t="s">
        <v>4030</v>
      </c>
      <c r="B4090">
        <v>26</v>
      </c>
      <c r="C4090" t="s">
        <v>4802</v>
      </c>
      <c r="D4090" t="s">
        <v>13</v>
      </c>
      <c r="E4090">
        <v>59</v>
      </c>
      <c r="F4090">
        <v>19</v>
      </c>
      <c r="G4090" t="s">
        <v>4799</v>
      </c>
      <c r="H4090" t="s">
        <v>4805</v>
      </c>
      <c r="I4090">
        <v>13.99</v>
      </c>
      <c r="J4090">
        <v>3</v>
      </c>
      <c r="K4090">
        <v>1.97</v>
      </c>
      <c r="L4090">
        <v>0</v>
      </c>
      <c r="M4090" t="s">
        <v>4812</v>
      </c>
      <c r="N4090" t="s">
        <v>4900</v>
      </c>
      <c r="O4090" t="s">
        <v>4912</v>
      </c>
    </row>
    <row r="4091" spans="1:15" x14ac:dyDescent="0.35">
      <c r="A4091" t="s">
        <v>4031</v>
      </c>
      <c r="B4091">
        <v>45</v>
      </c>
      <c r="C4091" t="s">
        <v>4802</v>
      </c>
      <c r="D4091" t="s">
        <v>13</v>
      </c>
      <c r="E4091">
        <v>34</v>
      </c>
      <c r="F4091">
        <v>51</v>
      </c>
      <c r="G4091" t="s">
        <v>4799</v>
      </c>
      <c r="H4091" t="s">
        <v>4804</v>
      </c>
      <c r="I4091">
        <v>13.99</v>
      </c>
      <c r="J4091">
        <v>2</v>
      </c>
      <c r="K4091">
        <v>1.1299999999999999</v>
      </c>
      <c r="L4091">
        <v>0</v>
      </c>
      <c r="M4091" t="s">
        <v>4809</v>
      </c>
      <c r="N4091" t="s">
        <v>4900</v>
      </c>
      <c r="O4091" t="s">
        <v>4910</v>
      </c>
    </row>
    <row r="4092" spans="1:15" x14ac:dyDescent="0.35">
      <c r="A4092" t="s">
        <v>4032</v>
      </c>
      <c r="B4092">
        <v>57</v>
      </c>
      <c r="C4092" t="s">
        <v>4802</v>
      </c>
      <c r="D4092" t="s">
        <v>13</v>
      </c>
      <c r="E4092">
        <v>53</v>
      </c>
      <c r="F4092">
        <v>9</v>
      </c>
      <c r="G4092" t="s">
        <v>4799</v>
      </c>
      <c r="H4092" t="s">
        <v>4804</v>
      </c>
      <c r="I4092">
        <v>13.99</v>
      </c>
      <c r="J4092">
        <v>2</v>
      </c>
      <c r="K4092">
        <v>1.77</v>
      </c>
      <c r="L4092">
        <v>0</v>
      </c>
      <c r="M4092" t="s">
        <v>4812</v>
      </c>
      <c r="N4092" t="s">
        <v>4900</v>
      </c>
      <c r="O4092" t="s">
        <v>4911</v>
      </c>
    </row>
    <row r="4093" spans="1:15" x14ac:dyDescent="0.35">
      <c r="A4093" t="s">
        <v>4033</v>
      </c>
      <c r="B4093">
        <v>51</v>
      </c>
      <c r="C4093" t="s">
        <v>4803</v>
      </c>
      <c r="D4093" t="s">
        <v>15</v>
      </c>
      <c r="E4093">
        <v>113</v>
      </c>
      <c r="F4093">
        <v>52</v>
      </c>
      <c r="G4093" t="s">
        <v>4798</v>
      </c>
      <c r="H4093" t="s">
        <v>4804</v>
      </c>
      <c r="I4093">
        <v>17.989999999999998</v>
      </c>
      <c r="J4093">
        <v>5</v>
      </c>
      <c r="K4093">
        <v>3.77</v>
      </c>
      <c r="L4093">
        <v>0</v>
      </c>
      <c r="M4093" t="s">
        <v>4810</v>
      </c>
      <c r="N4093" t="s">
        <v>4900</v>
      </c>
      <c r="O4093" t="s">
        <v>4910</v>
      </c>
    </row>
    <row r="4094" spans="1:15" x14ac:dyDescent="0.35">
      <c r="A4094" t="s">
        <v>4034</v>
      </c>
      <c r="B4094">
        <v>48</v>
      </c>
      <c r="C4094" t="s">
        <v>4803</v>
      </c>
      <c r="D4094" t="s">
        <v>13</v>
      </c>
      <c r="E4094">
        <v>32</v>
      </c>
      <c r="F4094">
        <v>35</v>
      </c>
      <c r="G4094" t="s">
        <v>4798</v>
      </c>
      <c r="H4094" t="s">
        <v>4805</v>
      </c>
      <c r="I4094">
        <v>13.99</v>
      </c>
      <c r="J4094">
        <v>2</v>
      </c>
      <c r="K4094">
        <v>1.07</v>
      </c>
      <c r="L4094">
        <v>1</v>
      </c>
      <c r="M4094" t="s">
        <v>4810</v>
      </c>
      <c r="N4094" t="s">
        <v>4899</v>
      </c>
      <c r="O4094" t="s">
        <v>4910</v>
      </c>
    </row>
    <row r="4095" spans="1:15" x14ac:dyDescent="0.35">
      <c r="A4095" t="s">
        <v>4035</v>
      </c>
      <c r="B4095">
        <v>47</v>
      </c>
      <c r="C4095" t="s">
        <v>4802</v>
      </c>
      <c r="D4095" t="s">
        <v>13</v>
      </c>
      <c r="E4095">
        <v>37</v>
      </c>
      <c r="F4095">
        <v>15</v>
      </c>
      <c r="G4095" t="s">
        <v>4799</v>
      </c>
      <c r="H4095" t="s">
        <v>4804</v>
      </c>
      <c r="I4095">
        <v>13.99</v>
      </c>
      <c r="J4095">
        <v>3</v>
      </c>
      <c r="K4095">
        <v>5</v>
      </c>
      <c r="L4095">
        <v>0</v>
      </c>
      <c r="M4095" t="s">
        <v>4809</v>
      </c>
      <c r="N4095" t="s">
        <v>4900</v>
      </c>
      <c r="O4095" t="s">
        <v>4910</v>
      </c>
    </row>
    <row r="4096" spans="1:15" x14ac:dyDescent="0.35">
      <c r="A4096" t="s">
        <v>4036</v>
      </c>
      <c r="B4096">
        <v>41</v>
      </c>
      <c r="C4096" t="s">
        <v>4803</v>
      </c>
      <c r="D4096" t="s">
        <v>13</v>
      </c>
      <c r="E4096">
        <v>39</v>
      </c>
      <c r="F4096" t="s">
        <v>4814</v>
      </c>
      <c r="G4096" t="s">
        <v>4797</v>
      </c>
      <c r="H4096" t="s">
        <v>4805</v>
      </c>
      <c r="I4096">
        <v>13.99</v>
      </c>
      <c r="J4096">
        <v>2</v>
      </c>
      <c r="K4096">
        <v>1.3</v>
      </c>
      <c r="L4096">
        <v>0</v>
      </c>
      <c r="M4096" t="s">
        <v>4809</v>
      </c>
      <c r="N4096" t="s">
        <v>4900</v>
      </c>
      <c r="O4096" t="s">
        <v>4910</v>
      </c>
    </row>
    <row r="4097" spans="1:15" x14ac:dyDescent="0.35">
      <c r="A4097" t="s">
        <v>4037</v>
      </c>
      <c r="B4097">
        <v>40</v>
      </c>
      <c r="C4097" t="s">
        <v>4802</v>
      </c>
      <c r="D4097" t="s">
        <v>13</v>
      </c>
      <c r="E4097">
        <v>66</v>
      </c>
      <c r="F4097">
        <v>43</v>
      </c>
      <c r="G4097" t="s">
        <v>4797</v>
      </c>
      <c r="H4097" t="s">
        <v>4804</v>
      </c>
      <c r="I4097">
        <v>13.99</v>
      </c>
      <c r="J4097">
        <v>3</v>
      </c>
      <c r="K4097">
        <v>2.2000000000000002</v>
      </c>
      <c r="L4097">
        <v>0</v>
      </c>
      <c r="M4097" t="s">
        <v>4808</v>
      </c>
      <c r="N4097" t="s">
        <v>4900</v>
      </c>
      <c r="O4097" t="s">
        <v>4910</v>
      </c>
    </row>
    <row r="4098" spans="1:15" x14ac:dyDescent="0.35">
      <c r="A4098" t="s">
        <v>4038</v>
      </c>
      <c r="B4098">
        <v>51</v>
      </c>
      <c r="C4098" t="s">
        <v>4803</v>
      </c>
      <c r="D4098" t="s">
        <v>13</v>
      </c>
      <c r="E4098">
        <v>64</v>
      </c>
      <c r="F4098">
        <v>18</v>
      </c>
      <c r="G4098" t="s">
        <v>4799</v>
      </c>
      <c r="H4098" t="s">
        <v>4806</v>
      </c>
      <c r="I4098">
        <v>13.99</v>
      </c>
      <c r="J4098">
        <v>3</v>
      </c>
      <c r="K4098">
        <v>2.13</v>
      </c>
      <c r="L4098">
        <v>0</v>
      </c>
      <c r="M4098" t="s">
        <v>4809</v>
      </c>
      <c r="N4098" t="s">
        <v>4900</v>
      </c>
      <c r="O4098" t="s">
        <v>4910</v>
      </c>
    </row>
    <row r="4099" spans="1:15" x14ac:dyDescent="0.35">
      <c r="A4099" t="s">
        <v>4039</v>
      </c>
      <c r="B4099">
        <v>50</v>
      </c>
      <c r="C4099" t="s">
        <v>4803</v>
      </c>
      <c r="D4099" t="s">
        <v>13</v>
      </c>
      <c r="E4099">
        <v>35</v>
      </c>
      <c r="F4099">
        <v>58</v>
      </c>
      <c r="G4099" t="s">
        <v>4799</v>
      </c>
      <c r="H4099" t="s">
        <v>4805</v>
      </c>
      <c r="I4099">
        <v>13.99</v>
      </c>
      <c r="J4099">
        <v>2</v>
      </c>
      <c r="K4099">
        <v>1.17</v>
      </c>
      <c r="L4099">
        <v>0</v>
      </c>
      <c r="M4099" t="s">
        <v>4811</v>
      </c>
      <c r="N4099" t="s">
        <v>4900</v>
      </c>
      <c r="O4099" t="s">
        <v>4910</v>
      </c>
    </row>
    <row r="4100" spans="1:15" x14ac:dyDescent="0.35">
      <c r="A4100" t="s">
        <v>4040</v>
      </c>
      <c r="B4100">
        <v>41</v>
      </c>
      <c r="C4100" t="s">
        <v>4803</v>
      </c>
      <c r="D4100" t="s">
        <v>13</v>
      </c>
      <c r="E4100">
        <v>32</v>
      </c>
      <c r="F4100">
        <v>54</v>
      </c>
      <c r="G4100" t="s">
        <v>4799</v>
      </c>
      <c r="H4100" t="s">
        <v>4805</v>
      </c>
      <c r="I4100">
        <v>13.99</v>
      </c>
      <c r="J4100">
        <v>3</v>
      </c>
      <c r="K4100">
        <v>1.07</v>
      </c>
      <c r="L4100">
        <v>0</v>
      </c>
      <c r="M4100" t="s">
        <v>4812</v>
      </c>
      <c r="N4100" t="s">
        <v>4900</v>
      </c>
      <c r="O4100" t="s">
        <v>4910</v>
      </c>
    </row>
    <row r="4101" spans="1:15" x14ac:dyDescent="0.35">
      <c r="A4101" t="s">
        <v>4041</v>
      </c>
      <c r="B4101">
        <v>58</v>
      </c>
      <c r="C4101" t="s">
        <v>4803</v>
      </c>
      <c r="D4101" t="s">
        <v>13</v>
      </c>
      <c r="E4101">
        <v>56</v>
      </c>
      <c r="F4101">
        <v>19</v>
      </c>
      <c r="G4101" t="s">
        <v>4799</v>
      </c>
      <c r="H4101" t="s">
        <v>4804</v>
      </c>
      <c r="I4101">
        <v>13.99</v>
      </c>
      <c r="J4101">
        <v>4</v>
      </c>
      <c r="K4101">
        <v>1.87</v>
      </c>
      <c r="L4101">
        <v>1</v>
      </c>
      <c r="M4101" t="s">
        <v>4812</v>
      </c>
      <c r="N4101" t="s">
        <v>4899</v>
      </c>
      <c r="O4101" t="s">
        <v>4911</v>
      </c>
    </row>
    <row r="4102" spans="1:15" x14ac:dyDescent="0.35">
      <c r="A4102" t="s">
        <v>4042</v>
      </c>
      <c r="B4102">
        <v>60</v>
      </c>
      <c r="C4102" t="s">
        <v>4802</v>
      </c>
      <c r="D4102" t="s">
        <v>15</v>
      </c>
      <c r="E4102">
        <v>118</v>
      </c>
      <c r="F4102">
        <v>58</v>
      </c>
      <c r="G4102" t="s">
        <v>4799</v>
      </c>
      <c r="H4102" t="s">
        <v>4805</v>
      </c>
      <c r="I4102">
        <v>17.989999999999998</v>
      </c>
      <c r="J4102">
        <v>4</v>
      </c>
      <c r="K4102">
        <v>2.0299999999999998</v>
      </c>
      <c r="L4102">
        <v>0</v>
      </c>
      <c r="M4102" t="s">
        <v>4811</v>
      </c>
      <c r="N4102" t="s">
        <v>4900</v>
      </c>
      <c r="O4102" t="s">
        <v>4911</v>
      </c>
    </row>
    <row r="4103" spans="1:15" x14ac:dyDescent="0.35">
      <c r="A4103" t="s">
        <v>4043</v>
      </c>
      <c r="B4103">
        <v>46</v>
      </c>
      <c r="C4103" t="s">
        <v>4802</v>
      </c>
      <c r="D4103" t="s">
        <v>15</v>
      </c>
      <c r="E4103">
        <v>72</v>
      </c>
      <c r="F4103">
        <v>30</v>
      </c>
      <c r="G4103" t="s">
        <v>4798</v>
      </c>
      <c r="H4103" t="s">
        <v>4804</v>
      </c>
      <c r="I4103">
        <v>17.989999999999998</v>
      </c>
      <c r="J4103">
        <v>2</v>
      </c>
      <c r="K4103">
        <v>2.4</v>
      </c>
      <c r="L4103">
        <v>0</v>
      </c>
      <c r="M4103" t="s">
        <v>4812</v>
      </c>
      <c r="N4103" t="s">
        <v>4900</v>
      </c>
      <c r="O4103" t="s">
        <v>4910</v>
      </c>
    </row>
    <row r="4104" spans="1:15" x14ac:dyDescent="0.35">
      <c r="A4104" t="s">
        <v>4044</v>
      </c>
      <c r="B4104">
        <v>28</v>
      </c>
      <c r="C4104" t="s">
        <v>4802</v>
      </c>
      <c r="D4104" t="s">
        <v>13</v>
      </c>
      <c r="E4104">
        <v>71</v>
      </c>
      <c r="F4104">
        <v>37</v>
      </c>
      <c r="G4104" t="s">
        <v>4799</v>
      </c>
      <c r="H4104" t="s">
        <v>4806</v>
      </c>
      <c r="I4104">
        <v>13.99</v>
      </c>
      <c r="J4104">
        <v>2</v>
      </c>
      <c r="K4104">
        <v>2.37</v>
      </c>
      <c r="L4104">
        <v>0</v>
      </c>
      <c r="M4104" t="s">
        <v>4809</v>
      </c>
      <c r="N4104" t="s">
        <v>4900</v>
      </c>
      <c r="O4104" t="s">
        <v>4912</v>
      </c>
    </row>
    <row r="4105" spans="1:15" x14ac:dyDescent="0.35">
      <c r="A4105" t="s">
        <v>4045</v>
      </c>
      <c r="B4105">
        <v>34</v>
      </c>
      <c r="C4105" t="s">
        <v>4803</v>
      </c>
      <c r="D4105" t="s">
        <v>13</v>
      </c>
      <c r="E4105">
        <v>43</v>
      </c>
      <c r="F4105">
        <v>12</v>
      </c>
      <c r="G4105" t="s">
        <v>4797</v>
      </c>
      <c r="H4105" t="s">
        <v>4804</v>
      </c>
      <c r="I4105">
        <v>13.99</v>
      </c>
      <c r="J4105">
        <v>4</v>
      </c>
      <c r="K4105">
        <v>1.43</v>
      </c>
      <c r="L4105">
        <v>0</v>
      </c>
      <c r="M4105" t="s">
        <v>4808</v>
      </c>
      <c r="N4105" t="s">
        <v>4900</v>
      </c>
      <c r="O4105" t="s">
        <v>4912</v>
      </c>
    </row>
    <row r="4106" spans="1:15" x14ac:dyDescent="0.35">
      <c r="A4106" t="s">
        <v>4046</v>
      </c>
      <c r="B4106">
        <v>26</v>
      </c>
      <c r="C4106" t="s">
        <v>4802</v>
      </c>
      <c r="D4106" t="s">
        <v>13</v>
      </c>
      <c r="E4106">
        <v>36</v>
      </c>
      <c r="F4106">
        <v>49</v>
      </c>
      <c r="G4106" t="s">
        <v>4799</v>
      </c>
      <c r="H4106" t="s">
        <v>4804</v>
      </c>
      <c r="I4106">
        <v>13.99</v>
      </c>
      <c r="J4106">
        <v>3</v>
      </c>
      <c r="K4106">
        <v>1.2</v>
      </c>
      <c r="L4106">
        <v>1</v>
      </c>
      <c r="M4106" t="s">
        <v>4809</v>
      </c>
      <c r="N4106" t="s">
        <v>4899</v>
      </c>
      <c r="O4106" t="s">
        <v>4912</v>
      </c>
    </row>
    <row r="4107" spans="1:15" x14ac:dyDescent="0.35">
      <c r="A4107" t="s">
        <v>4047</v>
      </c>
      <c r="B4107">
        <v>52</v>
      </c>
      <c r="C4107" t="s">
        <v>4802</v>
      </c>
      <c r="D4107" t="s">
        <v>15</v>
      </c>
      <c r="E4107">
        <v>85</v>
      </c>
      <c r="F4107">
        <v>11</v>
      </c>
      <c r="G4107" t="s">
        <v>4798</v>
      </c>
      <c r="H4107" t="s">
        <v>4805</v>
      </c>
      <c r="I4107">
        <v>17.989999999999998</v>
      </c>
      <c r="J4107">
        <v>2</v>
      </c>
      <c r="K4107">
        <v>2.83</v>
      </c>
      <c r="L4107">
        <v>1</v>
      </c>
      <c r="M4107" t="s">
        <v>4808</v>
      </c>
      <c r="N4107" t="s">
        <v>4899</v>
      </c>
      <c r="O4107" t="s">
        <v>4910</v>
      </c>
    </row>
    <row r="4108" spans="1:15" x14ac:dyDescent="0.35">
      <c r="A4108" t="s">
        <v>4048</v>
      </c>
      <c r="B4108">
        <v>25</v>
      </c>
      <c r="C4108" t="s">
        <v>4802</v>
      </c>
      <c r="D4108" t="s">
        <v>13</v>
      </c>
      <c r="E4108">
        <v>50</v>
      </c>
      <c r="F4108">
        <v>35</v>
      </c>
      <c r="G4108" t="s">
        <v>4798</v>
      </c>
      <c r="H4108" t="s">
        <v>4804</v>
      </c>
      <c r="I4108">
        <v>13.99</v>
      </c>
      <c r="J4108">
        <v>1</v>
      </c>
      <c r="K4108">
        <v>2.0299999999999998</v>
      </c>
      <c r="L4108">
        <v>0</v>
      </c>
      <c r="M4108" t="s">
        <v>4810</v>
      </c>
      <c r="N4108" t="s">
        <v>4900</v>
      </c>
      <c r="O4108" t="s">
        <v>4912</v>
      </c>
    </row>
    <row r="4109" spans="1:15" x14ac:dyDescent="0.35">
      <c r="A4109" t="s">
        <v>4049</v>
      </c>
      <c r="B4109">
        <v>40</v>
      </c>
      <c r="C4109" t="s">
        <v>4802</v>
      </c>
      <c r="D4109" t="s">
        <v>13</v>
      </c>
      <c r="E4109">
        <v>63</v>
      </c>
      <c r="F4109">
        <v>31</v>
      </c>
      <c r="G4109" t="s">
        <v>4798</v>
      </c>
      <c r="H4109" t="s">
        <v>4804</v>
      </c>
      <c r="I4109">
        <v>13.99</v>
      </c>
      <c r="J4109">
        <v>2</v>
      </c>
      <c r="K4109">
        <v>5</v>
      </c>
      <c r="L4109">
        <v>1</v>
      </c>
      <c r="M4109" t="s">
        <v>4811</v>
      </c>
      <c r="N4109" t="s">
        <v>4899</v>
      </c>
      <c r="O4109" t="s">
        <v>4910</v>
      </c>
    </row>
    <row r="4110" spans="1:15" x14ac:dyDescent="0.35">
      <c r="A4110" t="s">
        <v>4050</v>
      </c>
      <c r="B4110">
        <v>31</v>
      </c>
      <c r="C4110" t="s">
        <v>4802</v>
      </c>
      <c r="D4110" t="s">
        <v>13</v>
      </c>
      <c r="E4110">
        <v>65</v>
      </c>
      <c r="F4110">
        <v>22</v>
      </c>
      <c r="G4110" t="s">
        <v>4798</v>
      </c>
      <c r="H4110" t="s">
        <v>4805</v>
      </c>
      <c r="I4110">
        <v>13.99</v>
      </c>
      <c r="J4110">
        <v>2</v>
      </c>
      <c r="K4110">
        <v>2.17</v>
      </c>
      <c r="L4110">
        <v>0</v>
      </c>
      <c r="M4110" t="s">
        <v>4810</v>
      </c>
      <c r="N4110" t="s">
        <v>4900</v>
      </c>
      <c r="O4110" t="s">
        <v>4912</v>
      </c>
    </row>
    <row r="4111" spans="1:15" x14ac:dyDescent="0.35">
      <c r="A4111" t="s">
        <v>4051</v>
      </c>
      <c r="B4111">
        <v>20</v>
      </c>
      <c r="C4111" t="s">
        <v>4802</v>
      </c>
      <c r="D4111" t="s">
        <v>13</v>
      </c>
      <c r="E4111">
        <v>41</v>
      </c>
      <c r="F4111">
        <v>0</v>
      </c>
      <c r="G4111" t="s">
        <v>4798</v>
      </c>
      <c r="H4111" t="s">
        <v>4805</v>
      </c>
      <c r="I4111">
        <v>13.99</v>
      </c>
      <c r="J4111">
        <v>3</v>
      </c>
      <c r="K4111">
        <v>1.37</v>
      </c>
      <c r="L4111">
        <v>0</v>
      </c>
      <c r="M4111" t="s">
        <v>4811</v>
      </c>
      <c r="N4111" t="s">
        <v>4900</v>
      </c>
      <c r="O4111" t="s">
        <v>4912</v>
      </c>
    </row>
    <row r="4112" spans="1:15" x14ac:dyDescent="0.35">
      <c r="A4112" t="s">
        <v>4052</v>
      </c>
      <c r="B4112">
        <v>64</v>
      </c>
      <c r="C4112" t="s">
        <v>4803</v>
      </c>
      <c r="D4112" t="s">
        <v>13</v>
      </c>
      <c r="E4112">
        <v>36</v>
      </c>
      <c r="F4112">
        <v>48</v>
      </c>
      <c r="G4112" t="s">
        <v>4798</v>
      </c>
      <c r="H4112" t="s">
        <v>4805</v>
      </c>
      <c r="I4112">
        <v>13.99</v>
      </c>
      <c r="J4112">
        <v>4</v>
      </c>
      <c r="K4112">
        <v>1.2</v>
      </c>
      <c r="L4112">
        <v>0</v>
      </c>
      <c r="M4112" t="s">
        <v>4810</v>
      </c>
      <c r="N4112" t="s">
        <v>4900</v>
      </c>
      <c r="O4112" t="s">
        <v>4911</v>
      </c>
    </row>
    <row r="4113" spans="1:15" x14ac:dyDescent="0.35">
      <c r="A4113" t="s">
        <v>4053</v>
      </c>
      <c r="B4113">
        <v>45</v>
      </c>
      <c r="C4113" t="s">
        <v>4802</v>
      </c>
      <c r="D4113" t="s">
        <v>13</v>
      </c>
      <c r="E4113">
        <v>69</v>
      </c>
      <c r="F4113">
        <v>35</v>
      </c>
      <c r="G4113" t="s">
        <v>4798</v>
      </c>
      <c r="H4113" t="s">
        <v>4806</v>
      </c>
      <c r="I4113">
        <v>13.99</v>
      </c>
      <c r="J4113">
        <v>2</v>
      </c>
      <c r="K4113">
        <v>2.2999999999999998</v>
      </c>
      <c r="L4113">
        <v>0</v>
      </c>
      <c r="M4113" t="s">
        <v>4808</v>
      </c>
      <c r="N4113" t="s">
        <v>4900</v>
      </c>
      <c r="O4113" t="s">
        <v>4910</v>
      </c>
    </row>
    <row r="4114" spans="1:15" x14ac:dyDescent="0.35">
      <c r="A4114" t="s">
        <v>4054</v>
      </c>
      <c r="B4114">
        <v>25</v>
      </c>
      <c r="C4114" t="s">
        <v>4802</v>
      </c>
      <c r="D4114" t="s">
        <v>13</v>
      </c>
      <c r="E4114">
        <v>50</v>
      </c>
      <c r="F4114">
        <v>56</v>
      </c>
      <c r="G4114" t="s">
        <v>4797</v>
      </c>
      <c r="H4114" t="s">
        <v>4804</v>
      </c>
      <c r="I4114">
        <v>13.99</v>
      </c>
      <c r="J4114">
        <v>3</v>
      </c>
      <c r="K4114">
        <v>5</v>
      </c>
      <c r="L4114">
        <v>0</v>
      </c>
      <c r="M4114" t="s">
        <v>4810</v>
      </c>
      <c r="N4114" t="s">
        <v>4900</v>
      </c>
      <c r="O4114" t="s">
        <v>4912</v>
      </c>
    </row>
    <row r="4115" spans="1:15" x14ac:dyDescent="0.35">
      <c r="A4115" t="s">
        <v>4888</v>
      </c>
      <c r="B4115">
        <v>21</v>
      </c>
      <c r="C4115" t="s">
        <v>4802</v>
      </c>
      <c r="D4115" t="s">
        <v>15</v>
      </c>
      <c r="E4115">
        <v>106</v>
      </c>
      <c r="F4115">
        <v>3</v>
      </c>
      <c r="G4115" t="s">
        <v>4798</v>
      </c>
      <c r="H4115" t="s">
        <v>4804</v>
      </c>
      <c r="I4115">
        <v>17.989999999999998</v>
      </c>
      <c r="J4115">
        <v>2</v>
      </c>
      <c r="K4115">
        <v>2.0299999999999998</v>
      </c>
      <c r="L4115">
        <v>0</v>
      </c>
      <c r="M4115" t="s">
        <v>4812</v>
      </c>
      <c r="N4115" t="s">
        <v>4900</v>
      </c>
      <c r="O4115" t="s">
        <v>4912</v>
      </c>
    </row>
    <row r="4116" spans="1:15" x14ac:dyDescent="0.35">
      <c r="A4116" t="s">
        <v>4055</v>
      </c>
      <c r="B4116">
        <v>60</v>
      </c>
      <c r="C4116" t="s">
        <v>4803</v>
      </c>
      <c r="D4116" t="s">
        <v>13</v>
      </c>
      <c r="E4116">
        <v>72</v>
      </c>
      <c r="F4116">
        <v>52</v>
      </c>
      <c r="G4116" t="s">
        <v>4798</v>
      </c>
      <c r="H4116" t="s">
        <v>4806</v>
      </c>
      <c r="I4116">
        <v>13.99</v>
      </c>
      <c r="J4116">
        <v>3</v>
      </c>
      <c r="K4116">
        <v>2.4</v>
      </c>
      <c r="L4116">
        <v>0</v>
      </c>
      <c r="M4116" t="s">
        <v>4809</v>
      </c>
      <c r="N4116" t="s">
        <v>4900</v>
      </c>
      <c r="O4116" t="s">
        <v>4911</v>
      </c>
    </row>
    <row r="4117" spans="1:15" x14ac:dyDescent="0.35">
      <c r="A4117" t="s">
        <v>4056</v>
      </c>
      <c r="B4117">
        <v>25</v>
      </c>
      <c r="C4117" t="s">
        <v>4803</v>
      </c>
      <c r="D4117" t="s">
        <v>15</v>
      </c>
      <c r="E4117">
        <v>105</v>
      </c>
      <c r="F4117">
        <v>20</v>
      </c>
      <c r="G4117" t="s">
        <v>4798</v>
      </c>
      <c r="H4117" t="s">
        <v>4805</v>
      </c>
      <c r="I4117">
        <v>17.989999999999998</v>
      </c>
      <c r="J4117">
        <v>5</v>
      </c>
      <c r="K4117">
        <v>3.5</v>
      </c>
      <c r="L4117">
        <v>0</v>
      </c>
      <c r="M4117" t="s">
        <v>4809</v>
      </c>
      <c r="N4117" t="s">
        <v>4900</v>
      </c>
      <c r="O4117" t="s">
        <v>4912</v>
      </c>
    </row>
    <row r="4118" spans="1:15" x14ac:dyDescent="0.35">
      <c r="A4118" t="s">
        <v>4057</v>
      </c>
      <c r="B4118">
        <v>52</v>
      </c>
      <c r="C4118" t="s">
        <v>4802</v>
      </c>
      <c r="D4118" t="s">
        <v>15</v>
      </c>
      <c r="E4118">
        <v>106</v>
      </c>
      <c r="F4118">
        <v>40</v>
      </c>
      <c r="G4118" t="s">
        <v>4798</v>
      </c>
      <c r="H4118" t="s">
        <v>4804</v>
      </c>
      <c r="I4118">
        <v>17.989999999999998</v>
      </c>
      <c r="J4118">
        <v>4</v>
      </c>
      <c r="K4118">
        <v>2.0299999999999998</v>
      </c>
      <c r="L4118">
        <v>0</v>
      </c>
      <c r="M4118" t="s">
        <v>4809</v>
      </c>
      <c r="N4118" t="s">
        <v>4900</v>
      </c>
      <c r="O4118" t="s">
        <v>4910</v>
      </c>
    </row>
    <row r="4119" spans="1:15" x14ac:dyDescent="0.35">
      <c r="A4119" t="s">
        <v>4058</v>
      </c>
      <c r="B4119">
        <v>30</v>
      </c>
      <c r="C4119" t="s">
        <v>4802</v>
      </c>
      <c r="D4119" t="s">
        <v>14</v>
      </c>
      <c r="E4119">
        <v>13</v>
      </c>
      <c r="F4119">
        <v>42</v>
      </c>
      <c r="G4119" t="s">
        <v>4798</v>
      </c>
      <c r="H4119" t="s">
        <v>4807</v>
      </c>
      <c r="I4119">
        <v>8.99</v>
      </c>
      <c r="J4119">
        <v>2</v>
      </c>
      <c r="K4119">
        <v>0.43</v>
      </c>
      <c r="L4119">
        <v>1</v>
      </c>
      <c r="M4119" t="s">
        <v>4808</v>
      </c>
      <c r="N4119" t="s">
        <v>4899</v>
      </c>
      <c r="O4119" t="s">
        <v>4912</v>
      </c>
    </row>
    <row r="4120" spans="1:15" x14ac:dyDescent="0.35">
      <c r="A4120" t="s">
        <v>4059</v>
      </c>
      <c r="B4120">
        <v>53</v>
      </c>
      <c r="C4120" t="s">
        <v>4803</v>
      </c>
      <c r="D4120" t="s">
        <v>13</v>
      </c>
      <c r="E4120">
        <v>72</v>
      </c>
      <c r="F4120">
        <v>35</v>
      </c>
      <c r="G4120" t="s">
        <v>4800</v>
      </c>
      <c r="H4120" t="s">
        <v>4804</v>
      </c>
      <c r="I4120">
        <v>13.99</v>
      </c>
      <c r="J4120">
        <v>4</v>
      </c>
      <c r="K4120">
        <v>2.0299999999999998</v>
      </c>
      <c r="L4120">
        <v>0</v>
      </c>
      <c r="M4120" t="s">
        <v>4808</v>
      </c>
      <c r="N4120" t="s">
        <v>4900</v>
      </c>
      <c r="O4120" t="s">
        <v>4910</v>
      </c>
    </row>
    <row r="4121" spans="1:15" x14ac:dyDescent="0.35">
      <c r="A4121" t="s">
        <v>4060</v>
      </c>
      <c r="B4121">
        <v>48</v>
      </c>
      <c r="C4121" t="s">
        <v>4803</v>
      </c>
      <c r="D4121" t="s">
        <v>13</v>
      </c>
      <c r="E4121">
        <v>39</v>
      </c>
      <c r="F4121">
        <v>8</v>
      </c>
      <c r="G4121" t="s">
        <v>4797</v>
      </c>
      <c r="H4121" t="s">
        <v>4806</v>
      </c>
      <c r="I4121">
        <v>13.99</v>
      </c>
      <c r="J4121">
        <v>2</v>
      </c>
      <c r="K4121">
        <v>1.3</v>
      </c>
      <c r="L4121">
        <v>0</v>
      </c>
      <c r="M4121" t="s">
        <v>4809</v>
      </c>
      <c r="N4121" t="s">
        <v>4900</v>
      </c>
      <c r="O4121" t="s">
        <v>4910</v>
      </c>
    </row>
    <row r="4122" spans="1:15" x14ac:dyDescent="0.35">
      <c r="A4122" t="s">
        <v>4061</v>
      </c>
      <c r="B4122">
        <v>61</v>
      </c>
      <c r="C4122" t="s">
        <v>4802</v>
      </c>
      <c r="D4122" t="s">
        <v>13</v>
      </c>
      <c r="E4122">
        <v>43</v>
      </c>
      <c r="F4122">
        <v>17</v>
      </c>
      <c r="G4122" t="s">
        <v>4798</v>
      </c>
      <c r="H4122" t="s">
        <v>4807</v>
      </c>
      <c r="I4122">
        <v>13.99</v>
      </c>
      <c r="J4122">
        <v>1</v>
      </c>
      <c r="K4122">
        <v>1.43</v>
      </c>
      <c r="L4122">
        <v>0</v>
      </c>
      <c r="M4122" t="s">
        <v>4808</v>
      </c>
      <c r="N4122" t="s">
        <v>4900</v>
      </c>
      <c r="O4122" t="s">
        <v>4911</v>
      </c>
    </row>
    <row r="4123" spans="1:15" x14ac:dyDescent="0.35">
      <c r="A4123" t="s">
        <v>4062</v>
      </c>
      <c r="B4123">
        <v>44</v>
      </c>
      <c r="C4123" t="s">
        <v>4803</v>
      </c>
      <c r="D4123" t="s">
        <v>15</v>
      </c>
      <c r="E4123">
        <v>88</v>
      </c>
      <c r="F4123">
        <v>12</v>
      </c>
      <c r="G4123" t="s">
        <v>4798</v>
      </c>
      <c r="H4123" t="s">
        <v>4804</v>
      </c>
      <c r="I4123">
        <v>17.989999999999998</v>
      </c>
      <c r="J4123">
        <v>4</v>
      </c>
      <c r="K4123">
        <v>2.0299999999999998</v>
      </c>
      <c r="L4123">
        <v>0</v>
      </c>
      <c r="M4123" t="s">
        <v>4812</v>
      </c>
      <c r="N4123" t="s">
        <v>4900</v>
      </c>
      <c r="O4123" t="s">
        <v>4910</v>
      </c>
    </row>
    <row r="4124" spans="1:15" x14ac:dyDescent="0.35">
      <c r="A4124" t="s">
        <v>4063</v>
      </c>
      <c r="B4124">
        <v>39</v>
      </c>
      <c r="C4124" t="s">
        <v>4803</v>
      </c>
      <c r="D4124" t="s">
        <v>13</v>
      </c>
      <c r="E4124">
        <v>74</v>
      </c>
      <c r="F4124">
        <v>49</v>
      </c>
      <c r="G4124" t="s">
        <v>4797</v>
      </c>
      <c r="H4124" t="s">
        <v>4804</v>
      </c>
      <c r="I4124">
        <v>13.99</v>
      </c>
      <c r="J4124">
        <v>1</v>
      </c>
      <c r="K4124">
        <v>2.4700000000000002</v>
      </c>
      <c r="L4124">
        <v>1</v>
      </c>
      <c r="M4124" t="s">
        <v>4812</v>
      </c>
      <c r="N4124" t="s">
        <v>4899</v>
      </c>
      <c r="O4124" t="s">
        <v>4910</v>
      </c>
    </row>
    <row r="4125" spans="1:15" x14ac:dyDescent="0.35">
      <c r="A4125" t="s">
        <v>4064</v>
      </c>
      <c r="B4125">
        <v>38</v>
      </c>
      <c r="C4125" t="s">
        <v>4802</v>
      </c>
      <c r="D4125" t="s">
        <v>13</v>
      </c>
      <c r="E4125">
        <v>56</v>
      </c>
      <c r="F4125">
        <v>2</v>
      </c>
      <c r="G4125" t="s">
        <v>4798</v>
      </c>
      <c r="H4125" t="s">
        <v>4804</v>
      </c>
      <c r="I4125">
        <v>13.99</v>
      </c>
      <c r="J4125">
        <v>1</v>
      </c>
      <c r="K4125">
        <v>1.87</v>
      </c>
      <c r="L4125">
        <v>0</v>
      </c>
      <c r="M4125" t="s">
        <v>4811</v>
      </c>
      <c r="N4125" t="s">
        <v>4900</v>
      </c>
      <c r="O4125" t="s">
        <v>4910</v>
      </c>
    </row>
    <row r="4126" spans="1:15" x14ac:dyDescent="0.35">
      <c r="A4126" t="s">
        <v>4065</v>
      </c>
      <c r="B4126">
        <v>49</v>
      </c>
      <c r="C4126" t="s">
        <v>4802</v>
      </c>
      <c r="D4126" t="s">
        <v>14</v>
      </c>
      <c r="E4126">
        <v>10</v>
      </c>
      <c r="F4126">
        <v>33</v>
      </c>
      <c r="G4126" t="s">
        <v>4799</v>
      </c>
      <c r="H4126" t="s">
        <v>4805</v>
      </c>
      <c r="I4126">
        <v>8.99</v>
      </c>
      <c r="J4126">
        <v>2</v>
      </c>
      <c r="K4126">
        <v>0.33</v>
      </c>
      <c r="L4126">
        <v>1</v>
      </c>
      <c r="M4126" t="s">
        <v>4809</v>
      </c>
      <c r="N4126" t="s">
        <v>4899</v>
      </c>
      <c r="O4126" t="s">
        <v>4910</v>
      </c>
    </row>
    <row r="4127" spans="1:15" x14ac:dyDescent="0.35">
      <c r="A4127" t="s">
        <v>4066</v>
      </c>
      <c r="B4127">
        <v>40</v>
      </c>
      <c r="C4127" t="s">
        <v>4803</v>
      </c>
      <c r="D4127" t="s">
        <v>13</v>
      </c>
      <c r="E4127">
        <v>47</v>
      </c>
      <c r="F4127">
        <v>48</v>
      </c>
      <c r="G4127" t="s">
        <v>4797</v>
      </c>
      <c r="H4127" t="s">
        <v>4806</v>
      </c>
      <c r="I4127">
        <v>13.99</v>
      </c>
      <c r="J4127">
        <v>4</v>
      </c>
      <c r="K4127">
        <v>1.57</v>
      </c>
      <c r="L4127">
        <v>0</v>
      </c>
      <c r="M4127" t="s">
        <v>4808</v>
      </c>
      <c r="N4127" t="s">
        <v>4900</v>
      </c>
      <c r="O4127" t="s">
        <v>4910</v>
      </c>
    </row>
    <row r="4128" spans="1:15" x14ac:dyDescent="0.35">
      <c r="A4128" t="s">
        <v>4067</v>
      </c>
      <c r="B4128">
        <v>39</v>
      </c>
      <c r="C4128" t="s">
        <v>4802</v>
      </c>
      <c r="D4128" t="s">
        <v>13</v>
      </c>
      <c r="E4128">
        <v>79</v>
      </c>
      <c r="F4128">
        <v>60</v>
      </c>
      <c r="G4128" t="s">
        <v>4799</v>
      </c>
      <c r="H4128" t="s">
        <v>4804</v>
      </c>
      <c r="I4128">
        <v>13.99</v>
      </c>
      <c r="J4128">
        <v>2</v>
      </c>
      <c r="K4128">
        <v>2.63</v>
      </c>
      <c r="L4128">
        <v>0</v>
      </c>
      <c r="M4128" t="s">
        <v>4812</v>
      </c>
      <c r="N4128" t="s">
        <v>4900</v>
      </c>
      <c r="O4128" t="s">
        <v>4910</v>
      </c>
    </row>
    <row r="4129" spans="1:15" x14ac:dyDescent="0.35">
      <c r="A4129" t="s">
        <v>4068</v>
      </c>
      <c r="B4129">
        <v>53</v>
      </c>
      <c r="C4129" t="s">
        <v>4802</v>
      </c>
      <c r="D4129" t="s">
        <v>13</v>
      </c>
      <c r="E4129">
        <v>57</v>
      </c>
      <c r="F4129">
        <v>18</v>
      </c>
      <c r="G4129" t="s">
        <v>4798</v>
      </c>
      <c r="H4129" t="s">
        <v>4806</v>
      </c>
      <c r="I4129">
        <v>13.99</v>
      </c>
      <c r="J4129">
        <v>4</v>
      </c>
      <c r="K4129">
        <v>1.9</v>
      </c>
      <c r="L4129">
        <v>0</v>
      </c>
      <c r="M4129" t="s">
        <v>4809</v>
      </c>
      <c r="N4129" t="s">
        <v>4900</v>
      </c>
      <c r="O4129" t="s">
        <v>4910</v>
      </c>
    </row>
    <row r="4130" spans="1:15" x14ac:dyDescent="0.35">
      <c r="A4130" t="s">
        <v>4069</v>
      </c>
      <c r="B4130">
        <v>28</v>
      </c>
      <c r="C4130" t="s">
        <v>4802</v>
      </c>
      <c r="D4130" t="s">
        <v>13</v>
      </c>
      <c r="E4130">
        <v>39</v>
      </c>
      <c r="F4130">
        <v>53</v>
      </c>
      <c r="G4130" t="s">
        <v>4799</v>
      </c>
      <c r="H4130" t="s">
        <v>4805</v>
      </c>
      <c r="I4130">
        <v>13.99</v>
      </c>
      <c r="J4130">
        <v>1</v>
      </c>
      <c r="K4130">
        <v>1.3</v>
      </c>
      <c r="L4130">
        <v>0</v>
      </c>
      <c r="M4130" t="s">
        <v>4809</v>
      </c>
      <c r="N4130" t="s">
        <v>4900</v>
      </c>
      <c r="O4130" t="s">
        <v>4912</v>
      </c>
    </row>
    <row r="4131" spans="1:15" x14ac:dyDescent="0.35">
      <c r="A4131" t="s">
        <v>4070</v>
      </c>
      <c r="B4131">
        <v>20</v>
      </c>
      <c r="C4131" t="s">
        <v>4802</v>
      </c>
      <c r="D4131" t="s">
        <v>13</v>
      </c>
      <c r="E4131">
        <v>74</v>
      </c>
      <c r="F4131">
        <v>6</v>
      </c>
      <c r="G4131" t="s">
        <v>4797</v>
      </c>
      <c r="H4131" t="s">
        <v>4806</v>
      </c>
      <c r="I4131">
        <v>13.99</v>
      </c>
      <c r="J4131">
        <v>4</v>
      </c>
      <c r="K4131">
        <v>2.4700000000000002</v>
      </c>
      <c r="L4131">
        <v>0</v>
      </c>
      <c r="M4131" t="s">
        <v>4808</v>
      </c>
      <c r="N4131" t="s">
        <v>4900</v>
      </c>
      <c r="O4131" t="s">
        <v>4912</v>
      </c>
    </row>
    <row r="4132" spans="1:15" x14ac:dyDescent="0.35">
      <c r="A4132" t="s">
        <v>4071</v>
      </c>
      <c r="B4132">
        <v>49</v>
      </c>
      <c r="C4132" t="s">
        <v>4803</v>
      </c>
      <c r="D4132" t="s">
        <v>13</v>
      </c>
      <c r="E4132">
        <v>50</v>
      </c>
      <c r="F4132">
        <v>17</v>
      </c>
      <c r="G4132" t="s">
        <v>4800</v>
      </c>
      <c r="H4132" t="s">
        <v>4807</v>
      </c>
      <c r="I4132">
        <v>13.99</v>
      </c>
      <c r="J4132">
        <v>3</v>
      </c>
      <c r="K4132">
        <v>1.67</v>
      </c>
      <c r="L4132">
        <v>0</v>
      </c>
      <c r="M4132" t="s">
        <v>4810</v>
      </c>
      <c r="N4132" t="s">
        <v>4900</v>
      </c>
      <c r="O4132" t="s">
        <v>4910</v>
      </c>
    </row>
    <row r="4133" spans="1:15" x14ac:dyDescent="0.35">
      <c r="A4133" t="s">
        <v>4072</v>
      </c>
      <c r="B4133">
        <v>49</v>
      </c>
      <c r="C4133" t="s">
        <v>4803</v>
      </c>
      <c r="D4133" t="s">
        <v>15</v>
      </c>
      <c r="E4133">
        <v>87</v>
      </c>
      <c r="F4133">
        <v>2</v>
      </c>
      <c r="G4133" t="s">
        <v>4797</v>
      </c>
      <c r="H4133" t="s">
        <v>4805</v>
      </c>
      <c r="I4133">
        <v>17.989999999999998</v>
      </c>
      <c r="J4133">
        <v>2</v>
      </c>
      <c r="K4133">
        <v>2.9</v>
      </c>
      <c r="L4133">
        <v>0</v>
      </c>
      <c r="M4133" t="s">
        <v>4808</v>
      </c>
      <c r="N4133" t="s">
        <v>4900</v>
      </c>
      <c r="O4133" t="s">
        <v>4910</v>
      </c>
    </row>
    <row r="4134" spans="1:15" x14ac:dyDescent="0.35">
      <c r="A4134" t="s">
        <v>4073</v>
      </c>
      <c r="B4134">
        <v>52</v>
      </c>
      <c r="C4134" t="s">
        <v>4802</v>
      </c>
      <c r="D4134" t="s">
        <v>13</v>
      </c>
      <c r="E4134">
        <v>59</v>
      </c>
      <c r="F4134">
        <v>13</v>
      </c>
      <c r="G4134" t="s">
        <v>4799</v>
      </c>
      <c r="H4134" t="s">
        <v>4805</v>
      </c>
      <c r="I4134">
        <v>13.99</v>
      </c>
      <c r="J4134">
        <v>3</v>
      </c>
      <c r="K4134">
        <v>1.97</v>
      </c>
      <c r="L4134">
        <v>0</v>
      </c>
      <c r="M4134" t="s">
        <v>4812</v>
      </c>
      <c r="N4134" t="s">
        <v>4900</v>
      </c>
      <c r="O4134" t="s">
        <v>4910</v>
      </c>
    </row>
    <row r="4135" spans="1:15" x14ac:dyDescent="0.35">
      <c r="A4135" t="s">
        <v>4074</v>
      </c>
      <c r="B4135">
        <v>20</v>
      </c>
      <c r="C4135" t="s">
        <v>4803</v>
      </c>
      <c r="D4135" t="s">
        <v>15</v>
      </c>
      <c r="E4135">
        <v>119</v>
      </c>
      <c r="F4135">
        <v>40</v>
      </c>
      <c r="G4135" t="s">
        <v>4798</v>
      </c>
      <c r="H4135" t="s">
        <v>4804</v>
      </c>
      <c r="I4135">
        <v>17.989999999999998</v>
      </c>
      <c r="J4135">
        <v>4</v>
      </c>
      <c r="K4135">
        <v>3.97</v>
      </c>
      <c r="L4135">
        <v>0</v>
      </c>
      <c r="M4135" t="s">
        <v>4808</v>
      </c>
      <c r="N4135" t="s">
        <v>4900</v>
      </c>
      <c r="O4135" t="s">
        <v>4912</v>
      </c>
    </row>
    <row r="4136" spans="1:15" x14ac:dyDescent="0.35">
      <c r="A4136" t="s">
        <v>4075</v>
      </c>
      <c r="B4136">
        <v>49</v>
      </c>
      <c r="C4136" t="s">
        <v>4802</v>
      </c>
      <c r="D4136" t="s">
        <v>13</v>
      </c>
      <c r="E4136">
        <v>75</v>
      </c>
      <c r="F4136">
        <v>60</v>
      </c>
      <c r="G4136" t="s">
        <v>4798</v>
      </c>
      <c r="H4136" t="s">
        <v>4805</v>
      </c>
      <c r="I4136">
        <v>13.99</v>
      </c>
      <c r="J4136">
        <v>2</v>
      </c>
      <c r="K4136">
        <v>2.0299999999999998</v>
      </c>
      <c r="L4136">
        <v>1</v>
      </c>
      <c r="M4136" t="s">
        <v>4810</v>
      </c>
      <c r="N4136" t="s">
        <v>4899</v>
      </c>
      <c r="O4136" t="s">
        <v>4910</v>
      </c>
    </row>
    <row r="4137" spans="1:15" x14ac:dyDescent="0.35">
      <c r="A4137" t="s">
        <v>4076</v>
      </c>
      <c r="B4137">
        <v>50</v>
      </c>
      <c r="C4137" t="s">
        <v>4803</v>
      </c>
      <c r="D4137" t="s">
        <v>13</v>
      </c>
      <c r="E4137">
        <v>47</v>
      </c>
      <c r="F4137">
        <v>40</v>
      </c>
      <c r="G4137" t="s">
        <v>4797</v>
      </c>
      <c r="H4137" t="s">
        <v>4805</v>
      </c>
      <c r="I4137">
        <v>13.99</v>
      </c>
      <c r="J4137">
        <v>1</v>
      </c>
      <c r="K4137">
        <v>2.0299999999999998</v>
      </c>
      <c r="L4137">
        <v>0</v>
      </c>
      <c r="M4137" t="s">
        <v>4811</v>
      </c>
      <c r="N4137" t="s">
        <v>4900</v>
      </c>
      <c r="O4137" t="s">
        <v>4910</v>
      </c>
    </row>
    <row r="4138" spans="1:15" x14ac:dyDescent="0.35">
      <c r="A4138" t="s">
        <v>4077</v>
      </c>
      <c r="B4138">
        <v>34</v>
      </c>
      <c r="C4138" t="s">
        <v>4803</v>
      </c>
      <c r="D4138" t="s">
        <v>13</v>
      </c>
      <c r="E4138">
        <v>32</v>
      </c>
      <c r="F4138">
        <v>52</v>
      </c>
      <c r="G4138" t="s">
        <v>4797</v>
      </c>
      <c r="H4138" t="s">
        <v>4806</v>
      </c>
      <c r="I4138">
        <v>13.99</v>
      </c>
      <c r="J4138">
        <v>1</v>
      </c>
      <c r="K4138">
        <v>1.07</v>
      </c>
      <c r="L4138">
        <v>1</v>
      </c>
      <c r="M4138" t="s">
        <v>4809</v>
      </c>
      <c r="N4138" t="s">
        <v>4899</v>
      </c>
      <c r="O4138" t="s">
        <v>4912</v>
      </c>
    </row>
    <row r="4139" spans="1:15" x14ac:dyDescent="0.35">
      <c r="A4139" t="s">
        <v>4078</v>
      </c>
      <c r="B4139">
        <v>34</v>
      </c>
      <c r="C4139" t="s">
        <v>4802</v>
      </c>
      <c r="D4139" t="s">
        <v>13</v>
      </c>
      <c r="E4139">
        <v>55</v>
      </c>
      <c r="F4139">
        <v>50</v>
      </c>
      <c r="G4139" t="s">
        <v>4799</v>
      </c>
      <c r="H4139" t="s">
        <v>4805</v>
      </c>
      <c r="I4139">
        <v>13.99</v>
      </c>
      <c r="J4139">
        <v>1</v>
      </c>
      <c r="K4139">
        <v>1.83</v>
      </c>
      <c r="L4139">
        <v>0</v>
      </c>
      <c r="M4139" t="s">
        <v>4811</v>
      </c>
      <c r="N4139" t="s">
        <v>4900</v>
      </c>
      <c r="O4139" t="s">
        <v>4912</v>
      </c>
    </row>
    <row r="4140" spans="1:15" x14ac:dyDescent="0.35">
      <c r="A4140" t="s">
        <v>4079</v>
      </c>
      <c r="B4140">
        <v>49</v>
      </c>
      <c r="C4140" t="s">
        <v>4803</v>
      </c>
      <c r="D4140" t="s">
        <v>15</v>
      </c>
      <c r="E4140">
        <v>50</v>
      </c>
      <c r="F4140">
        <v>26</v>
      </c>
      <c r="G4140" t="s">
        <v>4799</v>
      </c>
      <c r="H4140" t="s">
        <v>4804</v>
      </c>
      <c r="I4140">
        <v>17.989999999999998</v>
      </c>
      <c r="J4140">
        <v>5</v>
      </c>
      <c r="K4140">
        <v>1.67</v>
      </c>
      <c r="L4140">
        <v>0</v>
      </c>
      <c r="M4140" t="s">
        <v>4812</v>
      </c>
      <c r="N4140" t="s">
        <v>4900</v>
      </c>
      <c r="O4140" t="s">
        <v>4910</v>
      </c>
    </row>
    <row r="4141" spans="1:15" x14ac:dyDescent="0.35">
      <c r="A4141" t="s">
        <v>4080</v>
      </c>
      <c r="B4141">
        <v>36</v>
      </c>
      <c r="C4141" t="s">
        <v>4802</v>
      </c>
      <c r="D4141" t="s">
        <v>14</v>
      </c>
      <c r="E4141">
        <v>38</v>
      </c>
      <c r="F4141">
        <v>44</v>
      </c>
      <c r="G4141" t="s">
        <v>4799</v>
      </c>
      <c r="H4141" t="s">
        <v>4805</v>
      </c>
      <c r="I4141">
        <v>8.99</v>
      </c>
      <c r="J4141">
        <v>4</v>
      </c>
      <c r="K4141">
        <v>1.27</v>
      </c>
      <c r="L4141">
        <v>1</v>
      </c>
      <c r="M4141" t="s">
        <v>4810</v>
      </c>
      <c r="N4141" t="s">
        <v>4899</v>
      </c>
      <c r="O4141" t="s">
        <v>4910</v>
      </c>
    </row>
    <row r="4142" spans="1:15" x14ac:dyDescent="0.35">
      <c r="A4142" t="s">
        <v>4081</v>
      </c>
      <c r="B4142">
        <v>55</v>
      </c>
      <c r="C4142" t="s">
        <v>4803</v>
      </c>
      <c r="D4142" t="s">
        <v>13</v>
      </c>
      <c r="E4142">
        <v>42</v>
      </c>
      <c r="F4142">
        <v>27</v>
      </c>
      <c r="G4142" t="s">
        <v>4798</v>
      </c>
      <c r="H4142" t="s">
        <v>4804</v>
      </c>
      <c r="I4142">
        <v>13.99</v>
      </c>
      <c r="J4142">
        <v>1</v>
      </c>
      <c r="K4142">
        <v>1.4</v>
      </c>
      <c r="L4142">
        <v>0</v>
      </c>
      <c r="M4142" t="s">
        <v>4811</v>
      </c>
      <c r="N4142" t="s">
        <v>4900</v>
      </c>
      <c r="O4142" t="s">
        <v>4911</v>
      </c>
    </row>
    <row r="4143" spans="1:15" x14ac:dyDescent="0.35">
      <c r="A4143" t="s">
        <v>4082</v>
      </c>
      <c r="B4143">
        <v>29</v>
      </c>
      <c r="C4143" t="s">
        <v>4802</v>
      </c>
      <c r="D4143" t="s">
        <v>13</v>
      </c>
      <c r="E4143">
        <v>77</v>
      </c>
      <c r="F4143">
        <v>13</v>
      </c>
      <c r="G4143" t="s">
        <v>4798</v>
      </c>
      <c r="H4143" t="s">
        <v>4804</v>
      </c>
      <c r="I4143">
        <v>13.99</v>
      </c>
      <c r="J4143">
        <v>2</v>
      </c>
      <c r="K4143">
        <v>2.57</v>
      </c>
      <c r="L4143">
        <v>0</v>
      </c>
      <c r="M4143" t="s">
        <v>4809</v>
      </c>
      <c r="N4143" t="s">
        <v>4900</v>
      </c>
      <c r="O4143" t="s">
        <v>4912</v>
      </c>
    </row>
    <row r="4144" spans="1:15" x14ac:dyDescent="0.35">
      <c r="A4144" t="s">
        <v>4083</v>
      </c>
      <c r="B4144">
        <v>39</v>
      </c>
      <c r="C4144" t="s">
        <v>4803</v>
      </c>
      <c r="D4144" t="s">
        <v>14</v>
      </c>
      <c r="E4144">
        <v>24</v>
      </c>
      <c r="F4144">
        <v>2</v>
      </c>
      <c r="G4144" t="s">
        <v>4799</v>
      </c>
      <c r="H4144" t="s">
        <v>4806</v>
      </c>
      <c r="I4144">
        <v>8.99</v>
      </c>
      <c r="J4144">
        <v>2</v>
      </c>
      <c r="K4144">
        <v>0.8</v>
      </c>
      <c r="L4144">
        <v>1</v>
      </c>
      <c r="M4144" t="s">
        <v>4810</v>
      </c>
      <c r="N4144" t="s">
        <v>4899</v>
      </c>
      <c r="O4144" t="s">
        <v>4910</v>
      </c>
    </row>
    <row r="4145" spans="1:15" x14ac:dyDescent="0.35">
      <c r="A4145" t="s">
        <v>4084</v>
      </c>
      <c r="B4145">
        <v>28</v>
      </c>
      <c r="C4145" t="s">
        <v>4803</v>
      </c>
      <c r="D4145" t="s">
        <v>13</v>
      </c>
      <c r="E4145">
        <v>60</v>
      </c>
      <c r="F4145">
        <v>9</v>
      </c>
      <c r="G4145" t="s">
        <v>4799</v>
      </c>
      <c r="H4145" t="s">
        <v>4805</v>
      </c>
      <c r="I4145">
        <v>13.99</v>
      </c>
      <c r="J4145">
        <v>2</v>
      </c>
      <c r="K4145">
        <v>2</v>
      </c>
      <c r="L4145">
        <v>0</v>
      </c>
      <c r="M4145" t="s">
        <v>4810</v>
      </c>
      <c r="N4145" t="s">
        <v>4900</v>
      </c>
      <c r="O4145" t="s">
        <v>4912</v>
      </c>
    </row>
    <row r="4146" spans="1:15" x14ac:dyDescent="0.35">
      <c r="A4146" t="s">
        <v>4085</v>
      </c>
      <c r="B4146">
        <v>25</v>
      </c>
      <c r="C4146" t="s">
        <v>4802</v>
      </c>
      <c r="D4146" t="s">
        <v>14</v>
      </c>
      <c r="E4146">
        <v>49</v>
      </c>
      <c r="F4146">
        <v>13</v>
      </c>
      <c r="G4146" t="s">
        <v>4798</v>
      </c>
      <c r="H4146" t="s">
        <v>4806</v>
      </c>
      <c r="I4146">
        <v>8.99</v>
      </c>
      <c r="J4146">
        <v>2</v>
      </c>
      <c r="K4146">
        <v>1.63</v>
      </c>
      <c r="L4146">
        <v>0</v>
      </c>
      <c r="M4146" t="s">
        <v>4810</v>
      </c>
      <c r="N4146" t="s">
        <v>4900</v>
      </c>
      <c r="O4146" t="s">
        <v>4912</v>
      </c>
    </row>
    <row r="4147" spans="1:15" x14ac:dyDescent="0.35">
      <c r="A4147" t="s">
        <v>4086</v>
      </c>
      <c r="B4147">
        <v>48</v>
      </c>
      <c r="C4147" t="s">
        <v>4803</v>
      </c>
      <c r="D4147" t="s">
        <v>13</v>
      </c>
      <c r="E4147">
        <v>61</v>
      </c>
      <c r="F4147">
        <v>32</v>
      </c>
      <c r="G4147" t="s">
        <v>4799</v>
      </c>
      <c r="H4147" t="s">
        <v>4805</v>
      </c>
      <c r="I4147">
        <v>13.99</v>
      </c>
      <c r="J4147">
        <v>3</v>
      </c>
      <c r="K4147">
        <v>2.0299999999999998</v>
      </c>
      <c r="L4147">
        <v>0</v>
      </c>
      <c r="M4147" t="s">
        <v>4810</v>
      </c>
      <c r="N4147" t="s">
        <v>4900</v>
      </c>
      <c r="O4147" t="s">
        <v>4910</v>
      </c>
    </row>
    <row r="4148" spans="1:15" x14ac:dyDescent="0.35">
      <c r="A4148" t="s">
        <v>4087</v>
      </c>
      <c r="B4148">
        <v>52</v>
      </c>
      <c r="C4148" t="s">
        <v>4802</v>
      </c>
      <c r="D4148" t="s">
        <v>15</v>
      </c>
      <c r="E4148">
        <v>84</v>
      </c>
      <c r="F4148">
        <v>12</v>
      </c>
      <c r="G4148" t="s">
        <v>4799</v>
      </c>
      <c r="H4148" t="s">
        <v>4804</v>
      </c>
      <c r="I4148">
        <v>17.989999999999998</v>
      </c>
      <c r="J4148">
        <v>4</v>
      </c>
      <c r="K4148">
        <v>2.8</v>
      </c>
      <c r="L4148">
        <v>0</v>
      </c>
      <c r="M4148" t="s">
        <v>4808</v>
      </c>
      <c r="N4148" t="s">
        <v>4900</v>
      </c>
      <c r="O4148" t="s">
        <v>4910</v>
      </c>
    </row>
    <row r="4149" spans="1:15" x14ac:dyDescent="0.35">
      <c r="A4149" t="s">
        <v>4088</v>
      </c>
      <c r="B4149">
        <v>43</v>
      </c>
      <c r="C4149" t="s">
        <v>4803</v>
      </c>
      <c r="D4149" t="s">
        <v>13</v>
      </c>
      <c r="E4149">
        <v>65</v>
      </c>
      <c r="F4149">
        <v>32</v>
      </c>
      <c r="G4149" t="s">
        <v>4798</v>
      </c>
      <c r="H4149" t="s">
        <v>4804</v>
      </c>
      <c r="I4149">
        <v>13.99</v>
      </c>
      <c r="J4149">
        <v>2</v>
      </c>
      <c r="K4149">
        <v>2.17</v>
      </c>
      <c r="L4149">
        <v>0</v>
      </c>
      <c r="M4149" t="s">
        <v>4812</v>
      </c>
      <c r="N4149" t="s">
        <v>4900</v>
      </c>
      <c r="O4149" t="s">
        <v>4910</v>
      </c>
    </row>
    <row r="4150" spans="1:15" x14ac:dyDescent="0.35">
      <c r="A4150" t="s">
        <v>4089</v>
      </c>
      <c r="B4150">
        <v>29</v>
      </c>
      <c r="C4150" t="s">
        <v>4802</v>
      </c>
      <c r="D4150" t="s">
        <v>15</v>
      </c>
      <c r="E4150">
        <v>57</v>
      </c>
      <c r="F4150">
        <v>999</v>
      </c>
      <c r="G4150" t="s">
        <v>4797</v>
      </c>
      <c r="H4150" t="s">
        <v>4807</v>
      </c>
      <c r="I4150">
        <v>17.989999999999998</v>
      </c>
      <c r="J4150">
        <v>3</v>
      </c>
      <c r="K4150">
        <v>1.9</v>
      </c>
      <c r="L4150">
        <v>0</v>
      </c>
      <c r="M4150" t="s">
        <v>4812</v>
      </c>
      <c r="N4150" t="s">
        <v>4900</v>
      </c>
      <c r="O4150" t="s">
        <v>4912</v>
      </c>
    </row>
    <row r="4151" spans="1:15" x14ac:dyDescent="0.35">
      <c r="A4151" t="s">
        <v>4090</v>
      </c>
      <c r="B4151">
        <v>59</v>
      </c>
      <c r="C4151" t="s">
        <v>4803</v>
      </c>
      <c r="D4151" t="s">
        <v>13</v>
      </c>
      <c r="E4151">
        <v>44</v>
      </c>
      <c r="F4151">
        <v>35</v>
      </c>
      <c r="G4151" t="s">
        <v>4799</v>
      </c>
      <c r="H4151" t="s">
        <v>4806</v>
      </c>
      <c r="I4151">
        <v>13.99</v>
      </c>
      <c r="J4151">
        <v>3</v>
      </c>
      <c r="K4151">
        <v>1.47</v>
      </c>
      <c r="L4151">
        <v>0</v>
      </c>
      <c r="M4151" t="s">
        <v>4811</v>
      </c>
      <c r="N4151" t="s">
        <v>4900</v>
      </c>
      <c r="O4151" t="s">
        <v>4911</v>
      </c>
    </row>
    <row r="4152" spans="1:15" x14ac:dyDescent="0.35">
      <c r="A4152" t="s">
        <v>4091</v>
      </c>
      <c r="B4152">
        <v>30</v>
      </c>
      <c r="C4152" t="s">
        <v>4802</v>
      </c>
      <c r="D4152" t="s">
        <v>13</v>
      </c>
      <c r="E4152">
        <v>41</v>
      </c>
      <c r="F4152">
        <v>16</v>
      </c>
      <c r="G4152" t="s">
        <v>4799</v>
      </c>
      <c r="H4152" t="s">
        <v>4804</v>
      </c>
      <c r="I4152">
        <v>13.99</v>
      </c>
      <c r="J4152">
        <v>1</v>
      </c>
      <c r="K4152">
        <v>2.0299999999999998</v>
      </c>
      <c r="L4152">
        <v>0</v>
      </c>
      <c r="M4152" t="s">
        <v>4808</v>
      </c>
      <c r="N4152" t="s">
        <v>4900</v>
      </c>
      <c r="O4152" t="s">
        <v>4912</v>
      </c>
    </row>
    <row r="4153" spans="1:15" x14ac:dyDescent="0.35">
      <c r="A4153" t="s">
        <v>4092</v>
      </c>
      <c r="B4153">
        <v>26</v>
      </c>
      <c r="C4153" t="s">
        <v>4803</v>
      </c>
      <c r="D4153" t="s">
        <v>15</v>
      </c>
      <c r="E4153">
        <v>116</v>
      </c>
      <c r="F4153">
        <v>44</v>
      </c>
      <c r="G4153" t="s">
        <v>4797</v>
      </c>
      <c r="H4153" t="s">
        <v>4805</v>
      </c>
      <c r="I4153">
        <v>17.989999999999998</v>
      </c>
      <c r="J4153">
        <v>2</v>
      </c>
      <c r="K4153">
        <v>3.87</v>
      </c>
      <c r="L4153">
        <v>0</v>
      </c>
      <c r="M4153" t="s">
        <v>4808</v>
      </c>
      <c r="N4153" t="s">
        <v>4900</v>
      </c>
      <c r="O4153" t="s">
        <v>4912</v>
      </c>
    </row>
    <row r="4154" spans="1:15" x14ac:dyDescent="0.35">
      <c r="A4154" t="s">
        <v>4093</v>
      </c>
      <c r="B4154">
        <v>29</v>
      </c>
      <c r="C4154" t="s">
        <v>4803</v>
      </c>
      <c r="D4154" t="s">
        <v>13</v>
      </c>
      <c r="E4154">
        <v>53</v>
      </c>
      <c r="F4154">
        <v>12</v>
      </c>
      <c r="G4154" t="s">
        <v>4798</v>
      </c>
      <c r="H4154" t="s">
        <v>4804</v>
      </c>
      <c r="I4154">
        <v>13.99</v>
      </c>
      <c r="J4154">
        <v>4</v>
      </c>
      <c r="K4154">
        <v>1.77</v>
      </c>
      <c r="L4154">
        <v>0</v>
      </c>
      <c r="M4154" t="s">
        <v>4810</v>
      </c>
      <c r="N4154" t="s">
        <v>4900</v>
      </c>
      <c r="O4154" t="s">
        <v>4912</v>
      </c>
    </row>
    <row r="4155" spans="1:15" x14ac:dyDescent="0.35">
      <c r="A4155" t="s">
        <v>4094</v>
      </c>
      <c r="B4155">
        <v>51</v>
      </c>
      <c r="C4155" t="s">
        <v>4803</v>
      </c>
      <c r="D4155" t="s">
        <v>13</v>
      </c>
      <c r="E4155">
        <v>53</v>
      </c>
      <c r="F4155">
        <v>28</v>
      </c>
      <c r="G4155" t="s">
        <v>4797</v>
      </c>
      <c r="H4155" t="s">
        <v>4804</v>
      </c>
      <c r="I4155">
        <v>13.99</v>
      </c>
      <c r="J4155">
        <v>3</v>
      </c>
      <c r="K4155">
        <v>1.77</v>
      </c>
      <c r="L4155">
        <v>0</v>
      </c>
      <c r="M4155" t="s">
        <v>4810</v>
      </c>
      <c r="N4155" t="s">
        <v>4900</v>
      </c>
      <c r="O4155" t="s">
        <v>4910</v>
      </c>
    </row>
    <row r="4156" spans="1:15" x14ac:dyDescent="0.35">
      <c r="A4156" t="s">
        <v>4095</v>
      </c>
      <c r="B4156">
        <v>54</v>
      </c>
      <c r="C4156" t="s">
        <v>4803</v>
      </c>
      <c r="D4156" t="s">
        <v>13</v>
      </c>
      <c r="E4156">
        <v>69</v>
      </c>
      <c r="F4156">
        <v>20</v>
      </c>
      <c r="G4156" t="s">
        <v>4797</v>
      </c>
      <c r="H4156" t="s">
        <v>4804</v>
      </c>
      <c r="I4156">
        <v>13.99</v>
      </c>
      <c r="J4156">
        <v>4</v>
      </c>
      <c r="K4156">
        <v>2.2999999999999998</v>
      </c>
      <c r="L4156">
        <v>0</v>
      </c>
      <c r="M4156" t="s">
        <v>4812</v>
      </c>
      <c r="N4156" t="s">
        <v>4900</v>
      </c>
      <c r="O4156" t="s">
        <v>4910</v>
      </c>
    </row>
    <row r="4157" spans="1:15" x14ac:dyDescent="0.35">
      <c r="A4157" t="s">
        <v>4096</v>
      </c>
      <c r="B4157">
        <v>24</v>
      </c>
      <c r="C4157" t="s">
        <v>4802</v>
      </c>
      <c r="D4157" t="s">
        <v>13</v>
      </c>
      <c r="E4157">
        <v>47</v>
      </c>
      <c r="F4157">
        <v>45</v>
      </c>
      <c r="G4157" t="s">
        <v>4800</v>
      </c>
      <c r="H4157" t="s">
        <v>4805</v>
      </c>
      <c r="I4157">
        <v>13.99</v>
      </c>
      <c r="J4157">
        <v>3</v>
      </c>
      <c r="K4157">
        <v>1.57</v>
      </c>
      <c r="L4157">
        <v>1</v>
      </c>
      <c r="M4157" t="s">
        <v>4808</v>
      </c>
      <c r="N4157" t="s">
        <v>4899</v>
      </c>
      <c r="O4157" t="s">
        <v>4912</v>
      </c>
    </row>
    <row r="4158" spans="1:15" x14ac:dyDescent="0.35">
      <c r="A4158" t="s">
        <v>4097</v>
      </c>
      <c r="B4158">
        <v>60</v>
      </c>
      <c r="C4158" t="s">
        <v>4803</v>
      </c>
      <c r="D4158" t="s">
        <v>13</v>
      </c>
      <c r="E4158">
        <v>42</v>
      </c>
      <c r="F4158">
        <v>26</v>
      </c>
      <c r="G4158" t="s">
        <v>4798</v>
      </c>
      <c r="H4158" t="s">
        <v>4806</v>
      </c>
      <c r="I4158">
        <v>13.99</v>
      </c>
      <c r="J4158">
        <v>3</v>
      </c>
      <c r="K4158">
        <v>1.4</v>
      </c>
      <c r="L4158">
        <v>1</v>
      </c>
      <c r="M4158" t="s">
        <v>4810</v>
      </c>
      <c r="N4158" t="s">
        <v>4899</v>
      </c>
      <c r="O4158" t="s">
        <v>4911</v>
      </c>
    </row>
    <row r="4159" spans="1:15" x14ac:dyDescent="0.35">
      <c r="A4159" t="s">
        <v>4098</v>
      </c>
      <c r="B4159">
        <v>51</v>
      </c>
      <c r="C4159" t="s">
        <v>4802</v>
      </c>
      <c r="D4159" t="s">
        <v>15</v>
      </c>
      <c r="E4159">
        <v>36</v>
      </c>
      <c r="F4159">
        <v>46</v>
      </c>
      <c r="G4159" t="s">
        <v>4797</v>
      </c>
      <c r="H4159" t="s">
        <v>4805</v>
      </c>
      <c r="I4159">
        <v>17.989999999999998</v>
      </c>
      <c r="J4159">
        <v>3</v>
      </c>
      <c r="K4159">
        <v>1.2</v>
      </c>
      <c r="L4159">
        <v>1</v>
      </c>
      <c r="M4159" t="s">
        <v>4811</v>
      </c>
      <c r="N4159" t="s">
        <v>4899</v>
      </c>
      <c r="O4159" t="s">
        <v>4910</v>
      </c>
    </row>
    <row r="4160" spans="1:15" x14ac:dyDescent="0.35">
      <c r="A4160" t="s">
        <v>4099</v>
      </c>
      <c r="B4160">
        <v>20</v>
      </c>
      <c r="C4160" t="s">
        <v>4803</v>
      </c>
      <c r="D4160" t="s">
        <v>15</v>
      </c>
      <c r="E4160">
        <v>95</v>
      </c>
      <c r="F4160">
        <v>43</v>
      </c>
      <c r="G4160" t="s">
        <v>4799</v>
      </c>
      <c r="H4160" t="s">
        <v>4805</v>
      </c>
      <c r="I4160">
        <v>17.989999999999998</v>
      </c>
      <c r="J4160">
        <v>4</v>
      </c>
      <c r="K4160">
        <v>3.17</v>
      </c>
      <c r="L4160">
        <v>1</v>
      </c>
      <c r="M4160" t="s">
        <v>4811</v>
      </c>
      <c r="N4160" t="s">
        <v>4899</v>
      </c>
      <c r="O4160" t="s">
        <v>4912</v>
      </c>
    </row>
    <row r="4161" spans="1:15" x14ac:dyDescent="0.35">
      <c r="A4161" t="s">
        <v>4100</v>
      </c>
      <c r="B4161">
        <v>26</v>
      </c>
      <c r="C4161" t="s">
        <v>4803</v>
      </c>
      <c r="D4161" t="s">
        <v>13</v>
      </c>
      <c r="E4161">
        <v>59</v>
      </c>
      <c r="F4161">
        <v>51</v>
      </c>
      <c r="G4161" t="s">
        <v>4798</v>
      </c>
      <c r="H4161" t="s">
        <v>4805</v>
      </c>
      <c r="I4161">
        <v>13.99</v>
      </c>
      <c r="J4161">
        <v>1</v>
      </c>
      <c r="K4161">
        <v>1.97</v>
      </c>
      <c r="L4161">
        <v>0</v>
      </c>
      <c r="M4161" t="s">
        <v>4809</v>
      </c>
      <c r="N4161" t="s">
        <v>4900</v>
      </c>
      <c r="O4161" t="s">
        <v>4912</v>
      </c>
    </row>
    <row r="4162" spans="1:15" x14ac:dyDescent="0.35">
      <c r="A4162" t="s">
        <v>4101</v>
      </c>
      <c r="B4162">
        <v>40</v>
      </c>
      <c r="C4162" t="s">
        <v>4803</v>
      </c>
      <c r="D4162" t="s">
        <v>13</v>
      </c>
      <c r="E4162">
        <v>46</v>
      </c>
      <c r="F4162">
        <v>2</v>
      </c>
      <c r="G4162" t="s">
        <v>4799</v>
      </c>
      <c r="H4162" t="s">
        <v>4805</v>
      </c>
      <c r="I4162">
        <v>13.99</v>
      </c>
      <c r="J4162">
        <v>3</v>
      </c>
      <c r="K4162">
        <v>2.0299999999999998</v>
      </c>
      <c r="L4162">
        <v>1</v>
      </c>
      <c r="M4162" t="s">
        <v>4808</v>
      </c>
      <c r="N4162" t="s">
        <v>4899</v>
      </c>
      <c r="O4162" t="s">
        <v>4910</v>
      </c>
    </row>
    <row r="4163" spans="1:15" x14ac:dyDescent="0.35">
      <c r="A4163" t="s">
        <v>4102</v>
      </c>
      <c r="B4163">
        <v>43</v>
      </c>
      <c r="C4163" t="s">
        <v>4803</v>
      </c>
      <c r="D4163" t="s">
        <v>13</v>
      </c>
      <c r="E4163">
        <v>73</v>
      </c>
      <c r="F4163">
        <v>42</v>
      </c>
      <c r="G4163" t="s">
        <v>4799</v>
      </c>
      <c r="H4163" t="s">
        <v>4806</v>
      </c>
      <c r="I4163">
        <v>13.99</v>
      </c>
      <c r="J4163">
        <v>1</v>
      </c>
      <c r="K4163">
        <v>2.4300000000000002</v>
      </c>
      <c r="L4163">
        <v>0</v>
      </c>
      <c r="M4163" t="s">
        <v>4808</v>
      </c>
      <c r="N4163" t="s">
        <v>4900</v>
      </c>
      <c r="O4163" t="s">
        <v>4910</v>
      </c>
    </row>
    <row r="4164" spans="1:15" x14ac:dyDescent="0.35">
      <c r="A4164" t="s">
        <v>4103</v>
      </c>
      <c r="B4164">
        <v>49</v>
      </c>
      <c r="C4164" t="s">
        <v>4803</v>
      </c>
      <c r="D4164" t="s">
        <v>13</v>
      </c>
      <c r="E4164">
        <v>59</v>
      </c>
      <c r="F4164">
        <v>31</v>
      </c>
      <c r="G4164" t="s">
        <v>4797</v>
      </c>
      <c r="H4164" t="s">
        <v>4806</v>
      </c>
      <c r="I4164">
        <v>13.99</v>
      </c>
      <c r="J4164">
        <v>2</v>
      </c>
      <c r="K4164">
        <v>1.97</v>
      </c>
      <c r="L4164">
        <v>0</v>
      </c>
      <c r="M4164" t="s">
        <v>4808</v>
      </c>
      <c r="N4164" t="s">
        <v>4900</v>
      </c>
      <c r="O4164" t="s">
        <v>4910</v>
      </c>
    </row>
    <row r="4165" spans="1:15" x14ac:dyDescent="0.35">
      <c r="A4165" t="s">
        <v>4104</v>
      </c>
      <c r="B4165">
        <v>18</v>
      </c>
      <c r="C4165" t="s">
        <v>4802</v>
      </c>
      <c r="D4165" t="s">
        <v>13</v>
      </c>
      <c r="E4165">
        <v>57</v>
      </c>
      <c r="F4165">
        <v>0</v>
      </c>
      <c r="G4165" t="s">
        <v>4798</v>
      </c>
      <c r="H4165" t="s">
        <v>4806</v>
      </c>
      <c r="I4165">
        <v>13.99</v>
      </c>
      <c r="J4165">
        <v>3</v>
      </c>
      <c r="K4165">
        <v>1.9</v>
      </c>
      <c r="L4165">
        <v>0</v>
      </c>
      <c r="M4165" t="s">
        <v>4811</v>
      </c>
      <c r="N4165" t="s">
        <v>4900</v>
      </c>
      <c r="O4165" t="s">
        <v>4912</v>
      </c>
    </row>
    <row r="4166" spans="1:15" x14ac:dyDescent="0.35">
      <c r="A4166" t="s">
        <v>4105</v>
      </c>
      <c r="B4166">
        <v>21</v>
      </c>
      <c r="C4166" t="s">
        <v>4803</v>
      </c>
      <c r="D4166" t="s">
        <v>13</v>
      </c>
      <c r="E4166">
        <v>76</v>
      </c>
      <c r="F4166">
        <v>33</v>
      </c>
      <c r="G4166" t="s">
        <v>4798</v>
      </c>
      <c r="H4166" t="s">
        <v>4804</v>
      </c>
      <c r="I4166">
        <v>13.99</v>
      </c>
      <c r="J4166">
        <v>2</v>
      </c>
      <c r="K4166">
        <v>2.5299999999999998</v>
      </c>
      <c r="L4166">
        <v>0</v>
      </c>
      <c r="M4166" t="s">
        <v>4809</v>
      </c>
      <c r="N4166" t="s">
        <v>4900</v>
      </c>
      <c r="O4166" t="s">
        <v>4912</v>
      </c>
    </row>
    <row r="4167" spans="1:15" x14ac:dyDescent="0.35">
      <c r="A4167" t="s">
        <v>4106</v>
      </c>
      <c r="B4167">
        <v>31</v>
      </c>
      <c r="C4167" t="s">
        <v>4803</v>
      </c>
      <c r="D4167" t="s">
        <v>13</v>
      </c>
      <c r="E4167">
        <v>71</v>
      </c>
      <c r="F4167">
        <v>60</v>
      </c>
      <c r="G4167" t="s">
        <v>4799</v>
      </c>
      <c r="H4167" t="s">
        <v>4806</v>
      </c>
      <c r="I4167">
        <v>13.99</v>
      </c>
      <c r="J4167">
        <v>4</v>
      </c>
      <c r="K4167">
        <v>2.37</v>
      </c>
      <c r="L4167">
        <v>0</v>
      </c>
      <c r="M4167" t="s">
        <v>4808</v>
      </c>
      <c r="N4167" t="s">
        <v>4900</v>
      </c>
      <c r="O4167" t="s">
        <v>4912</v>
      </c>
    </row>
    <row r="4168" spans="1:15" x14ac:dyDescent="0.35">
      <c r="A4168" t="s">
        <v>4107</v>
      </c>
      <c r="B4168">
        <v>32</v>
      </c>
      <c r="C4168" t="s">
        <v>4802</v>
      </c>
      <c r="D4168" t="s">
        <v>13</v>
      </c>
      <c r="E4168">
        <v>35</v>
      </c>
      <c r="F4168">
        <v>14</v>
      </c>
      <c r="G4168" t="s">
        <v>4797</v>
      </c>
      <c r="H4168" t="s">
        <v>4806</v>
      </c>
      <c r="I4168">
        <v>13.99</v>
      </c>
      <c r="J4168">
        <v>1</v>
      </c>
      <c r="K4168">
        <v>1.17</v>
      </c>
      <c r="L4168">
        <v>0</v>
      </c>
      <c r="M4168" t="s">
        <v>4811</v>
      </c>
      <c r="N4168" t="s">
        <v>4900</v>
      </c>
      <c r="O4168" t="s">
        <v>4912</v>
      </c>
    </row>
    <row r="4169" spans="1:15" x14ac:dyDescent="0.35">
      <c r="A4169" t="s">
        <v>4108</v>
      </c>
      <c r="B4169">
        <v>26</v>
      </c>
      <c r="C4169" t="s">
        <v>4802</v>
      </c>
      <c r="D4169" t="s">
        <v>13</v>
      </c>
      <c r="E4169">
        <v>46</v>
      </c>
      <c r="F4169">
        <v>55</v>
      </c>
      <c r="G4169" t="s">
        <v>4799</v>
      </c>
      <c r="H4169" t="s">
        <v>4806</v>
      </c>
      <c r="I4169">
        <v>13.99</v>
      </c>
      <c r="J4169">
        <v>1</v>
      </c>
      <c r="K4169">
        <v>1.53</v>
      </c>
      <c r="L4169">
        <v>0</v>
      </c>
      <c r="M4169" t="s">
        <v>4809</v>
      </c>
      <c r="N4169" t="s">
        <v>4900</v>
      </c>
      <c r="O4169" t="s">
        <v>4912</v>
      </c>
    </row>
    <row r="4170" spans="1:15" x14ac:dyDescent="0.35">
      <c r="A4170" t="s">
        <v>4109</v>
      </c>
      <c r="B4170">
        <v>22</v>
      </c>
      <c r="C4170" t="s">
        <v>4803</v>
      </c>
      <c r="D4170" t="s">
        <v>15</v>
      </c>
      <c r="E4170">
        <v>83</v>
      </c>
      <c r="F4170">
        <v>5</v>
      </c>
      <c r="G4170" t="s">
        <v>4799</v>
      </c>
      <c r="H4170" t="s">
        <v>4804</v>
      </c>
      <c r="I4170">
        <v>17.989999999999998</v>
      </c>
      <c r="J4170">
        <v>3</v>
      </c>
      <c r="K4170">
        <v>2.77</v>
      </c>
      <c r="L4170">
        <v>0</v>
      </c>
      <c r="M4170" t="s">
        <v>4812</v>
      </c>
      <c r="N4170" t="s">
        <v>4900</v>
      </c>
      <c r="O4170" t="s">
        <v>4912</v>
      </c>
    </row>
    <row r="4171" spans="1:15" x14ac:dyDescent="0.35">
      <c r="A4171" t="s">
        <v>4110</v>
      </c>
      <c r="B4171">
        <v>25</v>
      </c>
      <c r="C4171" t="s">
        <v>4802</v>
      </c>
      <c r="D4171" t="s">
        <v>15</v>
      </c>
      <c r="E4171">
        <v>87</v>
      </c>
      <c r="F4171">
        <v>8</v>
      </c>
      <c r="G4171" t="s">
        <v>4799</v>
      </c>
      <c r="H4171" t="s">
        <v>4806</v>
      </c>
      <c r="I4171">
        <v>17.989999999999998</v>
      </c>
      <c r="J4171">
        <v>3</v>
      </c>
      <c r="K4171">
        <v>2.9</v>
      </c>
      <c r="L4171">
        <v>0</v>
      </c>
      <c r="M4171" t="s">
        <v>4810</v>
      </c>
      <c r="N4171" t="s">
        <v>4900</v>
      </c>
      <c r="O4171" t="s">
        <v>4912</v>
      </c>
    </row>
    <row r="4172" spans="1:15" x14ac:dyDescent="0.35">
      <c r="A4172" t="s">
        <v>4111</v>
      </c>
      <c r="B4172">
        <v>37</v>
      </c>
      <c r="C4172" t="s">
        <v>4802</v>
      </c>
      <c r="D4172" t="s">
        <v>13</v>
      </c>
      <c r="E4172">
        <v>38</v>
      </c>
      <c r="F4172">
        <v>50</v>
      </c>
      <c r="G4172" t="s">
        <v>4798</v>
      </c>
      <c r="H4172" t="s">
        <v>4804</v>
      </c>
      <c r="I4172">
        <v>13.99</v>
      </c>
      <c r="J4172">
        <v>3</v>
      </c>
      <c r="K4172">
        <v>1.27</v>
      </c>
      <c r="L4172">
        <v>0</v>
      </c>
      <c r="M4172" t="s">
        <v>4811</v>
      </c>
      <c r="N4172" t="s">
        <v>4900</v>
      </c>
      <c r="O4172" t="s">
        <v>4910</v>
      </c>
    </row>
    <row r="4173" spans="1:15" x14ac:dyDescent="0.35">
      <c r="A4173" t="s">
        <v>4112</v>
      </c>
      <c r="B4173">
        <v>54</v>
      </c>
      <c r="C4173" t="s">
        <v>4803</v>
      </c>
      <c r="D4173" t="s">
        <v>15</v>
      </c>
      <c r="E4173">
        <v>104</v>
      </c>
      <c r="F4173">
        <v>43</v>
      </c>
      <c r="G4173" t="s">
        <v>4798</v>
      </c>
      <c r="H4173" t="s">
        <v>4805</v>
      </c>
      <c r="I4173">
        <v>17.989999999999998</v>
      </c>
      <c r="J4173">
        <v>4</v>
      </c>
      <c r="K4173">
        <v>2.0299999999999998</v>
      </c>
      <c r="L4173">
        <v>1</v>
      </c>
      <c r="M4173" t="s">
        <v>4809</v>
      </c>
      <c r="N4173" t="s">
        <v>4899</v>
      </c>
      <c r="O4173" t="s">
        <v>4910</v>
      </c>
    </row>
    <row r="4174" spans="1:15" x14ac:dyDescent="0.35">
      <c r="A4174" t="s">
        <v>4113</v>
      </c>
      <c r="B4174">
        <v>30</v>
      </c>
      <c r="C4174" t="s">
        <v>4802</v>
      </c>
      <c r="D4174" t="s">
        <v>13</v>
      </c>
      <c r="E4174">
        <v>47</v>
      </c>
      <c r="F4174">
        <v>43</v>
      </c>
      <c r="G4174" t="s">
        <v>4798</v>
      </c>
      <c r="H4174" t="s">
        <v>4804</v>
      </c>
      <c r="I4174">
        <v>13.99</v>
      </c>
      <c r="J4174">
        <v>4</v>
      </c>
      <c r="K4174">
        <v>2.0299999999999998</v>
      </c>
      <c r="L4174">
        <v>1</v>
      </c>
      <c r="M4174" t="s">
        <v>4808</v>
      </c>
      <c r="N4174" t="s">
        <v>4899</v>
      </c>
      <c r="O4174" t="s">
        <v>4912</v>
      </c>
    </row>
    <row r="4175" spans="1:15" x14ac:dyDescent="0.35">
      <c r="A4175" t="s">
        <v>4114</v>
      </c>
      <c r="B4175">
        <v>31</v>
      </c>
      <c r="C4175" t="s">
        <v>4802</v>
      </c>
      <c r="D4175" t="s">
        <v>13</v>
      </c>
      <c r="E4175">
        <v>66</v>
      </c>
      <c r="F4175">
        <v>22</v>
      </c>
      <c r="G4175" t="s">
        <v>4799</v>
      </c>
      <c r="H4175" t="s">
        <v>4805</v>
      </c>
      <c r="I4175">
        <v>13.99</v>
      </c>
      <c r="J4175">
        <v>3</v>
      </c>
      <c r="K4175">
        <v>2.0299999999999998</v>
      </c>
      <c r="L4175">
        <v>0</v>
      </c>
      <c r="M4175" t="s">
        <v>4810</v>
      </c>
      <c r="N4175" t="s">
        <v>4900</v>
      </c>
      <c r="O4175" t="s">
        <v>4912</v>
      </c>
    </row>
    <row r="4176" spans="1:15" x14ac:dyDescent="0.35">
      <c r="A4176" t="s">
        <v>4115</v>
      </c>
      <c r="B4176">
        <v>46</v>
      </c>
      <c r="C4176" t="s">
        <v>4802</v>
      </c>
      <c r="D4176" t="s">
        <v>13</v>
      </c>
      <c r="E4176">
        <v>61</v>
      </c>
      <c r="F4176">
        <v>26</v>
      </c>
      <c r="G4176" t="s">
        <v>4798</v>
      </c>
      <c r="H4176" t="s">
        <v>4804</v>
      </c>
      <c r="I4176">
        <v>13.99</v>
      </c>
      <c r="J4176">
        <v>1</v>
      </c>
      <c r="K4176">
        <v>2.0299999999999998</v>
      </c>
      <c r="L4176">
        <v>0</v>
      </c>
      <c r="M4176" t="s">
        <v>4810</v>
      </c>
      <c r="N4176" t="s">
        <v>4900</v>
      </c>
      <c r="O4176" t="s">
        <v>4910</v>
      </c>
    </row>
    <row r="4177" spans="1:15" x14ac:dyDescent="0.35">
      <c r="A4177" t="s">
        <v>4116</v>
      </c>
      <c r="B4177">
        <v>34</v>
      </c>
      <c r="C4177" t="s">
        <v>4803</v>
      </c>
      <c r="D4177" t="s">
        <v>15</v>
      </c>
      <c r="E4177">
        <v>88</v>
      </c>
      <c r="F4177">
        <v>42</v>
      </c>
      <c r="G4177" t="s">
        <v>4797</v>
      </c>
      <c r="H4177" t="s">
        <v>4806</v>
      </c>
      <c r="I4177">
        <v>17.989999999999998</v>
      </c>
      <c r="J4177">
        <v>3</v>
      </c>
      <c r="K4177">
        <v>2.93</v>
      </c>
      <c r="L4177">
        <v>0</v>
      </c>
      <c r="M4177" t="s">
        <v>4811</v>
      </c>
      <c r="N4177" t="s">
        <v>4900</v>
      </c>
      <c r="O4177" t="s">
        <v>4912</v>
      </c>
    </row>
    <row r="4178" spans="1:15" x14ac:dyDescent="0.35">
      <c r="A4178" t="s">
        <v>4117</v>
      </c>
      <c r="B4178">
        <v>20</v>
      </c>
      <c r="C4178" t="s">
        <v>4803</v>
      </c>
      <c r="D4178" t="s">
        <v>15</v>
      </c>
      <c r="E4178">
        <v>54</v>
      </c>
      <c r="F4178">
        <v>20</v>
      </c>
      <c r="G4178" t="s">
        <v>4797</v>
      </c>
      <c r="H4178" t="s">
        <v>4804</v>
      </c>
      <c r="I4178">
        <v>17.989999999999998</v>
      </c>
      <c r="J4178">
        <v>3</v>
      </c>
      <c r="K4178">
        <v>1.8</v>
      </c>
      <c r="L4178">
        <v>0</v>
      </c>
      <c r="M4178" t="s">
        <v>4808</v>
      </c>
      <c r="N4178" t="s">
        <v>4900</v>
      </c>
      <c r="O4178" t="s">
        <v>4912</v>
      </c>
    </row>
    <row r="4179" spans="1:15" x14ac:dyDescent="0.35">
      <c r="A4179" t="s">
        <v>4118</v>
      </c>
      <c r="B4179">
        <v>34</v>
      </c>
      <c r="C4179" t="s">
        <v>4802</v>
      </c>
      <c r="D4179" t="s">
        <v>13</v>
      </c>
      <c r="E4179">
        <v>66</v>
      </c>
      <c r="F4179">
        <v>2</v>
      </c>
      <c r="G4179" t="s">
        <v>4798</v>
      </c>
      <c r="H4179" t="s">
        <v>4804</v>
      </c>
      <c r="I4179">
        <v>13.99</v>
      </c>
      <c r="J4179">
        <v>1</v>
      </c>
      <c r="K4179">
        <v>5</v>
      </c>
      <c r="L4179">
        <v>0</v>
      </c>
      <c r="M4179" t="s">
        <v>4808</v>
      </c>
      <c r="N4179" t="s">
        <v>4900</v>
      </c>
      <c r="O4179" t="s">
        <v>4912</v>
      </c>
    </row>
    <row r="4180" spans="1:15" x14ac:dyDescent="0.35">
      <c r="A4180" t="s">
        <v>4119</v>
      </c>
      <c r="B4180">
        <v>31</v>
      </c>
      <c r="C4180" t="s">
        <v>4802</v>
      </c>
      <c r="D4180" t="s">
        <v>13</v>
      </c>
      <c r="E4180">
        <v>69</v>
      </c>
      <c r="F4180">
        <v>57</v>
      </c>
      <c r="G4180" t="s">
        <v>4799</v>
      </c>
      <c r="H4180" t="s">
        <v>4805</v>
      </c>
      <c r="I4180">
        <v>13.99</v>
      </c>
      <c r="J4180">
        <v>4</v>
      </c>
      <c r="K4180">
        <v>2.2999999999999998</v>
      </c>
      <c r="L4180">
        <v>0</v>
      </c>
      <c r="M4180" t="s">
        <v>4810</v>
      </c>
      <c r="N4180" t="s">
        <v>4900</v>
      </c>
      <c r="O4180" t="s">
        <v>4912</v>
      </c>
    </row>
    <row r="4181" spans="1:15" x14ac:dyDescent="0.35">
      <c r="A4181" t="s">
        <v>4120</v>
      </c>
      <c r="B4181">
        <v>23</v>
      </c>
      <c r="C4181" t="s">
        <v>4802</v>
      </c>
      <c r="D4181" t="s">
        <v>13</v>
      </c>
      <c r="E4181">
        <v>64</v>
      </c>
      <c r="F4181">
        <v>7</v>
      </c>
      <c r="G4181" t="s">
        <v>4797</v>
      </c>
      <c r="H4181" t="s">
        <v>4804</v>
      </c>
      <c r="I4181">
        <v>13.99</v>
      </c>
      <c r="J4181">
        <v>1</v>
      </c>
      <c r="K4181">
        <v>2.13</v>
      </c>
      <c r="L4181">
        <v>0</v>
      </c>
      <c r="M4181" t="s">
        <v>4809</v>
      </c>
      <c r="N4181" t="s">
        <v>4900</v>
      </c>
      <c r="O4181" t="s">
        <v>4912</v>
      </c>
    </row>
    <row r="4182" spans="1:15" x14ac:dyDescent="0.35">
      <c r="A4182" t="s">
        <v>4121</v>
      </c>
      <c r="B4182">
        <v>41</v>
      </c>
      <c r="C4182" t="s">
        <v>4802</v>
      </c>
      <c r="D4182" t="s">
        <v>13</v>
      </c>
      <c r="E4182">
        <v>38</v>
      </c>
      <c r="F4182">
        <v>43</v>
      </c>
      <c r="G4182" t="s">
        <v>4799</v>
      </c>
      <c r="H4182" t="s">
        <v>4805</v>
      </c>
      <c r="I4182">
        <v>13.99</v>
      </c>
      <c r="J4182">
        <v>2</v>
      </c>
      <c r="K4182">
        <v>1.27</v>
      </c>
      <c r="L4182">
        <v>0</v>
      </c>
      <c r="M4182" t="s">
        <v>4810</v>
      </c>
      <c r="N4182" t="s">
        <v>4900</v>
      </c>
      <c r="O4182" t="s">
        <v>4910</v>
      </c>
    </row>
    <row r="4183" spans="1:15" x14ac:dyDescent="0.35">
      <c r="A4183" t="s">
        <v>4122</v>
      </c>
      <c r="B4183">
        <v>31</v>
      </c>
      <c r="C4183" t="s">
        <v>4803</v>
      </c>
      <c r="D4183" t="s">
        <v>15</v>
      </c>
      <c r="E4183">
        <v>77</v>
      </c>
      <c r="F4183">
        <v>30</v>
      </c>
      <c r="G4183" t="s">
        <v>4797</v>
      </c>
      <c r="H4183" t="s">
        <v>4806</v>
      </c>
      <c r="I4183">
        <v>17.989999999999998</v>
      </c>
      <c r="J4183">
        <v>5</v>
      </c>
      <c r="K4183">
        <v>2.0299999999999998</v>
      </c>
      <c r="L4183">
        <v>1</v>
      </c>
      <c r="M4183" t="s">
        <v>4809</v>
      </c>
      <c r="N4183" t="s">
        <v>4899</v>
      </c>
      <c r="O4183" t="s">
        <v>4912</v>
      </c>
    </row>
    <row r="4184" spans="1:15" x14ac:dyDescent="0.35">
      <c r="A4184" t="s">
        <v>4123</v>
      </c>
      <c r="B4184">
        <v>65</v>
      </c>
      <c r="C4184" t="s">
        <v>4802</v>
      </c>
      <c r="D4184" t="s">
        <v>15</v>
      </c>
      <c r="E4184">
        <v>80</v>
      </c>
      <c r="F4184">
        <v>47</v>
      </c>
      <c r="G4184" t="s">
        <v>4798</v>
      </c>
      <c r="H4184" t="s">
        <v>4804</v>
      </c>
      <c r="I4184">
        <v>17.989999999999998</v>
      </c>
      <c r="J4184">
        <v>2</v>
      </c>
      <c r="K4184">
        <v>2.0299999999999998</v>
      </c>
      <c r="L4184">
        <v>1</v>
      </c>
      <c r="M4184" t="s">
        <v>4810</v>
      </c>
      <c r="N4184" t="s">
        <v>4899</v>
      </c>
      <c r="O4184" t="s">
        <v>4911</v>
      </c>
    </row>
    <row r="4185" spans="1:15" x14ac:dyDescent="0.35">
      <c r="A4185" t="s">
        <v>4124</v>
      </c>
      <c r="B4185">
        <v>50</v>
      </c>
      <c r="C4185" t="s">
        <v>4802</v>
      </c>
      <c r="D4185" t="s">
        <v>13</v>
      </c>
      <c r="E4185">
        <v>77</v>
      </c>
      <c r="F4185">
        <v>45</v>
      </c>
      <c r="G4185" t="s">
        <v>4800</v>
      </c>
      <c r="H4185" t="s">
        <v>4806</v>
      </c>
      <c r="I4185">
        <v>13.99</v>
      </c>
      <c r="J4185">
        <v>4</v>
      </c>
      <c r="K4185">
        <v>2.57</v>
      </c>
      <c r="L4185">
        <v>0</v>
      </c>
      <c r="M4185" t="s">
        <v>4811</v>
      </c>
      <c r="N4185" t="s">
        <v>4900</v>
      </c>
      <c r="O4185" t="s">
        <v>4910</v>
      </c>
    </row>
    <row r="4186" spans="1:15" x14ac:dyDescent="0.35">
      <c r="A4186" t="s">
        <v>4125</v>
      </c>
      <c r="B4186">
        <v>18</v>
      </c>
      <c r="C4186" t="s">
        <v>4802</v>
      </c>
      <c r="D4186" t="s">
        <v>13</v>
      </c>
      <c r="E4186">
        <v>70</v>
      </c>
      <c r="F4186">
        <v>39</v>
      </c>
      <c r="G4186" t="s">
        <v>4799</v>
      </c>
      <c r="H4186" t="s">
        <v>4804</v>
      </c>
      <c r="I4186">
        <v>13.99</v>
      </c>
      <c r="J4186">
        <v>2</v>
      </c>
      <c r="K4186">
        <v>2.33</v>
      </c>
      <c r="L4186">
        <v>0</v>
      </c>
      <c r="M4186" t="s">
        <v>4812</v>
      </c>
      <c r="N4186" t="s">
        <v>4900</v>
      </c>
      <c r="O4186" t="s">
        <v>4912</v>
      </c>
    </row>
    <row r="4187" spans="1:15" x14ac:dyDescent="0.35">
      <c r="A4187" t="s">
        <v>4126</v>
      </c>
      <c r="B4187">
        <v>26</v>
      </c>
      <c r="C4187" t="s">
        <v>4803</v>
      </c>
      <c r="D4187" t="s">
        <v>13</v>
      </c>
      <c r="E4187">
        <v>63</v>
      </c>
      <c r="F4187">
        <v>18</v>
      </c>
      <c r="G4187" t="s">
        <v>4799</v>
      </c>
      <c r="H4187" t="s">
        <v>4805</v>
      </c>
      <c r="I4187">
        <v>13.99</v>
      </c>
      <c r="J4187">
        <v>2</v>
      </c>
      <c r="K4187">
        <v>2.1</v>
      </c>
      <c r="L4187">
        <v>0</v>
      </c>
      <c r="M4187" t="s">
        <v>4812</v>
      </c>
      <c r="N4187" t="s">
        <v>4900</v>
      </c>
      <c r="O4187" t="s">
        <v>4912</v>
      </c>
    </row>
    <row r="4188" spans="1:15" x14ac:dyDescent="0.35">
      <c r="A4188" t="s">
        <v>4127</v>
      </c>
      <c r="B4188">
        <v>41</v>
      </c>
      <c r="C4188" t="s">
        <v>4802</v>
      </c>
      <c r="D4188" t="s">
        <v>13</v>
      </c>
      <c r="E4188">
        <v>47</v>
      </c>
      <c r="F4188">
        <v>8</v>
      </c>
      <c r="G4188" t="s">
        <v>4798</v>
      </c>
      <c r="H4188" t="s">
        <v>4805</v>
      </c>
      <c r="I4188">
        <v>13.99</v>
      </c>
      <c r="J4188">
        <v>4</v>
      </c>
      <c r="K4188">
        <v>1.57</v>
      </c>
      <c r="L4188">
        <v>0</v>
      </c>
      <c r="M4188" t="s">
        <v>4809</v>
      </c>
      <c r="N4188" t="s">
        <v>4900</v>
      </c>
      <c r="O4188" t="s">
        <v>4910</v>
      </c>
    </row>
    <row r="4189" spans="1:15" x14ac:dyDescent="0.35">
      <c r="A4189" t="s">
        <v>4128</v>
      </c>
      <c r="B4189">
        <v>42</v>
      </c>
      <c r="C4189" t="s">
        <v>4802</v>
      </c>
      <c r="D4189" t="s">
        <v>13</v>
      </c>
      <c r="E4189">
        <v>75</v>
      </c>
      <c r="F4189">
        <v>46</v>
      </c>
      <c r="G4189" t="s">
        <v>4799</v>
      </c>
      <c r="H4189" t="s">
        <v>4804</v>
      </c>
      <c r="I4189">
        <v>13.99</v>
      </c>
      <c r="J4189">
        <v>1</v>
      </c>
      <c r="K4189">
        <v>2.5</v>
      </c>
      <c r="L4189">
        <v>0</v>
      </c>
      <c r="M4189" t="s">
        <v>4811</v>
      </c>
      <c r="N4189" t="s">
        <v>4900</v>
      </c>
      <c r="O4189" t="s">
        <v>4910</v>
      </c>
    </row>
    <row r="4190" spans="1:15" x14ac:dyDescent="0.35">
      <c r="A4190" t="s">
        <v>4129</v>
      </c>
      <c r="B4190">
        <v>36</v>
      </c>
      <c r="C4190" t="s">
        <v>4803</v>
      </c>
      <c r="D4190" t="s">
        <v>13</v>
      </c>
      <c r="E4190">
        <v>71</v>
      </c>
      <c r="F4190">
        <v>11</v>
      </c>
      <c r="G4190" t="s">
        <v>4798</v>
      </c>
      <c r="H4190" t="s">
        <v>4805</v>
      </c>
      <c r="I4190">
        <v>13.99</v>
      </c>
      <c r="J4190">
        <v>3</v>
      </c>
      <c r="K4190">
        <v>2.37</v>
      </c>
      <c r="L4190">
        <v>0</v>
      </c>
      <c r="M4190" t="s">
        <v>4812</v>
      </c>
      <c r="N4190" t="s">
        <v>4900</v>
      </c>
      <c r="O4190" t="s">
        <v>4910</v>
      </c>
    </row>
    <row r="4191" spans="1:15" x14ac:dyDescent="0.35">
      <c r="A4191" t="s">
        <v>4130</v>
      </c>
      <c r="B4191">
        <v>48</v>
      </c>
      <c r="C4191" t="s">
        <v>4803</v>
      </c>
      <c r="D4191" t="s">
        <v>13</v>
      </c>
      <c r="E4191">
        <v>74</v>
      </c>
      <c r="F4191">
        <v>5</v>
      </c>
      <c r="G4191" t="s">
        <v>4798</v>
      </c>
      <c r="H4191" t="s">
        <v>4804</v>
      </c>
      <c r="I4191">
        <v>13.99</v>
      </c>
      <c r="J4191">
        <v>3</v>
      </c>
      <c r="K4191">
        <v>2.4700000000000002</v>
      </c>
      <c r="L4191">
        <v>1</v>
      </c>
      <c r="M4191" t="s">
        <v>4812</v>
      </c>
      <c r="N4191" t="s">
        <v>4899</v>
      </c>
      <c r="O4191" t="s">
        <v>4910</v>
      </c>
    </row>
    <row r="4192" spans="1:15" x14ac:dyDescent="0.35">
      <c r="A4192" t="s">
        <v>4131</v>
      </c>
      <c r="B4192">
        <v>25</v>
      </c>
      <c r="C4192" t="s">
        <v>4802</v>
      </c>
      <c r="D4192" t="s">
        <v>15</v>
      </c>
      <c r="E4192">
        <v>69</v>
      </c>
      <c r="F4192">
        <v>52</v>
      </c>
      <c r="G4192" t="s">
        <v>4797</v>
      </c>
      <c r="H4192" t="s">
        <v>4805</v>
      </c>
      <c r="I4192">
        <v>17.989999999999998</v>
      </c>
      <c r="J4192">
        <v>3</v>
      </c>
      <c r="K4192">
        <v>2.2999999999999998</v>
      </c>
      <c r="L4192">
        <v>1</v>
      </c>
      <c r="M4192" t="s">
        <v>4810</v>
      </c>
      <c r="N4192" t="s">
        <v>4899</v>
      </c>
      <c r="O4192" t="s">
        <v>4912</v>
      </c>
    </row>
    <row r="4193" spans="1:15" x14ac:dyDescent="0.35">
      <c r="A4193" t="s">
        <v>4132</v>
      </c>
      <c r="B4193">
        <v>61</v>
      </c>
      <c r="C4193" t="s">
        <v>4802</v>
      </c>
      <c r="D4193" t="s">
        <v>13</v>
      </c>
      <c r="E4193">
        <v>75</v>
      </c>
      <c r="F4193">
        <v>9</v>
      </c>
      <c r="G4193" t="s">
        <v>4798</v>
      </c>
      <c r="H4193" t="s">
        <v>4806</v>
      </c>
      <c r="I4193">
        <v>13.99</v>
      </c>
      <c r="J4193">
        <v>3</v>
      </c>
      <c r="K4193">
        <v>2.5</v>
      </c>
      <c r="L4193">
        <v>0</v>
      </c>
      <c r="M4193" t="s">
        <v>4812</v>
      </c>
      <c r="N4193" t="s">
        <v>4900</v>
      </c>
      <c r="O4193" t="s">
        <v>4911</v>
      </c>
    </row>
    <row r="4194" spans="1:15" x14ac:dyDescent="0.35">
      <c r="A4194" t="s">
        <v>4133</v>
      </c>
      <c r="B4194">
        <v>60</v>
      </c>
      <c r="C4194" t="s">
        <v>4802</v>
      </c>
      <c r="D4194" t="s">
        <v>15</v>
      </c>
      <c r="E4194">
        <v>83</v>
      </c>
      <c r="F4194">
        <v>49</v>
      </c>
      <c r="G4194" t="s">
        <v>4798</v>
      </c>
      <c r="H4194" t="s">
        <v>4805</v>
      </c>
      <c r="I4194">
        <v>17.989999999999998</v>
      </c>
      <c r="J4194">
        <v>4</v>
      </c>
      <c r="K4194">
        <v>2.77</v>
      </c>
      <c r="L4194">
        <v>0</v>
      </c>
      <c r="M4194" t="s">
        <v>4811</v>
      </c>
      <c r="N4194" t="s">
        <v>4900</v>
      </c>
      <c r="O4194" t="s">
        <v>4911</v>
      </c>
    </row>
    <row r="4195" spans="1:15" x14ac:dyDescent="0.35">
      <c r="A4195" t="s">
        <v>4134</v>
      </c>
      <c r="B4195">
        <v>47</v>
      </c>
      <c r="C4195" t="s">
        <v>4803</v>
      </c>
      <c r="D4195" t="s">
        <v>15</v>
      </c>
      <c r="E4195">
        <v>88</v>
      </c>
      <c r="F4195">
        <v>11</v>
      </c>
      <c r="G4195" t="s">
        <v>4799</v>
      </c>
      <c r="H4195" t="s">
        <v>4805</v>
      </c>
      <c r="I4195">
        <v>17.989999999999998</v>
      </c>
      <c r="J4195">
        <v>5</v>
      </c>
      <c r="K4195">
        <v>2.93</v>
      </c>
      <c r="L4195">
        <v>0</v>
      </c>
      <c r="M4195" t="s">
        <v>4810</v>
      </c>
      <c r="N4195" t="s">
        <v>4900</v>
      </c>
      <c r="O4195" t="s">
        <v>4910</v>
      </c>
    </row>
    <row r="4196" spans="1:15" x14ac:dyDescent="0.35">
      <c r="A4196" t="s">
        <v>4135</v>
      </c>
      <c r="B4196">
        <v>19</v>
      </c>
      <c r="C4196" t="s">
        <v>4802</v>
      </c>
      <c r="D4196" t="s">
        <v>15</v>
      </c>
      <c r="E4196">
        <v>54</v>
      </c>
      <c r="F4196">
        <v>59</v>
      </c>
      <c r="G4196" t="s">
        <v>4799</v>
      </c>
      <c r="H4196" t="s">
        <v>4804</v>
      </c>
      <c r="I4196">
        <v>17.989999999999998</v>
      </c>
      <c r="J4196">
        <v>3</v>
      </c>
      <c r="K4196">
        <v>1.8</v>
      </c>
      <c r="L4196">
        <v>0</v>
      </c>
      <c r="M4196" t="s">
        <v>4811</v>
      </c>
      <c r="N4196" t="s">
        <v>4900</v>
      </c>
      <c r="O4196" t="s">
        <v>4912</v>
      </c>
    </row>
    <row r="4197" spans="1:15" x14ac:dyDescent="0.35">
      <c r="A4197" t="s">
        <v>4136</v>
      </c>
      <c r="B4197">
        <v>60</v>
      </c>
      <c r="C4197" t="s">
        <v>4803</v>
      </c>
      <c r="D4197" t="s">
        <v>15</v>
      </c>
      <c r="E4197">
        <v>51</v>
      </c>
      <c r="F4197">
        <v>22</v>
      </c>
      <c r="G4197" t="s">
        <v>4799</v>
      </c>
      <c r="H4197" t="s">
        <v>4805</v>
      </c>
      <c r="I4197">
        <v>17.989999999999998</v>
      </c>
      <c r="J4197">
        <v>2</v>
      </c>
      <c r="K4197">
        <v>1.7</v>
      </c>
      <c r="L4197">
        <v>0</v>
      </c>
      <c r="M4197" t="s">
        <v>4809</v>
      </c>
      <c r="N4197" t="s">
        <v>4900</v>
      </c>
      <c r="O4197" t="s">
        <v>4911</v>
      </c>
    </row>
    <row r="4198" spans="1:15" x14ac:dyDescent="0.35">
      <c r="A4198" t="s">
        <v>4137</v>
      </c>
      <c r="B4198">
        <v>58</v>
      </c>
      <c r="C4198" t="s">
        <v>4802</v>
      </c>
      <c r="D4198" t="s">
        <v>13</v>
      </c>
      <c r="E4198">
        <v>56</v>
      </c>
      <c r="F4198">
        <v>999</v>
      </c>
      <c r="G4198" t="s">
        <v>4799</v>
      </c>
      <c r="H4198" t="s">
        <v>4805</v>
      </c>
      <c r="I4198">
        <v>13.99</v>
      </c>
      <c r="J4198">
        <v>4</v>
      </c>
      <c r="K4198">
        <v>1.87</v>
      </c>
      <c r="L4198">
        <v>0</v>
      </c>
      <c r="M4198" t="s">
        <v>4811</v>
      </c>
      <c r="N4198" t="s">
        <v>4900</v>
      </c>
      <c r="O4198" t="s">
        <v>4911</v>
      </c>
    </row>
    <row r="4199" spans="1:15" x14ac:dyDescent="0.35">
      <c r="A4199" t="s">
        <v>4138</v>
      </c>
      <c r="B4199">
        <v>33</v>
      </c>
      <c r="C4199" t="s">
        <v>4803</v>
      </c>
      <c r="D4199" t="s">
        <v>13</v>
      </c>
      <c r="E4199">
        <v>42</v>
      </c>
      <c r="F4199">
        <v>17</v>
      </c>
      <c r="G4199" t="s">
        <v>4799</v>
      </c>
      <c r="H4199" t="s">
        <v>4805</v>
      </c>
      <c r="I4199">
        <v>13.99</v>
      </c>
      <c r="J4199">
        <v>4</v>
      </c>
      <c r="K4199">
        <v>1.4</v>
      </c>
      <c r="L4199">
        <v>0</v>
      </c>
      <c r="M4199" t="s">
        <v>4808</v>
      </c>
      <c r="N4199" t="s">
        <v>4900</v>
      </c>
      <c r="O4199" t="s">
        <v>4912</v>
      </c>
    </row>
    <row r="4200" spans="1:15" x14ac:dyDescent="0.35">
      <c r="A4200" t="s">
        <v>4139</v>
      </c>
      <c r="B4200">
        <v>43</v>
      </c>
      <c r="C4200" t="s">
        <v>4803</v>
      </c>
      <c r="D4200" t="s">
        <v>13</v>
      </c>
      <c r="E4200">
        <v>51</v>
      </c>
      <c r="F4200">
        <v>23</v>
      </c>
      <c r="G4200" t="s">
        <v>4798</v>
      </c>
      <c r="H4200" t="s">
        <v>4805</v>
      </c>
      <c r="I4200">
        <v>13.99</v>
      </c>
      <c r="J4200">
        <v>3</v>
      </c>
      <c r="K4200">
        <v>1.7</v>
      </c>
      <c r="L4200">
        <v>0</v>
      </c>
      <c r="M4200" t="s">
        <v>4811</v>
      </c>
      <c r="N4200" t="s">
        <v>4900</v>
      </c>
      <c r="O4200" t="s">
        <v>4910</v>
      </c>
    </row>
    <row r="4201" spans="1:15" x14ac:dyDescent="0.35">
      <c r="A4201" t="s">
        <v>4140</v>
      </c>
      <c r="B4201">
        <v>59</v>
      </c>
      <c r="C4201" t="s">
        <v>4802</v>
      </c>
      <c r="D4201" t="s">
        <v>15</v>
      </c>
      <c r="E4201">
        <v>98</v>
      </c>
      <c r="F4201">
        <v>19</v>
      </c>
      <c r="G4201" t="s">
        <v>4798</v>
      </c>
      <c r="H4201" t="s">
        <v>4804</v>
      </c>
      <c r="I4201">
        <v>17.989999999999998</v>
      </c>
      <c r="J4201">
        <v>3</v>
      </c>
      <c r="K4201">
        <v>3.27</v>
      </c>
      <c r="L4201">
        <v>0</v>
      </c>
      <c r="M4201" t="s">
        <v>4811</v>
      </c>
      <c r="N4201" t="s">
        <v>4900</v>
      </c>
      <c r="O4201" t="s">
        <v>4911</v>
      </c>
    </row>
    <row r="4202" spans="1:15" x14ac:dyDescent="0.35">
      <c r="A4202" t="s">
        <v>4141</v>
      </c>
      <c r="B4202">
        <v>23</v>
      </c>
      <c r="C4202" t="s">
        <v>4802</v>
      </c>
      <c r="D4202" t="s">
        <v>15</v>
      </c>
      <c r="E4202">
        <v>103</v>
      </c>
      <c r="F4202">
        <v>20</v>
      </c>
      <c r="G4202" t="s">
        <v>4797</v>
      </c>
      <c r="H4202" t="s">
        <v>4804</v>
      </c>
      <c r="I4202">
        <v>17.989999999999998</v>
      </c>
      <c r="J4202">
        <v>2</v>
      </c>
      <c r="K4202">
        <v>3.43</v>
      </c>
      <c r="L4202">
        <v>0</v>
      </c>
      <c r="M4202" t="s">
        <v>4808</v>
      </c>
      <c r="N4202" t="s">
        <v>4900</v>
      </c>
      <c r="O4202" t="s">
        <v>4912</v>
      </c>
    </row>
    <row r="4203" spans="1:15" x14ac:dyDescent="0.35">
      <c r="A4203" t="s">
        <v>4142</v>
      </c>
      <c r="B4203">
        <v>39</v>
      </c>
      <c r="C4203" t="s">
        <v>4803</v>
      </c>
      <c r="D4203" t="s">
        <v>13</v>
      </c>
      <c r="E4203">
        <v>39</v>
      </c>
      <c r="F4203">
        <v>10</v>
      </c>
      <c r="G4203" t="s">
        <v>4798</v>
      </c>
      <c r="H4203" t="s">
        <v>4805</v>
      </c>
      <c r="I4203">
        <v>13.99</v>
      </c>
      <c r="J4203">
        <v>4</v>
      </c>
      <c r="K4203">
        <v>1.3</v>
      </c>
      <c r="L4203">
        <v>0</v>
      </c>
      <c r="M4203" t="s">
        <v>4812</v>
      </c>
      <c r="N4203" t="s">
        <v>4900</v>
      </c>
      <c r="O4203" t="s">
        <v>4910</v>
      </c>
    </row>
    <row r="4204" spans="1:15" x14ac:dyDescent="0.35">
      <c r="A4204" t="s">
        <v>4143</v>
      </c>
      <c r="B4204">
        <v>18</v>
      </c>
      <c r="C4204" t="s">
        <v>4802</v>
      </c>
      <c r="D4204" t="s">
        <v>13</v>
      </c>
      <c r="E4204">
        <v>34</v>
      </c>
      <c r="F4204">
        <v>43</v>
      </c>
      <c r="G4204" t="s">
        <v>4797</v>
      </c>
      <c r="H4204" t="s">
        <v>4804</v>
      </c>
      <c r="I4204">
        <v>13.99</v>
      </c>
      <c r="J4204">
        <v>1</v>
      </c>
      <c r="K4204">
        <v>1.1299999999999999</v>
      </c>
      <c r="L4204">
        <v>0</v>
      </c>
      <c r="M4204" t="s">
        <v>4811</v>
      </c>
      <c r="N4204" t="s">
        <v>4900</v>
      </c>
      <c r="O4204" t="s">
        <v>4912</v>
      </c>
    </row>
    <row r="4205" spans="1:15" x14ac:dyDescent="0.35">
      <c r="A4205" t="s">
        <v>4144</v>
      </c>
      <c r="B4205">
        <v>47</v>
      </c>
      <c r="C4205" t="s">
        <v>4803</v>
      </c>
      <c r="D4205" t="s">
        <v>13</v>
      </c>
      <c r="E4205">
        <v>30</v>
      </c>
      <c r="F4205">
        <v>46</v>
      </c>
      <c r="G4205" t="s">
        <v>4799</v>
      </c>
      <c r="H4205" t="s">
        <v>4806</v>
      </c>
      <c r="I4205">
        <v>13.99</v>
      </c>
      <c r="J4205">
        <v>1</v>
      </c>
      <c r="K4205">
        <v>1</v>
      </c>
      <c r="L4205">
        <v>0</v>
      </c>
      <c r="M4205" t="s">
        <v>4812</v>
      </c>
      <c r="N4205" t="s">
        <v>4900</v>
      </c>
      <c r="O4205" t="s">
        <v>4910</v>
      </c>
    </row>
    <row r="4206" spans="1:15" x14ac:dyDescent="0.35">
      <c r="A4206" t="s">
        <v>4145</v>
      </c>
      <c r="B4206">
        <v>56</v>
      </c>
      <c r="C4206" t="s">
        <v>4802</v>
      </c>
      <c r="D4206" t="s">
        <v>13</v>
      </c>
      <c r="E4206">
        <v>42</v>
      </c>
      <c r="F4206">
        <v>17</v>
      </c>
      <c r="G4206" t="s">
        <v>4797</v>
      </c>
      <c r="H4206" t="s">
        <v>4805</v>
      </c>
      <c r="I4206">
        <v>13.99</v>
      </c>
      <c r="J4206">
        <v>4</v>
      </c>
      <c r="K4206">
        <v>1.4</v>
      </c>
      <c r="L4206">
        <v>0</v>
      </c>
      <c r="M4206" t="s">
        <v>4810</v>
      </c>
      <c r="N4206" t="s">
        <v>4900</v>
      </c>
      <c r="O4206" t="s">
        <v>4911</v>
      </c>
    </row>
    <row r="4207" spans="1:15" x14ac:dyDescent="0.35">
      <c r="A4207" t="s">
        <v>4146</v>
      </c>
      <c r="B4207">
        <v>46</v>
      </c>
      <c r="C4207" t="s">
        <v>4803</v>
      </c>
      <c r="D4207" t="s">
        <v>13</v>
      </c>
      <c r="E4207">
        <v>51</v>
      </c>
      <c r="F4207">
        <v>20</v>
      </c>
      <c r="G4207" t="s">
        <v>4797</v>
      </c>
      <c r="H4207" t="s">
        <v>4806</v>
      </c>
      <c r="I4207">
        <v>13.99</v>
      </c>
      <c r="J4207">
        <v>3</v>
      </c>
      <c r="K4207">
        <v>1.7</v>
      </c>
      <c r="L4207">
        <v>0</v>
      </c>
      <c r="M4207" t="s">
        <v>4810</v>
      </c>
      <c r="N4207" t="s">
        <v>4900</v>
      </c>
      <c r="O4207" t="s">
        <v>4910</v>
      </c>
    </row>
    <row r="4208" spans="1:15" x14ac:dyDescent="0.35">
      <c r="A4208" t="s">
        <v>4147</v>
      </c>
      <c r="B4208">
        <v>29</v>
      </c>
      <c r="C4208" t="s">
        <v>4802</v>
      </c>
      <c r="D4208" t="s">
        <v>13</v>
      </c>
      <c r="E4208">
        <v>74</v>
      </c>
      <c r="F4208">
        <v>25</v>
      </c>
      <c r="G4208" t="s">
        <v>4799</v>
      </c>
      <c r="H4208" t="s">
        <v>4806</v>
      </c>
      <c r="I4208">
        <v>13.99</v>
      </c>
      <c r="J4208">
        <v>1</v>
      </c>
      <c r="K4208">
        <v>2.4700000000000002</v>
      </c>
      <c r="L4208">
        <v>0</v>
      </c>
      <c r="M4208" t="s">
        <v>4808</v>
      </c>
      <c r="N4208" t="s">
        <v>4900</v>
      </c>
      <c r="O4208" t="s">
        <v>4912</v>
      </c>
    </row>
    <row r="4209" spans="1:15" x14ac:dyDescent="0.35">
      <c r="A4209" t="s">
        <v>4148</v>
      </c>
      <c r="B4209">
        <v>31</v>
      </c>
      <c r="C4209" t="s">
        <v>4802</v>
      </c>
      <c r="D4209" t="s">
        <v>13</v>
      </c>
      <c r="E4209">
        <v>73</v>
      </c>
      <c r="F4209">
        <v>36</v>
      </c>
      <c r="G4209" t="s">
        <v>4797</v>
      </c>
      <c r="H4209" t="s">
        <v>4806</v>
      </c>
      <c r="I4209">
        <v>13.99</v>
      </c>
      <c r="J4209">
        <v>2</v>
      </c>
      <c r="K4209">
        <v>2.4300000000000002</v>
      </c>
      <c r="L4209">
        <v>1</v>
      </c>
      <c r="M4209" t="s">
        <v>4810</v>
      </c>
      <c r="N4209" t="s">
        <v>4899</v>
      </c>
      <c r="O4209" t="s">
        <v>4912</v>
      </c>
    </row>
    <row r="4210" spans="1:15" x14ac:dyDescent="0.35">
      <c r="A4210" t="s">
        <v>4149</v>
      </c>
      <c r="B4210">
        <v>60</v>
      </c>
      <c r="C4210" t="s">
        <v>4803</v>
      </c>
      <c r="D4210" t="s">
        <v>13</v>
      </c>
      <c r="E4210">
        <v>48</v>
      </c>
      <c r="F4210">
        <v>22</v>
      </c>
      <c r="G4210" t="s">
        <v>4798</v>
      </c>
      <c r="H4210" t="s">
        <v>4804</v>
      </c>
      <c r="I4210">
        <v>13.99</v>
      </c>
      <c r="J4210">
        <v>4</v>
      </c>
      <c r="K4210">
        <v>1.6</v>
      </c>
      <c r="L4210">
        <v>0</v>
      </c>
      <c r="M4210" t="s">
        <v>4808</v>
      </c>
      <c r="N4210" t="s">
        <v>4900</v>
      </c>
      <c r="O4210" t="s">
        <v>4911</v>
      </c>
    </row>
    <row r="4211" spans="1:15" x14ac:dyDescent="0.35">
      <c r="A4211" t="s">
        <v>4150</v>
      </c>
      <c r="B4211">
        <v>51</v>
      </c>
      <c r="C4211" t="s">
        <v>4802</v>
      </c>
      <c r="D4211" t="s">
        <v>13</v>
      </c>
      <c r="E4211">
        <v>60</v>
      </c>
      <c r="F4211">
        <v>18</v>
      </c>
      <c r="G4211" t="s">
        <v>4798</v>
      </c>
      <c r="H4211" t="s">
        <v>4805</v>
      </c>
      <c r="I4211">
        <v>13.99</v>
      </c>
      <c r="J4211">
        <v>2</v>
      </c>
      <c r="K4211">
        <v>2</v>
      </c>
      <c r="L4211">
        <v>0</v>
      </c>
      <c r="M4211" t="s">
        <v>4809</v>
      </c>
      <c r="N4211" t="s">
        <v>4900</v>
      </c>
      <c r="O4211" t="s">
        <v>4910</v>
      </c>
    </row>
    <row r="4212" spans="1:15" x14ac:dyDescent="0.35">
      <c r="A4212" t="s">
        <v>4151</v>
      </c>
      <c r="B4212">
        <v>45</v>
      </c>
      <c r="C4212" t="s">
        <v>4803</v>
      </c>
      <c r="D4212" t="s">
        <v>13</v>
      </c>
      <c r="E4212">
        <v>34</v>
      </c>
      <c r="F4212">
        <v>47</v>
      </c>
      <c r="G4212" t="s">
        <v>4799</v>
      </c>
      <c r="H4212" t="s">
        <v>4805</v>
      </c>
      <c r="I4212">
        <v>13.99</v>
      </c>
      <c r="J4212">
        <v>1</v>
      </c>
      <c r="K4212">
        <v>1.1299999999999999</v>
      </c>
      <c r="L4212">
        <v>1</v>
      </c>
      <c r="M4212" t="s">
        <v>4809</v>
      </c>
      <c r="N4212" t="s">
        <v>4899</v>
      </c>
      <c r="O4212" t="s">
        <v>4910</v>
      </c>
    </row>
    <row r="4213" spans="1:15" x14ac:dyDescent="0.35">
      <c r="A4213" t="s">
        <v>4152</v>
      </c>
      <c r="B4213">
        <v>54</v>
      </c>
      <c r="C4213" t="s">
        <v>4802</v>
      </c>
      <c r="D4213" t="s">
        <v>13</v>
      </c>
      <c r="E4213">
        <v>48</v>
      </c>
      <c r="F4213">
        <v>51</v>
      </c>
      <c r="G4213" t="s">
        <v>4797</v>
      </c>
      <c r="H4213" t="s">
        <v>4804</v>
      </c>
      <c r="I4213">
        <v>13.99</v>
      </c>
      <c r="J4213">
        <v>3</v>
      </c>
      <c r="K4213">
        <v>1.6</v>
      </c>
      <c r="L4213">
        <v>1</v>
      </c>
      <c r="M4213" t="s">
        <v>4812</v>
      </c>
      <c r="N4213" t="s">
        <v>4899</v>
      </c>
      <c r="O4213" t="s">
        <v>4910</v>
      </c>
    </row>
    <row r="4214" spans="1:15" x14ac:dyDescent="0.35">
      <c r="A4214" t="s">
        <v>4153</v>
      </c>
      <c r="B4214">
        <v>60</v>
      </c>
      <c r="C4214" t="s">
        <v>4802</v>
      </c>
      <c r="D4214" t="s">
        <v>15</v>
      </c>
      <c r="E4214">
        <v>96</v>
      </c>
      <c r="F4214">
        <v>5</v>
      </c>
      <c r="G4214" t="s">
        <v>4798</v>
      </c>
      <c r="H4214" t="s">
        <v>4805</v>
      </c>
      <c r="I4214">
        <v>17.989999999999998</v>
      </c>
      <c r="J4214">
        <v>2</v>
      </c>
      <c r="K4214">
        <v>3.2</v>
      </c>
      <c r="L4214">
        <v>0</v>
      </c>
      <c r="M4214" t="s">
        <v>4809</v>
      </c>
      <c r="N4214" t="s">
        <v>4900</v>
      </c>
      <c r="O4214" t="s">
        <v>4911</v>
      </c>
    </row>
    <row r="4215" spans="1:15" x14ac:dyDescent="0.35">
      <c r="A4215" t="s">
        <v>4154</v>
      </c>
      <c r="B4215">
        <v>42</v>
      </c>
      <c r="C4215" t="s">
        <v>4802</v>
      </c>
      <c r="D4215" t="s">
        <v>13</v>
      </c>
      <c r="E4215">
        <v>60</v>
      </c>
      <c r="F4215">
        <v>37</v>
      </c>
      <c r="G4215" t="s">
        <v>4797</v>
      </c>
      <c r="H4215" t="s">
        <v>4806</v>
      </c>
      <c r="I4215">
        <v>13.99</v>
      </c>
      <c r="J4215">
        <v>2</v>
      </c>
      <c r="K4215">
        <v>2</v>
      </c>
      <c r="L4215">
        <v>1</v>
      </c>
      <c r="M4215" t="s">
        <v>4811</v>
      </c>
      <c r="N4215" t="s">
        <v>4899</v>
      </c>
      <c r="O4215" t="s">
        <v>4910</v>
      </c>
    </row>
    <row r="4216" spans="1:15" x14ac:dyDescent="0.35">
      <c r="A4216" t="s">
        <v>4155</v>
      </c>
      <c r="B4216">
        <v>64</v>
      </c>
      <c r="C4216" t="s">
        <v>4803</v>
      </c>
      <c r="D4216" t="s">
        <v>13</v>
      </c>
      <c r="E4216">
        <v>67</v>
      </c>
      <c r="F4216">
        <v>35</v>
      </c>
      <c r="G4216" t="s">
        <v>4798</v>
      </c>
      <c r="H4216" t="s">
        <v>4805</v>
      </c>
      <c r="I4216">
        <v>13.99</v>
      </c>
      <c r="J4216">
        <v>1</v>
      </c>
      <c r="K4216">
        <v>2.23</v>
      </c>
      <c r="L4216">
        <v>0</v>
      </c>
      <c r="M4216" t="s">
        <v>4810</v>
      </c>
      <c r="N4216" t="s">
        <v>4900</v>
      </c>
      <c r="O4216" t="s">
        <v>4911</v>
      </c>
    </row>
    <row r="4217" spans="1:15" x14ac:dyDescent="0.35">
      <c r="A4217" t="s">
        <v>4156</v>
      </c>
      <c r="B4217">
        <v>46</v>
      </c>
      <c r="C4217" t="s">
        <v>4802</v>
      </c>
      <c r="D4217" t="s">
        <v>13</v>
      </c>
      <c r="E4217">
        <v>35</v>
      </c>
      <c r="F4217">
        <v>5</v>
      </c>
      <c r="G4217" t="s">
        <v>4799</v>
      </c>
      <c r="H4217" t="s">
        <v>4806</v>
      </c>
      <c r="I4217">
        <v>13.99</v>
      </c>
      <c r="J4217">
        <v>1</v>
      </c>
      <c r="K4217">
        <v>1.17</v>
      </c>
      <c r="L4217">
        <v>0</v>
      </c>
      <c r="M4217" t="s">
        <v>4810</v>
      </c>
      <c r="N4217" t="s">
        <v>4900</v>
      </c>
      <c r="O4217" t="s">
        <v>4910</v>
      </c>
    </row>
    <row r="4218" spans="1:15" x14ac:dyDescent="0.35">
      <c r="A4218" t="s">
        <v>4157</v>
      </c>
      <c r="B4218">
        <v>43</v>
      </c>
      <c r="C4218" t="s">
        <v>4802</v>
      </c>
      <c r="D4218" t="s">
        <v>13</v>
      </c>
      <c r="E4218">
        <v>66</v>
      </c>
      <c r="F4218">
        <v>31</v>
      </c>
      <c r="G4218" t="s">
        <v>4798</v>
      </c>
      <c r="H4218" t="s">
        <v>4805</v>
      </c>
      <c r="I4218">
        <v>13.99</v>
      </c>
      <c r="J4218">
        <v>3</v>
      </c>
      <c r="K4218">
        <v>2.2000000000000002</v>
      </c>
      <c r="L4218">
        <v>0</v>
      </c>
      <c r="M4218" t="s">
        <v>4810</v>
      </c>
      <c r="N4218" t="s">
        <v>4900</v>
      </c>
      <c r="O4218" t="s">
        <v>4910</v>
      </c>
    </row>
    <row r="4219" spans="1:15" x14ac:dyDescent="0.35">
      <c r="A4219" t="s">
        <v>4158</v>
      </c>
      <c r="B4219">
        <v>45</v>
      </c>
      <c r="C4219" t="s">
        <v>4802</v>
      </c>
      <c r="D4219" t="s">
        <v>13</v>
      </c>
      <c r="E4219">
        <v>62</v>
      </c>
      <c r="F4219">
        <v>49</v>
      </c>
      <c r="G4219" t="s">
        <v>4799</v>
      </c>
      <c r="H4219" t="s">
        <v>4806</v>
      </c>
      <c r="I4219">
        <v>13.99</v>
      </c>
      <c r="J4219">
        <v>4</v>
      </c>
      <c r="K4219">
        <v>2.0699999999999998</v>
      </c>
      <c r="L4219">
        <v>0</v>
      </c>
      <c r="M4219" t="s">
        <v>4811</v>
      </c>
      <c r="N4219" t="s">
        <v>4900</v>
      </c>
      <c r="O4219" t="s">
        <v>4910</v>
      </c>
    </row>
    <row r="4220" spans="1:15" x14ac:dyDescent="0.35">
      <c r="A4220" t="s">
        <v>4159</v>
      </c>
      <c r="B4220">
        <v>28</v>
      </c>
      <c r="C4220" t="s">
        <v>4802</v>
      </c>
      <c r="D4220" t="s">
        <v>13</v>
      </c>
      <c r="E4220">
        <v>41</v>
      </c>
      <c r="F4220">
        <v>41</v>
      </c>
      <c r="G4220" t="s">
        <v>4799</v>
      </c>
      <c r="H4220" t="s">
        <v>4804</v>
      </c>
      <c r="I4220">
        <v>13.99</v>
      </c>
      <c r="J4220">
        <v>1</v>
      </c>
      <c r="K4220">
        <v>2.0299999999999998</v>
      </c>
      <c r="L4220">
        <v>0</v>
      </c>
      <c r="M4220" t="s">
        <v>4810</v>
      </c>
      <c r="N4220" t="s">
        <v>4900</v>
      </c>
      <c r="O4220" t="s">
        <v>4912</v>
      </c>
    </row>
    <row r="4221" spans="1:15" x14ac:dyDescent="0.35">
      <c r="A4221" t="s">
        <v>4160</v>
      </c>
      <c r="B4221">
        <v>44</v>
      </c>
      <c r="C4221" t="s">
        <v>4803</v>
      </c>
      <c r="D4221" t="s">
        <v>13</v>
      </c>
      <c r="E4221">
        <v>31</v>
      </c>
      <c r="F4221">
        <v>57</v>
      </c>
      <c r="G4221" t="s">
        <v>4798</v>
      </c>
      <c r="H4221" t="s">
        <v>4805</v>
      </c>
      <c r="I4221">
        <v>13.99</v>
      </c>
      <c r="J4221">
        <v>4</v>
      </c>
      <c r="K4221">
        <v>1.03</v>
      </c>
      <c r="L4221">
        <v>1</v>
      </c>
      <c r="M4221" t="s">
        <v>4809</v>
      </c>
      <c r="N4221" t="s">
        <v>4899</v>
      </c>
      <c r="O4221" t="s">
        <v>4910</v>
      </c>
    </row>
    <row r="4222" spans="1:15" x14ac:dyDescent="0.35">
      <c r="A4222" t="s">
        <v>4161</v>
      </c>
      <c r="B4222">
        <v>52</v>
      </c>
      <c r="C4222" t="s">
        <v>4803</v>
      </c>
      <c r="D4222" t="s">
        <v>13</v>
      </c>
      <c r="E4222">
        <v>53</v>
      </c>
      <c r="F4222">
        <v>999</v>
      </c>
      <c r="G4222" t="s">
        <v>4798</v>
      </c>
      <c r="H4222" t="s">
        <v>4805</v>
      </c>
      <c r="I4222">
        <v>13.99</v>
      </c>
      <c r="J4222">
        <v>4</v>
      </c>
      <c r="K4222">
        <v>1.77</v>
      </c>
      <c r="L4222">
        <v>0</v>
      </c>
      <c r="M4222" t="s">
        <v>4812</v>
      </c>
      <c r="N4222" t="s">
        <v>4900</v>
      </c>
      <c r="O4222" t="s">
        <v>4910</v>
      </c>
    </row>
    <row r="4223" spans="1:15" x14ac:dyDescent="0.35">
      <c r="A4223" t="s">
        <v>4162</v>
      </c>
      <c r="B4223">
        <v>53</v>
      </c>
      <c r="C4223" t="s">
        <v>4802</v>
      </c>
      <c r="D4223" t="s">
        <v>15</v>
      </c>
      <c r="E4223">
        <v>120</v>
      </c>
      <c r="F4223">
        <v>24</v>
      </c>
      <c r="G4223" t="s">
        <v>4798</v>
      </c>
      <c r="H4223" t="s">
        <v>4805</v>
      </c>
      <c r="I4223">
        <v>17.989999999999998</v>
      </c>
      <c r="J4223">
        <v>5</v>
      </c>
      <c r="K4223">
        <v>4</v>
      </c>
      <c r="L4223">
        <v>0</v>
      </c>
      <c r="M4223" t="s">
        <v>4810</v>
      </c>
      <c r="N4223" t="s">
        <v>4900</v>
      </c>
      <c r="O4223" t="s">
        <v>4910</v>
      </c>
    </row>
    <row r="4224" spans="1:15" x14ac:dyDescent="0.35">
      <c r="A4224" t="s">
        <v>4163</v>
      </c>
      <c r="B4224">
        <v>53</v>
      </c>
      <c r="C4224" t="s">
        <v>4802</v>
      </c>
      <c r="D4224" t="s">
        <v>15</v>
      </c>
      <c r="E4224">
        <v>62</v>
      </c>
      <c r="F4224">
        <v>28</v>
      </c>
      <c r="G4224" t="s">
        <v>4799</v>
      </c>
      <c r="H4224" t="s">
        <v>4806</v>
      </c>
      <c r="I4224">
        <v>17.989999999999998</v>
      </c>
      <c r="J4224">
        <v>4</v>
      </c>
      <c r="K4224">
        <v>2.0699999999999998</v>
      </c>
      <c r="L4224">
        <v>0</v>
      </c>
      <c r="M4224" t="s">
        <v>4812</v>
      </c>
      <c r="N4224" t="s">
        <v>4900</v>
      </c>
      <c r="O4224" t="s">
        <v>4910</v>
      </c>
    </row>
    <row r="4225" spans="1:15" x14ac:dyDescent="0.35">
      <c r="A4225" t="s">
        <v>4164</v>
      </c>
      <c r="B4225">
        <v>62</v>
      </c>
      <c r="C4225" t="s">
        <v>4803</v>
      </c>
      <c r="D4225" t="s">
        <v>13</v>
      </c>
      <c r="E4225">
        <v>66</v>
      </c>
      <c r="F4225">
        <v>27</v>
      </c>
      <c r="G4225" t="s">
        <v>4799</v>
      </c>
      <c r="H4225" t="s">
        <v>4806</v>
      </c>
      <c r="I4225">
        <v>13.99</v>
      </c>
      <c r="J4225">
        <v>4</v>
      </c>
      <c r="K4225">
        <v>2.2000000000000002</v>
      </c>
      <c r="L4225">
        <v>0</v>
      </c>
      <c r="M4225" t="s">
        <v>4808</v>
      </c>
      <c r="N4225" t="s">
        <v>4900</v>
      </c>
      <c r="O4225" t="s">
        <v>4911</v>
      </c>
    </row>
    <row r="4226" spans="1:15" x14ac:dyDescent="0.35">
      <c r="A4226" t="s">
        <v>4165</v>
      </c>
      <c r="B4226">
        <v>18</v>
      </c>
      <c r="C4226" t="s">
        <v>4802</v>
      </c>
      <c r="D4226" t="s">
        <v>15</v>
      </c>
      <c r="E4226">
        <v>83</v>
      </c>
      <c r="F4226">
        <v>45</v>
      </c>
      <c r="G4226" t="s">
        <v>4797</v>
      </c>
      <c r="H4226" t="s">
        <v>4805</v>
      </c>
      <c r="I4226">
        <v>17.989999999999998</v>
      </c>
      <c r="J4226">
        <v>5</v>
      </c>
      <c r="K4226">
        <v>2.77</v>
      </c>
      <c r="L4226">
        <v>1</v>
      </c>
      <c r="M4226" t="s">
        <v>4810</v>
      </c>
      <c r="N4226" t="s">
        <v>4899</v>
      </c>
      <c r="O4226" t="s">
        <v>4912</v>
      </c>
    </row>
    <row r="4227" spans="1:15" x14ac:dyDescent="0.35">
      <c r="A4227" t="s">
        <v>4166</v>
      </c>
      <c r="B4227">
        <v>52</v>
      </c>
      <c r="C4227" t="s">
        <v>4803</v>
      </c>
      <c r="D4227" t="s">
        <v>15</v>
      </c>
      <c r="E4227">
        <v>50</v>
      </c>
      <c r="F4227">
        <v>18</v>
      </c>
      <c r="G4227" t="s">
        <v>4797</v>
      </c>
      <c r="H4227" t="s">
        <v>4806</v>
      </c>
      <c r="I4227">
        <v>17.989999999999998</v>
      </c>
      <c r="J4227">
        <v>2</v>
      </c>
      <c r="K4227">
        <v>1.67</v>
      </c>
      <c r="L4227">
        <v>0</v>
      </c>
      <c r="M4227" t="s">
        <v>4810</v>
      </c>
      <c r="N4227" t="s">
        <v>4900</v>
      </c>
      <c r="O4227" t="s">
        <v>4910</v>
      </c>
    </row>
    <row r="4228" spans="1:15" x14ac:dyDescent="0.35">
      <c r="A4228" t="s">
        <v>4167</v>
      </c>
      <c r="B4228">
        <v>60</v>
      </c>
      <c r="C4228" t="s">
        <v>4803</v>
      </c>
      <c r="D4228" t="s">
        <v>15</v>
      </c>
      <c r="E4228">
        <v>33</v>
      </c>
      <c r="F4228">
        <v>0</v>
      </c>
      <c r="G4228" t="s">
        <v>4799</v>
      </c>
      <c r="H4228" t="s">
        <v>4805</v>
      </c>
      <c r="I4228">
        <v>17.989999999999998</v>
      </c>
      <c r="J4228">
        <v>1</v>
      </c>
      <c r="K4228">
        <v>1.1000000000000001</v>
      </c>
      <c r="L4228">
        <v>0</v>
      </c>
      <c r="M4228" t="s">
        <v>4812</v>
      </c>
      <c r="N4228" t="s">
        <v>4900</v>
      </c>
      <c r="O4228" t="s">
        <v>4911</v>
      </c>
    </row>
    <row r="4229" spans="1:15" x14ac:dyDescent="0.35">
      <c r="A4229" t="s">
        <v>4168</v>
      </c>
      <c r="B4229">
        <v>27</v>
      </c>
      <c r="C4229" t="s">
        <v>4802</v>
      </c>
      <c r="D4229" t="s">
        <v>13</v>
      </c>
      <c r="E4229">
        <v>74</v>
      </c>
      <c r="F4229">
        <v>35</v>
      </c>
      <c r="G4229" t="s">
        <v>4798</v>
      </c>
      <c r="H4229" t="s">
        <v>4806</v>
      </c>
      <c r="I4229">
        <v>13.99</v>
      </c>
      <c r="J4229">
        <v>2</v>
      </c>
      <c r="K4229">
        <v>5</v>
      </c>
      <c r="L4229">
        <v>0</v>
      </c>
      <c r="M4229" t="s">
        <v>4810</v>
      </c>
      <c r="N4229" t="s">
        <v>4900</v>
      </c>
      <c r="O4229" t="s">
        <v>4912</v>
      </c>
    </row>
    <row r="4230" spans="1:15" x14ac:dyDescent="0.35">
      <c r="A4230" t="s">
        <v>4169</v>
      </c>
      <c r="B4230">
        <v>26</v>
      </c>
      <c r="C4230" t="s">
        <v>4802</v>
      </c>
      <c r="D4230" t="s">
        <v>13</v>
      </c>
      <c r="E4230">
        <v>33</v>
      </c>
      <c r="F4230">
        <v>56</v>
      </c>
      <c r="G4230" t="s">
        <v>4799</v>
      </c>
      <c r="H4230" t="s">
        <v>4805</v>
      </c>
      <c r="I4230">
        <v>13.99</v>
      </c>
      <c r="J4230">
        <v>3</v>
      </c>
      <c r="K4230">
        <v>1.1000000000000001</v>
      </c>
      <c r="L4230">
        <v>1</v>
      </c>
      <c r="M4230" t="s">
        <v>4810</v>
      </c>
      <c r="N4230" t="s">
        <v>4899</v>
      </c>
      <c r="O4230" t="s">
        <v>4912</v>
      </c>
    </row>
    <row r="4231" spans="1:15" x14ac:dyDescent="0.35">
      <c r="A4231" t="s">
        <v>4170</v>
      </c>
      <c r="B4231">
        <v>53</v>
      </c>
      <c r="C4231" t="s">
        <v>4802</v>
      </c>
      <c r="D4231" t="s">
        <v>13</v>
      </c>
      <c r="E4231">
        <v>42</v>
      </c>
      <c r="F4231">
        <v>41</v>
      </c>
      <c r="G4231" t="s">
        <v>4797</v>
      </c>
      <c r="H4231" t="s">
        <v>4805</v>
      </c>
      <c r="I4231">
        <v>13.99</v>
      </c>
      <c r="J4231">
        <v>1</v>
      </c>
      <c r="K4231">
        <v>1.4</v>
      </c>
      <c r="L4231">
        <v>0</v>
      </c>
      <c r="M4231" t="s">
        <v>4810</v>
      </c>
      <c r="N4231" t="s">
        <v>4900</v>
      </c>
      <c r="O4231" t="s">
        <v>4910</v>
      </c>
    </row>
    <row r="4232" spans="1:15" x14ac:dyDescent="0.35">
      <c r="A4232" t="s">
        <v>4171</v>
      </c>
      <c r="B4232">
        <v>24</v>
      </c>
      <c r="C4232" t="s">
        <v>4802</v>
      </c>
      <c r="D4232" t="s">
        <v>13</v>
      </c>
      <c r="E4232">
        <v>34</v>
      </c>
      <c r="F4232">
        <v>56</v>
      </c>
      <c r="G4232" t="s">
        <v>4797</v>
      </c>
      <c r="H4232" t="s">
        <v>4804</v>
      </c>
      <c r="I4232">
        <v>13.99</v>
      </c>
      <c r="J4232">
        <v>4</v>
      </c>
      <c r="K4232">
        <v>1.1299999999999999</v>
      </c>
      <c r="L4232">
        <v>1</v>
      </c>
      <c r="M4232" t="s">
        <v>4811</v>
      </c>
      <c r="N4232" t="s">
        <v>4899</v>
      </c>
      <c r="O4232" t="s">
        <v>4912</v>
      </c>
    </row>
    <row r="4233" spans="1:15" x14ac:dyDescent="0.35">
      <c r="A4233" t="s">
        <v>4172</v>
      </c>
      <c r="B4233">
        <v>50</v>
      </c>
      <c r="C4233" t="s">
        <v>4803</v>
      </c>
      <c r="D4233" t="s">
        <v>15</v>
      </c>
      <c r="E4233">
        <v>101</v>
      </c>
      <c r="F4233">
        <v>24</v>
      </c>
      <c r="G4233" t="s">
        <v>4798</v>
      </c>
      <c r="H4233" t="s">
        <v>4805</v>
      </c>
      <c r="I4233">
        <v>17.989999999999998</v>
      </c>
      <c r="J4233">
        <v>4</v>
      </c>
      <c r="K4233">
        <v>3.37</v>
      </c>
      <c r="L4233">
        <v>0</v>
      </c>
      <c r="M4233" t="s">
        <v>4811</v>
      </c>
      <c r="N4233" t="s">
        <v>4900</v>
      </c>
      <c r="O4233" t="s">
        <v>4910</v>
      </c>
    </row>
    <row r="4234" spans="1:15" x14ac:dyDescent="0.35">
      <c r="A4234" t="s">
        <v>4173</v>
      </c>
      <c r="B4234">
        <v>55</v>
      </c>
      <c r="C4234" t="s">
        <v>4803</v>
      </c>
      <c r="D4234" t="s">
        <v>13</v>
      </c>
      <c r="E4234">
        <v>44</v>
      </c>
      <c r="F4234">
        <v>3</v>
      </c>
      <c r="G4234" t="s">
        <v>4798</v>
      </c>
      <c r="H4234" t="s">
        <v>4806</v>
      </c>
      <c r="I4234">
        <v>13.99</v>
      </c>
      <c r="J4234">
        <v>3</v>
      </c>
      <c r="K4234">
        <v>1.47</v>
      </c>
      <c r="L4234">
        <v>0</v>
      </c>
      <c r="M4234" t="s">
        <v>4811</v>
      </c>
      <c r="N4234" t="s">
        <v>4900</v>
      </c>
      <c r="O4234" t="s">
        <v>4911</v>
      </c>
    </row>
    <row r="4235" spans="1:15" x14ac:dyDescent="0.35">
      <c r="A4235" t="s">
        <v>4174</v>
      </c>
      <c r="B4235">
        <v>44</v>
      </c>
      <c r="C4235" t="s">
        <v>4802</v>
      </c>
      <c r="D4235" t="s">
        <v>13</v>
      </c>
      <c r="E4235">
        <v>64</v>
      </c>
      <c r="F4235">
        <v>58</v>
      </c>
      <c r="G4235" t="s">
        <v>4798</v>
      </c>
      <c r="H4235" t="s">
        <v>4807</v>
      </c>
      <c r="I4235">
        <v>13.99</v>
      </c>
      <c r="J4235">
        <v>2</v>
      </c>
      <c r="K4235">
        <v>2.13</v>
      </c>
      <c r="L4235">
        <v>0</v>
      </c>
      <c r="M4235" t="s">
        <v>4811</v>
      </c>
      <c r="N4235" t="s">
        <v>4900</v>
      </c>
      <c r="O4235" t="s">
        <v>4910</v>
      </c>
    </row>
    <row r="4236" spans="1:15" x14ac:dyDescent="0.35">
      <c r="A4236" t="s">
        <v>4175</v>
      </c>
      <c r="B4236">
        <v>35</v>
      </c>
      <c r="C4236" t="s">
        <v>4803</v>
      </c>
      <c r="D4236" t="s">
        <v>15</v>
      </c>
      <c r="E4236">
        <v>120</v>
      </c>
      <c r="F4236">
        <v>22</v>
      </c>
      <c r="G4236" t="s">
        <v>4797</v>
      </c>
      <c r="H4236" t="s">
        <v>4804</v>
      </c>
      <c r="I4236">
        <v>17.989999999999998</v>
      </c>
      <c r="J4236">
        <v>3</v>
      </c>
      <c r="K4236">
        <v>4</v>
      </c>
      <c r="L4236">
        <v>0</v>
      </c>
      <c r="M4236" t="s">
        <v>4812</v>
      </c>
      <c r="N4236" t="s">
        <v>4900</v>
      </c>
      <c r="O4236" t="s">
        <v>4910</v>
      </c>
    </row>
    <row r="4237" spans="1:15" x14ac:dyDescent="0.35">
      <c r="A4237" t="s">
        <v>4176</v>
      </c>
      <c r="B4237">
        <v>28</v>
      </c>
      <c r="C4237" t="s">
        <v>4802</v>
      </c>
      <c r="D4237" t="s">
        <v>13</v>
      </c>
      <c r="E4237">
        <v>52</v>
      </c>
      <c r="F4237">
        <v>52</v>
      </c>
      <c r="G4237" t="s">
        <v>4798</v>
      </c>
      <c r="H4237" t="s">
        <v>4806</v>
      </c>
      <c r="I4237">
        <v>13.99</v>
      </c>
      <c r="J4237">
        <v>4</v>
      </c>
      <c r="K4237">
        <v>1.73</v>
      </c>
      <c r="L4237">
        <v>1</v>
      </c>
      <c r="M4237" t="s">
        <v>4811</v>
      </c>
      <c r="N4237" t="s">
        <v>4899</v>
      </c>
      <c r="O4237" t="s">
        <v>4912</v>
      </c>
    </row>
    <row r="4238" spans="1:15" x14ac:dyDescent="0.35">
      <c r="A4238" t="s">
        <v>4177</v>
      </c>
      <c r="B4238">
        <v>39</v>
      </c>
      <c r="C4238" t="s">
        <v>4802</v>
      </c>
      <c r="D4238" t="s">
        <v>13</v>
      </c>
      <c r="E4238">
        <v>39</v>
      </c>
      <c r="F4238">
        <v>8</v>
      </c>
      <c r="G4238" t="s">
        <v>4797</v>
      </c>
      <c r="H4238" t="s">
        <v>4805</v>
      </c>
      <c r="I4238">
        <v>13.99</v>
      </c>
      <c r="J4238">
        <v>2</v>
      </c>
      <c r="K4238">
        <v>1.3</v>
      </c>
      <c r="L4238">
        <v>0</v>
      </c>
      <c r="M4238" t="s">
        <v>4812</v>
      </c>
      <c r="N4238" t="s">
        <v>4900</v>
      </c>
      <c r="O4238" t="s">
        <v>4910</v>
      </c>
    </row>
    <row r="4239" spans="1:15" x14ac:dyDescent="0.35">
      <c r="A4239" t="s">
        <v>4178</v>
      </c>
      <c r="B4239">
        <v>53</v>
      </c>
      <c r="C4239" t="s">
        <v>4803</v>
      </c>
      <c r="D4239" t="s">
        <v>13</v>
      </c>
      <c r="E4239">
        <v>46</v>
      </c>
      <c r="F4239">
        <v>41</v>
      </c>
      <c r="G4239" t="s">
        <v>4798</v>
      </c>
      <c r="H4239" t="s">
        <v>4804</v>
      </c>
      <c r="I4239">
        <v>13.99</v>
      </c>
      <c r="J4239">
        <v>2</v>
      </c>
      <c r="K4239">
        <v>2.0299999999999998</v>
      </c>
      <c r="L4239">
        <v>0</v>
      </c>
      <c r="M4239" t="s">
        <v>4810</v>
      </c>
      <c r="N4239" t="s">
        <v>4900</v>
      </c>
      <c r="O4239" t="s">
        <v>4910</v>
      </c>
    </row>
    <row r="4240" spans="1:15" x14ac:dyDescent="0.35">
      <c r="A4240" t="s">
        <v>4179</v>
      </c>
      <c r="B4240">
        <v>52</v>
      </c>
      <c r="C4240" t="s">
        <v>4803</v>
      </c>
      <c r="D4240" t="s">
        <v>13</v>
      </c>
      <c r="E4240">
        <v>67</v>
      </c>
      <c r="F4240">
        <v>54</v>
      </c>
      <c r="G4240" t="s">
        <v>4798</v>
      </c>
      <c r="H4240" t="s">
        <v>4804</v>
      </c>
      <c r="I4240">
        <v>13.99</v>
      </c>
      <c r="J4240">
        <v>3</v>
      </c>
      <c r="K4240">
        <v>2.23</v>
      </c>
      <c r="L4240">
        <v>0</v>
      </c>
      <c r="M4240" t="s">
        <v>4808</v>
      </c>
      <c r="N4240" t="s">
        <v>4900</v>
      </c>
      <c r="O4240" t="s">
        <v>4910</v>
      </c>
    </row>
    <row r="4241" spans="1:15" x14ac:dyDescent="0.35">
      <c r="A4241" t="s">
        <v>4180</v>
      </c>
      <c r="B4241">
        <v>29</v>
      </c>
      <c r="C4241" t="s">
        <v>4802</v>
      </c>
      <c r="D4241" t="s">
        <v>13</v>
      </c>
      <c r="E4241">
        <v>30</v>
      </c>
      <c r="F4241">
        <v>39</v>
      </c>
      <c r="G4241" t="s">
        <v>4799</v>
      </c>
      <c r="H4241" t="s">
        <v>4804</v>
      </c>
      <c r="I4241">
        <v>13.99</v>
      </c>
      <c r="J4241">
        <v>1</v>
      </c>
      <c r="K4241">
        <v>1</v>
      </c>
      <c r="L4241">
        <v>0</v>
      </c>
      <c r="M4241" t="s">
        <v>4809</v>
      </c>
      <c r="N4241" t="s">
        <v>4900</v>
      </c>
      <c r="O4241" t="s">
        <v>4912</v>
      </c>
    </row>
    <row r="4242" spans="1:15" x14ac:dyDescent="0.35">
      <c r="A4242" t="s">
        <v>4181</v>
      </c>
      <c r="B4242">
        <v>51</v>
      </c>
      <c r="C4242" t="s">
        <v>4802</v>
      </c>
      <c r="D4242" t="s">
        <v>13</v>
      </c>
      <c r="E4242">
        <v>66</v>
      </c>
      <c r="F4242">
        <v>45</v>
      </c>
      <c r="G4242" t="s">
        <v>4798</v>
      </c>
      <c r="H4242" t="s">
        <v>4805</v>
      </c>
      <c r="I4242">
        <v>13.99</v>
      </c>
      <c r="J4242">
        <v>1</v>
      </c>
      <c r="K4242">
        <v>2.2000000000000002</v>
      </c>
      <c r="L4242">
        <v>0</v>
      </c>
      <c r="M4242" t="s">
        <v>4809</v>
      </c>
      <c r="N4242" t="s">
        <v>4900</v>
      </c>
      <c r="O4242" t="s">
        <v>4910</v>
      </c>
    </row>
    <row r="4243" spans="1:15" x14ac:dyDescent="0.35">
      <c r="A4243" t="s">
        <v>4182</v>
      </c>
      <c r="B4243">
        <v>65</v>
      </c>
      <c r="C4243" t="s">
        <v>4803</v>
      </c>
      <c r="D4243" t="s">
        <v>13</v>
      </c>
      <c r="E4243">
        <v>76</v>
      </c>
      <c r="F4243">
        <v>35</v>
      </c>
      <c r="G4243" t="s">
        <v>4797</v>
      </c>
      <c r="H4243" t="s">
        <v>4805</v>
      </c>
      <c r="I4243">
        <v>13.99</v>
      </c>
      <c r="J4243">
        <v>2</v>
      </c>
      <c r="K4243">
        <v>2.5299999999999998</v>
      </c>
      <c r="L4243">
        <v>0</v>
      </c>
      <c r="M4243" t="s">
        <v>4809</v>
      </c>
      <c r="N4243" t="s">
        <v>4900</v>
      </c>
      <c r="O4243" t="s">
        <v>4911</v>
      </c>
    </row>
    <row r="4244" spans="1:15" x14ac:dyDescent="0.35">
      <c r="A4244" t="s">
        <v>4183</v>
      </c>
      <c r="B4244">
        <v>32</v>
      </c>
      <c r="C4244" t="s">
        <v>4803</v>
      </c>
      <c r="D4244" t="s">
        <v>13</v>
      </c>
      <c r="E4244">
        <v>76</v>
      </c>
      <c r="F4244">
        <v>3</v>
      </c>
      <c r="G4244" t="s">
        <v>4797</v>
      </c>
      <c r="H4244" t="s">
        <v>4805</v>
      </c>
      <c r="I4244">
        <v>13.99</v>
      </c>
      <c r="J4244">
        <v>1</v>
      </c>
      <c r="K4244">
        <v>2.5299999999999998</v>
      </c>
      <c r="L4244">
        <v>0</v>
      </c>
      <c r="M4244" t="s">
        <v>4808</v>
      </c>
      <c r="N4244" t="s">
        <v>4900</v>
      </c>
      <c r="O4244" t="s">
        <v>4912</v>
      </c>
    </row>
    <row r="4245" spans="1:15" x14ac:dyDescent="0.35">
      <c r="A4245" t="s">
        <v>4184</v>
      </c>
      <c r="B4245">
        <v>53</v>
      </c>
      <c r="C4245" t="s">
        <v>4803</v>
      </c>
      <c r="D4245" t="s">
        <v>13</v>
      </c>
      <c r="E4245">
        <v>65</v>
      </c>
      <c r="F4245">
        <v>14</v>
      </c>
      <c r="G4245" t="s">
        <v>4798</v>
      </c>
      <c r="H4245" t="s">
        <v>4804</v>
      </c>
      <c r="I4245">
        <v>13.99</v>
      </c>
      <c r="J4245">
        <v>3</v>
      </c>
      <c r="K4245">
        <v>5</v>
      </c>
      <c r="L4245">
        <v>0</v>
      </c>
      <c r="M4245" t="s">
        <v>4812</v>
      </c>
      <c r="N4245" t="s">
        <v>4900</v>
      </c>
      <c r="O4245" t="s">
        <v>4910</v>
      </c>
    </row>
    <row r="4246" spans="1:15" x14ac:dyDescent="0.35">
      <c r="A4246" t="s">
        <v>4185</v>
      </c>
      <c r="B4246">
        <v>34</v>
      </c>
      <c r="C4246" t="s">
        <v>4803</v>
      </c>
      <c r="D4246" t="s">
        <v>13</v>
      </c>
      <c r="E4246">
        <v>76</v>
      </c>
      <c r="F4246">
        <v>1</v>
      </c>
      <c r="G4246" t="s">
        <v>4798</v>
      </c>
      <c r="H4246" t="s">
        <v>4805</v>
      </c>
      <c r="I4246">
        <v>13.99</v>
      </c>
      <c r="J4246">
        <v>2</v>
      </c>
      <c r="K4246">
        <v>2.5299999999999998</v>
      </c>
      <c r="L4246">
        <v>0</v>
      </c>
      <c r="M4246" t="s">
        <v>4810</v>
      </c>
      <c r="N4246" t="s">
        <v>4900</v>
      </c>
      <c r="O4246" t="s">
        <v>4912</v>
      </c>
    </row>
    <row r="4247" spans="1:15" x14ac:dyDescent="0.35">
      <c r="A4247" t="s">
        <v>4186</v>
      </c>
      <c r="B4247">
        <v>38</v>
      </c>
      <c r="C4247" t="s">
        <v>4802</v>
      </c>
      <c r="D4247" t="s">
        <v>13</v>
      </c>
      <c r="E4247">
        <v>61</v>
      </c>
      <c r="F4247">
        <v>16</v>
      </c>
      <c r="G4247" t="s">
        <v>4799</v>
      </c>
      <c r="H4247" t="s">
        <v>4805</v>
      </c>
      <c r="I4247">
        <v>13.99</v>
      </c>
      <c r="J4247">
        <v>4</v>
      </c>
      <c r="K4247">
        <v>2.0299999999999998</v>
      </c>
      <c r="L4247">
        <v>0</v>
      </c>
      <c r="M4247" t="s">
        <v>4811</v>
      </c>
      <c r="N4247" t="s">
        <v>4900</v>
      </c>
      <c r="O4247" t="s">
        <v>4910</v>
      </c>
    </row>
    <row r="4248" spans="1:15" x14ac:dyDescent="0.35">
      <c r="A4248" t="s">
        <v>4187</v>
      </c>
      <c r="B4248">
        <v>43</v>
      </c>
      <c r="C4248" t="s">
        <v>4802</v>
      </c>
      <c r="D4248" t="s">
        <v>13</v>
      </c>
      <c r="E4248">
        <v>35</v>
      </c>
      <c r="F4248">
        <v>16</v>
      </c>
      <c r="G4248" t="s">
        <v>4798</v>
      </c>
      <c r="H4248" t="s">
        <v>4804</v>
      </c>
      <c r="I4248">
        <v>13.99</v>
      </c>
      <c r="J4248">
        <v>4</v>
      </c>
      <c r="K4248">
        <v>1.17</v>
      </c>
      <c r="L4248">
        <v>0</v>
      </c>
      <c r="M4248" t="s">
        <v>4809</v>
      </c>
      <c r="N4248" t="s">
        <v>4900</v>
      </c>
      <c r="O4248" t="s">
        <v>4910</v>
      </c>
    </row>
    <row r="4249" spans="1:15" x14ac:dyDescent="0.35">
      <c r="A4249" t="s">
        <v>4188</v>
      </c>
      <c r="B4249">
        <v>65</v>
      </c>
      <c r="C4249" t="s">
        <v>4803</v>
      </c>
      <c r="D4249" t="s">
        <v>14</v>
      </c>
      <c r="E4249">
        <v>12</v>
      </c>
      <c r="F4249">
        <v>30</v>
      </c>
      <c r="G4249" t="s">
        <v>4799</v>
      </c>
      <c r="H4249" t="s">
        <v>4804</v>
      </c>
      <c r="I4249">
        <v>8.99</v>
      </c>
      <c r="J4249">
        <v>2</v>
      </c>
      <c r="K4249">
        <v>0.4</v>
      </c>
      <c r="L4249">
        <v>0</v>
      </c>
      <c r="M4249" t="s">
        <v>4812</v>
      </c>
      <c r="N4249" t="s">
        <v>4900</v>
      </c>
      <c r="O4249" t="s">
        <v>4911</v>
      </c>
    </row>
    <row r="4250" spans="1:15" x14ac:dyDescent="0.35">
      <c r="A4250" t="s">
        <v>4189</v>
      </c>
      <c r="B4250">
        <v>28</v>
      </c>
      <c r="C4250" t="s">
        <v>4803</v>
      </c>
      <c r="D4250" t="s">
        <v>13</v>
      </c>
      <c r="E4250">
        <v>51</v>
      </c>
      <c r="F4250" t="s">
        <v>4814</v>
      </c>
      <c r="G4250" t="s">
        <v>4798</v>
      </c>
      <c r="H4250" t="s">
        <v>4804</v>
      </c>
      <c r="I4250">
        <v>13.99</v>
      </c>
      <c r="J4250">
        <v>1</v>
      </c>
      <c r="K4250">
        <v>1.7</v>
      </c>
      <c r="L4250">
        <v>1</v>
      </c>
      <c r="M4250" t="s">
        <v>4809</v>
      </c>
      <c r="N4250" t="s">
        <v>4899</v>
      </c>
      <c r="O4250" t="s">
        <v>4912</v>
      </c>
    </row>
    <row r="4251" spans="1:15" x14ac:dyDescent="0.35">
      <c r="A4251" t="s">
        <v>4190</v>
      </c>
      <c r="B4251">
        <v>60</v>
      </c>
      <c r="C4251" t="s">
        <v>4802</v>
      </c>
      <c r="D4251" t="s">
        <v>13</v>
      </c>
      <c r="E4251">
        <v>52</v>
      </c>
      <c r="F4251">
        <v>53</v>
      </c>
      <c r="G4251" t="s">
        <v>4799</v>
      </c>
      <c r="H4251" t="s">
        <v>4805</v>
      </c>
      <c r="I4251">
        <v>13.99</v>
      </c>
      <c r="J4251">
        <v>1</v>
      </c>
      <c r="K4251">
        <v>1.73</v>
      </c>
      <c r="L4251">
        <v>0</v>
      </c>
      <c r="M4251" t="s">
        <v>4812</v>
      </c>
      <c r="N4251" t="s">
        <v>4900</v>
      </c>
      <c r="O4251" t="s">
        <v>4911</v>
      </c>
    </row>
    <row r="4252" spans="1:15" x14ac:dyDescent="0.35">
      <c r="A4252" t="s">
        <v>4191</v>
      </c>
      <c r="B4252">
        <v>31</v>
      </c>
      <c r="C4252" t="s">
        <v>4803</v>
      </c>
      <c r="D4252" t="s">
        <v>13</v>
      </c>
      <c r="E4252">
        <v>68</v>
      </c>
      <c r="F4252">
        <v>42</v>
      </c>
      <c r="G4252" t="s">
        <v>4798</v>
      </c>
      <c r="H4252" t="s">
        <v>4804</v>
      </c>
      <c r="I4252">
        <v>13.99</v>
      </c>
      <c r="J4252">
        <v>4</v>
      </c>
      <c r="K4252">
        <v>2.27</v>
      </c>
      <c r="L4252">
        <v>1</v>
      </c>
      <c r="M4252" t="s">
        <v>4808</v>
      </c>
      <c r="N4252" t="s">
        <v>4899</v>
      </c>
      <c r="O4252" t="s">
        <v>4912</v>
      </c>
    </row>
    <row r="4253" spans="1:15" x14ac:dyDescent="0.35">
      <c r="A4253" t="s">
        <v>4192</v>
      </c>
      <c r="B4253">
        <v>53</v>
      </c>
      <c r="C4253" t="s">
        <v>4803</v>
      </c>
      <c r="D4253" t="s">
        <v>13</v>
      </c>
      <c r="E4253">
        <v>55</v>
      </c>
      <c r="F4253">
        <v>4</v>
      </c>
      <c r="G4253" t="s">
        <v>4797</v>
      </c>
      <c r="H4253" t="s">
        <v>4804</v>
      </c>
      <c r="I4253">
        <v>13.99</v>
      </c>
      <c r="J4253">
        <v>4</v>
      </c>
      <c r="K4253">
        <v>1.83</v>
      </c>
      <c r="L4253">
        <v>0</v>
      </c>
      <c r="M4253" t="s">
        <v>4809</v>
      </c>
      <c r="N4253" t="s">
        <v>4900</v>
      </c>
      <c r="O4253" t="s">
        <v>4910</v>
      </c>
    </row>
    <row r="4254" spans="1:15" x14ac:dyDescent="0.35">
      <c r="A4254" t="s">
        <v>4193</v>
      </c>
      <c r="B4254">
        <v>44</v>
      </c>
      <c r="C4254" t="s">
        <v>4802</v>
      </c>
      <c r="D4254" t="s">
        <v>13</v>
      </c>
      <c r="E4254">
        <v>58</v>
      </c>
      <c r="F4254">
        <v>34</v>
      </c>
      <c r="G4254" t="s">
        <v>4798</v>
      </c>
      <c r="H4254" t="s">
        <v>4804</v>
      </c>
      <c r="I4254">
        <v>13.99</v>
      </c>
      <c r="J4254">
        <v>2</v>
      </c>
      <c r="K4254">
        <v>1.93</v>
      </c>
      <c r="L4254">
        <v>0</v>
      </c>
      <c r="M4254" t="s">
        <v>4811</v>
      </c>
      <c r="N4254" t="s">
        <v>4900</v>
      </c>
      <c r="O4254" t="s">
        <v>4910</v>
      </c>
    </row>
    <row r="4255" spans="1:15" x14ac:dyDescent="0.35">
      <c r="A4255" t="s">
        <v>4194</v>
      </c>
      <c r="B4255">
        <v>60</v>
      </c>
      <c r="C4255" t="s">
        <v>4802</v>
      </c>
      <c r="D4255" t="s">
        <v>15</v>
      </c>
      <c r="E4255">
        <v>76</v>
      </c>
      <c r="F4255">
        <v>35</v>
      </c>
      <c r="G4255" t="s">
        <v>4799</v>
      </c>
      <c r="H4255" t="s">
        <v>4805</v>
      </c>
      <c r="I4255">
        <v>17.989999999999998</v>
      </c>
      <c r="J4255">
        <v>4</v>
      </c>
      <c r="K4255">
        <v>2.5299999999999998</v>
      </c>
      <c r="L4255">
        <v>0</v>
      </c>
      <c r="M4255" t="s">
        <v>4810</v>
      </c>
      <c r="N4255" t="s">
        <v>4900</v>
      </c>
      <c r="O4255" t="s">
        <v>4911</v>
      </c>
    </row>
    <row r="4256" spans="1:15" x14ac:dyDescent="0.35">
      <c r="A4256" t="s">
        <v>4195</v>
      </c>
      <c r="B4256">
        <v>18</v>
      </c>
      <c r="C4256" t="s">
        <v>4803</v>
      </c>
      <c r="D4256" t="s">
        <v>13</v>
      </c>
      <c r="E4256">
        <v>64</v>
      </c>
      <c r="F4256">
        <v>30</v>
      </c>
      <c r="G4256" t="s">
        <v>4798</v>
      </c>
      <c r="H4256" t="s">
        <v>4804</v>
      </c>
      <c r="I4256">
        <v>13.99</v>
      </c>
      <c r="J4256">
        <v>2</v>
      </c>
      <c r="K4256">
        <v>2.13</v>
      </c>
      <c r="L4256">
        <v>0</v>
      </c>
      <c r="M4256" t="s">
        <v>4810</v>
      </c>
      <c r="N4256" t="s">
        <v>4900</v>
      </c>
      <c r="O4256" t="s">
        <v>4912</v>
      </c>
    </row>
    <row r="4257" spans="1:15" x14ac:dyDescent="0.35">
      <c r="A4257" t="s">
        <v>4196</v>
      </c>
      <c r="B4257">
        <v>23</v>
      </c>
      <c r="C4257" t="s">
        <v>4803</v>
      </c>
      <c r="D4257" t="s">
        <v>15</v>
      </c>
      <c r="E4257">
        <v>80</v>
      </c>
      <c r="F4257">
        <v>20</v>
      </c>
      <c r="G4257" t="s">
        <v>4798</v>
      </c>
      <c r="H4257" t="s">
        <v>4806</v>
      </c>
      <c r="I4257">
        <v>17.989999999999998</v>
      </c>
      <c r="J4257">
        <v>3</v>
      </c>
      <c r="K4257">
        <v>2.67</v>
      </c>
      <c r="L4257">
        <v>0</v>
      </c>
      <c r="M4257" t="s">
        <v>4810</v>
      </c>
      <c r="N4257" t="s">
        <v>4900</v>
      </c>
      <c r="O4257" t="s">
        <v>4912</v>
      </c>
    </row>
    <row r="4258" spans="1:15" x14ac:dyDescent="0.35">
      <c r="A4258" t="s">
        <v>4197</v>
      </c>
      <c r="B4258">
        <v>33</v>
      </c>
      <c r="C4258" t="s">
        <v>4802</v>
      </c>
      <c r="D4258" t="s">
        <v>15</v>
      </c>
      <c r="E4258">
        <v>39</v>
      </c>
      <c r="F4258">
        <v>47</v>
      </c>
      <c r="G4258" t="s">
        <v>4800</v>
      </c>
      <c r="H4258" t="s">
        <v>4806</v>
      </c>
      <c r="I4258">
        <v>17.989999999999998</v>
      </c>
      <c r="J4258">
        <v>2</v>
      </c>
      <c r="K4258">
        <v>1.3</v>
      </c>
      <c r="L4258">
        <v>0</v>
      </c>
      <c r="M4258" t="s">
        <v>4811</v>
      </c>
      <c r="N4258" t="s">
        <v>4900</v>
      </c>
      <c r="O4258" t="s">
        <v>4912</v>
      </c>
    </row>
    <row r="4259" spans="1:15" x14ac:dyDescent="0.35">
      <c r="A4259" t="s">
        <v>4198</v>
      </c>
      <c r="B4259">
        <v>44</v>
      </c>
      <c r="C4259" t="s">
        <v>4803</v>
      </c>
      <c r="D4259" t="s">
        <v>13</v>
      </c>
      <c r="E4259">
        <v>80</v>
      </c>
      <c r="F4259">
        <v>38</v>
      </c>
      <c r="G4259" t="s">
        <v>4797</v>
      </c>
      <c r="H4259" t="s">
        <v>4805</v>
      </c>
      <c r="I4259">
        <v>13.99</v>
      </c>
      <c r="J4259">
        <v>2</v>
      </c>
      <c r="K4259">
        <v>2.67</v>
      </c>
      <c r="L4259">
        <v>1</v>
      </c>
      <c r="M4259" t="s">
        <v>4812</v>
      </c>
      <c r="N4259" t="s">
        <v>4899</v>
      </c>
      <c r="O4259" t="s">
        <v>4910</v>
      </c>
    </row>
    <row r="4260" spans="1:15" x14ac:dyDescent="0.35">
      <c r="A4260" t="s">
        <v>4199</v>
      </c>
      <c r="B4260">
        <v>59</v>
      </c>
      <c r="C4260" t="s">
        <v>4803</v>
      </c>
      <c r="D4260" t="s">
        <v>13</v>
      </c>
      <c r="E4260">
        <v>67</v>
      </c>
      <c r="F4260">
        <v>45</v>
      </c>
      <c r="G4260" t="s">
        <v>4799</v>
      </c>
      <c r="H4260" t="s">
        <v>4805</v>
      </c>
      <c r="I4260">
        <v>13.99</v>
      </c>
      <c r="J4260">
        <v>1</v>
      </c>
      <c r="K4260">
        <v>5</v>
      </c>
      <c r="L4260">
        <v>1</v>
      </c>
      <c r="M4260" t="s">
        <v>4809</v>
      </c>
      <c r="N4260" t="s">
        <v>4899</v>
      </c>
      <c r="O4260" t="s">
        <v>4911</v>
      </c>
    </row>
    <row r="4261" spans="1:15" x14ac:dyDescent="0.35">
      <c r="A4261" t="s">
        <v>4200</v>
      </c>
      <c r="B4261">
        <v>61</v>
      </c>
      <c r="C4261" t="s">
        <v>4803</v>
      </c>
      <c r="D4261" t="s">
        <v>13</v>
      </c>
      <c r="E4261">
        <v>39</v>
      </c>
      <c r="F4261">
        <v>41</v>
      </c>
      <c r="G4261" t="s">
        <v>4798</v>
      </c>
      <c r="H4261" t="s">
        <v>4804</v>
      </c>
      <c r="I4261">
        <v>13.99</v>
      </c>
      <c r="J4261">
        <v>2</v>
      </c>
      <c r="K4261">
        <v>1.3</v>
      </c>
      <c r="L4261">
        <v>0</v>
      </c>
      <c r="M4261" t="s">
        <v>4808</v>
      </c>
      <c r="N4261" t="s">
        <v>4900</v>
      </c>
      <c r="O4261" t="s">
        <v>4911</v>
      </c>
    </row>
    <row r="4262" spans="1:15" x14ac:dyDescent="0.35">
      <c r="A4262" t="s">
        <v>4201</v>
      </c>
      <c r="B4262">
        <v>20</v>
      </c>
      <c r="C4262" t="s">
        <v>4802</v>
      </c>
      <c r="D4262" t="s">
        <v>15</v>
      </c>
      <c r="E4262">
        <v>86</v>
      </c>
      <c r="F4262">
        <v>41</v>
      </c>
      <c r="G4262" t="s">
        <v>4798</v>
      </c>
      <c r="H4262" t="s">
        <v>4805</v>
      </c>
      <c r="I4262">
        <v>17.989999999999998</v>
      </c>
      <c r="J4262">
        <v>2</v>
      </c>
      <c r="K4262">
        <v>2.87</v>
      </c>
      <c r="L4262">
        <v>0</v>
      </c>
      <c r="M4262" t="s">
        <v>4808</v>
      </c>
      <c r="N4262" t="s">
        <v>4900</v>
      </c>
      <c r="O4262" t="s">
        <v>4912</v>
      </c>
    </row>
    <row r="4263" spans="1:15" x14ac:dyDescent="0.35">
      <c r="A4263" t="s">
        <v>4202</v>
      </c>
      <c r="B4263">
        <v>26</v>
      </c>
      <c r="C4263" t="s">
        <v>4802</v>
      </c>
      <c r="D4263" t="s">
        <v>14</v>
      </c>
      <c r="E4263">
        <v>41</v>
      </c>
      <c r="F4263">
        <v>999</v>
      </c>
      <c r="G4263" t="s">
        <v>4797</v>
      </c>
      <c r="H4263" t="s">
        <v>4805</v>
      </c>
      <c r="I4263">
        <v>8.99</v>
      </c>
      <c r="J4263">
        <v>2</v>
      </c>
      <c r="K4263">
        <v>1.37</v>
      </c>
      <c r="L4263">
        <v>0</v>
      </c>
      <c r="M4263" t="s">
        <v>4808</v>
      </c>
      <c r="N4263" t="s">
        <v>4900</v>
      </c>
      <c r="O4263" t="s">
        <v>4912</v>
      </c>
    </row>
    <row r="4264" spans="1:15" x14ac:dyDescent="0.35">
      <c r="A4264" t="s">
        <v>4203</v>
      </c>
      <c r="B4264">
        <v>64</v>
      </c>
      <c r="C4264" t="s">
        <v>4802</v>
      </c>
      <c r="D4264" t="s">
        <v>13</v>
      </c>
      <c r="E4264">
        <v>75</v>
      </c>
      <c r="F4264">
        <v>6</v>
      </c>
      <c r="G4264" t="s">
        <v>4797</v>
      </c>
      <c r="H4264" t="s">
        <v>4804</v>
      </c>
      <c r="I4264">
        <v>13.99</v>
      </c>
      <c r="J4264">
        <v>1</v>
      </c>
      <c r="K4264">
        <v>2.5</v>
      </c>
      <c r="L4264">
        <v>0</v>
      </c>
      <c r="M4264" t="s">
        <v>4808</v>
      </c>
      <c r="N4264" t="s">
        <v>4900</v>
      </c>
      <c r="O4264" t="s">
        <v>4911</v>
      </c>
    </row>
    <row r="4265" spans="1:15" x14ac:dyDescent="0.35">
      <c r="A4265" t="s">
        <v>4204</v>
      </c>
      <c r="B4265">
        <v>45</v>
      </c>
      <c r="C4265" t="s">
        <v>4803</v>
      </c>
      <c r="D4265" t="s">
        <v>15</v>
      </c>
      <c r="E4265">
        <v>93</v>
      </c>
      <c r="F4265">
        <v>45</v>
      </c>
      <c r="G4265" t="s">
        <v>4800</v>
      </c>
      <c r="H4265" t="s">
        <v>4804</v>
      </c>
      <c r="I4265">
        <v>17.989999999999998</v>
      </c>
      <c r="J4265">
        <v>5</v>
      </c>
      <c r="K4265">
        <v>3.1</v>
      </c>
      <c r="L4265">
        <v>0</v>
      </c>
      <c r="M4265" t="s">
        <v>4809</v>
      </c>
      <c r="N4265" t="s">
        <v>4900</v>
      </c>
      <c r="O4265" t="s">
        <v>4910</v>
      </c>
    </row>
    <row r="4266" spans="1:15" x14ac:dyDescent="0.35">
      <c r="A4266" t="s">
        <v>4205</v>
      </c>
      <c r="B4266">
        <v>50</v>
      </c>
      <c r="C4266" t="s">
        <v>4803</v>
      </c>
      <c r="D4266" t="s">
        <v>13</v>
      </c>
      <c r="E4266">
        <v>71</v>
      </c>
      <c r="F4266">
        <v>32</v>
      </c>
      <c r="G4266" t="s">
        <v>4797</v>
      </c>
      <c r="H4266" t="s">
        <v>4805</v>
      </c>
      <c r="I4266">
        <v>13.99</v>
      </c>
      <c r="J4266">
        <v>2</v>
      </c>
      <c r="K4266">
        <v>2.37</v>
      </c>
      <c r="L4266">
        <v>0</v>
      </c>
      <c r="M4266" t="s">
        <v>4808</v>
      </c>
      <c r="N4266" t="s">
        <v>4900</v>
      </c>
      <c r="O4266" t="s">
        <v>4910</v>
      </c>
    </row>
    <row r="4267" spans="1:15" x14ac:dyDescent="0.35">
      <c r="A4267" t="s">
        <v>4206</v>
      </c>
      <c r="B4267">
        <v>62</v>
      </c>
      <c r="C4267" t="s">
        <v>4803</v>
      </c>
      <c r="D4267" t="s">
        <v>13</v>
      </c>
      <c r="E4267">
        <v>32</v>
      </c>
      <c r="F4267">
        <v>31</v>
      </c>
      <c r="G4267" t="s">
        <v>4797</v>
      </c>
      <c r="H4267" t="s">
        <v>4807</v>
      </c>
      <c r="I4267">
        <v>13.99</v>
      </c>
      <c r="J4267">
        <v>3</v>
      </c>
      <c r="K4267">
        <v>1.07</v>
      </c>
      <c r="L4267">
        <v>0</v>
      </c>
      <c r="M4267" t="s">
        <v>4812</v>
      </c>
      <c r="N4267" t="s">
        <v>4900</v>
      </c>
      <c r="O4267" t="s">
        <v>4911</v>
      </c>
    </row>
    <row r="4268" spans="1:15" x14ac:dyDescent="0.35">
      <c r="A4268" t="s">
        <v>4207</v>
      </c>
      <c r="B4268">
        <v>51</v>
      </c>
      <c r="C4268" t="s">
        <v>4803</v>
      </c>
      <c r="D4268" t="s">
        <v>15</v>
      </c>
      <c r="E4268">
        <v>64</v>
      </c>
      <c r="F4268">
        <v>53</v>
      </c>
      <c r="G4268" t="s">
        <v>4797</v>
      </c>
      <c r="H4268" t="s">
        <v>4805</v>
      </c>
      <c r="I4268">
        <v>17.989999999999998</v>
      </c>
      <c r="J4268">
        <v>5</v>
      </c>
      <c r="K4268">
        <v>2.13</v>
      </c>
      <c r="L4268">
        <v>0</v>
      </c>
      <c r="M4268" t="s">
        <v>4810</v>
      </c>
      <c r="N4268" t="s">
        <v>4900</v>
      </c>
      <c r="O4268" t="s">
        <v>4910</v>
      </c>
    </row>
    <row r="4269" spans="1:15" x14ac:dyDescent="0.35">
      <c r="A4269" t="s">
        <v>4208</v>
      </c>
      <c r="B4269">
        <v>59</v>
      </c>
      <c r="C4269" t="s">
        <v>4802</v>
      </c>
      <c r="D4269" t="s">
        <v>13</v>
      </c>
      <c r="E4269">
        <v>72</v>
      </c>
      <c r="F4269">
        <v>41</v>
      </c>
      <c r="G4269" t="s">
        <v>4797</v>
      </c>
      <c r="H4269" t="s">
        <v>4806</v>
      </c>
      <c r="I4269">
        <v>13.99</v>
      </c>
      <c r="J4269">
        <v>4</v>
      </c>
      <c r="K4269">
        <v>2.4</v>
      </c>
      <c r="L4269">
        <v>0</v>
      </c>
      <c r="M4269" t="s">
        <v>4808</v>
      </c>
      <c r="N4269" t="s">
        <v>4900</v>
      </c>
      <c r="O4269" t="s">
        <v>4911</v>
      </c>
    </row>
    <row r="4270" spans="1:15" x14ac:dyDescent="0.35">
      <c r="A4270" t="s">
        <v>4209</v>
      </c>
      <c r="B4270">
        <v>63</v>
      </c>
      <c r="C4270" t="s">
        <v>4803</v>
      </c>
      <c r="D4270" t="s">
        <v>13</v>
      </c>
      <c r="E4270">
        <v>36</v>
      </c>
      <c r="F4270">
        <v>41</v>
      </c>
      <c r="G4270" t="s">
        <v>4798</v>
      </c>
      <c r="H4270" t="s">
        <v>4807</v>
      </c>
      <c r="I4270">
        <v>13.99</v>
      </c>
      <c r="J4270">
        <v>4</v>
      </c>
      <c r="K4270">
        <v>1.2</v>
      </c>
      <c r="L4270">
        <v>1</v>
      </c>
      <c r="M4270" t="s">
        <v>4812</v>
      </c>
      <c r="N4270" t="s">
        <v>4899</v>
      </c>
      <c r="O4270" t="s">
        <v>4911</v>
      </c>
    </row>
    <row r="4271" spans="1:15" x14ac:dyDescent="0.35">
      <c r="A4271" t="s">
        <v>4210</v>
      </c>
      <c r="B4271">
        <v>26</v>
      </c>
      <c r="C4271" t="s">
        <v>4803</v>
      </c>
      <c r="D4271" t="s">
        <v>13</v>
      </c>
      <c r="E4271">
        <v>43</v>
      </c>
      <c r="F4271">
        <v>34</v>
      </c>
      <c r="G4271" t="s">
        <v>4798</v>
      </c>
      <c r="H4271" t="s">
        <v>4804</v>
      </c>
      <c r="I4271">
        <v>13.99</v>
      </c>
      <c r="J4271">
        <v>2</v>
      </c>
      <c r="K4271">
        <v>1.43</v>
      </c>
      <c r="L4271">
        <v>1</v>
      </c>
      <c r="M4271" t="s">
        <v>4809</v>
      </c>
      <c r="N4271" t="s">
        <v>4899</v>
      </c>
      <c r="O4271" t="s">
        <v>4912</v>
      </c>
    </row>
    <row r="4272" spans="1:15" x14ac:dyDescent="0.35">
      <c r="A4272" t="s">
        <v>4211</v>
      </c>
      <c r="B4272">
        <v>35</v>
      </c>
      <c r="C4272" t="s">
        <v>4803</v>
      </c>
      <c r="D4272" t="s">
        <v>13</v>
      </c>
      <c r="E4272">
        <v>48</v>
      </c>
      <c r="F4272">
        <v>13</v>
      </c>
      <c r="G4272" t="s">
        <v>4798</v>
      </c>
      <c r="H4272" t="s">
        <v>4804</v>
      </c>
      <c r="I4272">
        <v>13.99</v>
      </c>
      <c r="J4272">
        <v>1</v>
      </c>
      <c r="K4272">
        <v>2.0299999999999998</v>
      </c>
      <c r="L4272">
        <v>0</v>
      </c>
      <c r="M4272" t="s">
        <v>4810</v>
      </c>
      <c r="N4272" t="s">
        <v>4900</v>
      </c>
      <c r="O4272" t="s">
        <v>4910</v>
      </c>
    </row>
    <row r="4273" spans="1:15" x14ac:dyDescent="0.35">
      <c r="A4273" t="s">
        <v>4212</v>
      </c>
      <c r="B4273">
        <v>61</v>
      </c>
      <c r="C4273" t="s">
        <v>4802</v>
      </c>
      <c r="D4273" t="s">
        <v>13</v>
      </c>
      <c r="E4273">
        <v>47</v>
      </c>
      <c r="F4273">
        <v>8</v>
      </c>
      <c r="G4273" t="s">
        <v>4800</v>
      </c>
      <c r="H4273" t="s">
        <v>4804</v>
      </c>
      <c r="I4273">
        <v>13.99</v>
      </c>
      <c r="J4273">
        <v>1</v>
      </c>
      <c r="K4273">
        <v>1.57</v>
      </c>
      <c r="L4273">
        <v>0</v>
      </c>
      <c r="M4273" t="s">
        <v>4808</v>
      </c>
      <c r="N4273" t="s">
        <v>4900</v>
      </c>
      <c r="O4273" t="s">
        <v>4911</v>
      </c>
    </row>
    <row r="4274" spans="1:15" x14ac:dyDescent="0.35">
      <c r="A4274" t="s">
        <v>4213</v>
      </c>
      <c r="B4274">
        <v>50</v>
      </c>
      <c r="C4274" t="s">
        <v>4802</v>
      </c>
      <c r="D4274" t="s">
        <v>13</v>
      </c>
      <c r="E4274">
        <v>54</v>
      </c>
      <c r="F4274">
        <v>57</v>
      </c>
      <c r="G4274" t="s">
        <v>4797</v>
      </c>
      <c r="H4274" t="s">
        <v>4805</v>
      </c>
      <c r="I4274">
        <v>13.99</v>
      </c>
      <c r="J4274">
        <v>3</v>
      </c>
      <c r="K4274">
        <v>1.8</v>
      </c>
      <c r="L4274">
        <v>0</v>
      </c>
      <c r="M4274" t="s">
        <v>4810</v>
      </c>
      <c r="N4274" t="s">
        <v>4900</v>
      </c>
      <c r="O4274" t="s">
        <v>4910</v>
      </c>
    </row>
    <row r="4275" spans="1:15" x14ac:dyDescent="0.35">
      <c r="A4275" t="s">
        <v>4214</v>
      </c>
      <c r="B4275">
        <v>39</v>
      </c>
      <c r="C4275" t="s">
        <v>4802</v>
      </c>
      <c r="D4275" t="s">
        <v>13</v>
      </c>
      <c r="E4275">
        <v>46</v>
      </c>
      <c r="F4275">
        <v>56</v>
      </c>
      <c r="G4275" t="s">
        <v>4799</v>
      </c>
      <c r="H4275" t="s">
        <v>4804</v>
      </c>
      <c r="I4275">
        <v>13.99</v>
      </c>
      <c r="J4275">
        <v>4</v>
      </c>
      <c r="K4275">
        <v>5</v>
      </c>
      <c r="L4275">
        <v>1</v>
      </c>
      <c r="M4275" t="s">
        <v>4812</v>
      </c>
      <c r="N4275" t="s">
        <v>4899</v>
      </c>
      <c r="O4275" t="s">
        <v>4910</v>
      </c>
    </row>
    <row r="4276" spans="1:15" x14ac:dyDescent="0.35">
      <c r="A4276" t="s">
        <v>4215</v>
      </c>
      <c r="B4276">
        <v>48</v>
      </c>
      <c r="C4276" t="s">
        <v>4803</v>
      </c>
      <c r="D4276" t="s">
        <v>15</v>
      </c>
      <c r="E4276">
        <v>59</v>
      </c>
      <c r="F4276">
        <v>38</v>
      </c>
      <c r="G4276" t="s">
        <v>4800</v>
      </c>
      <c r="H4276" t="s">
        <v>4805</v>
      </c>
      <c r="I4276">
        <v>17.989999999999998</v>
      </c>
      <c r="J4276">
        <v>4</v>
      </c>
      <c r="K4276">
        <v>1.97</v>
      </c>
      <c r="L4276">
        <v>0</v>
      </c>
      <c r="M4276" t="s">
        <v>4810</v>
      </c>
      <c r="N4276" t="s">
        <v>4900</v>
      </c>
      <c r="O4276" t="s">
        <v>4910</v>
      </c>
    </row>
    <row r="4277" spans="1:15" x14ac:dyDescent="0.35">
      <c r="A4277" t="s">
        <v>4216</v>
      </c>
      <c r="B4277">
        <v>57</v>
      </c>
      <c r="C4277" t="s">
        <v>4803</v>
      </c>
      <c r="D4277" t="s">
        <v>15</v>
      </c>
      <c r="E4277">
        <v>89</v>
      </c>
      <c r="F4277">
        <v>48</v>
      </c>
      <c r="G4277" t="s">
        <v>4797</v>
      </c>
      <c r="H4277" t="s">
        <v>4804</v>
      </c>
      <c r="I4277">
        <v>17.989999999999998</v>
      </c>
      <c r="J4277">
        <v>3</v>
      </c>
      <c r="K4277">
        <v>2.97</v>
      </c>
      <c r="L4277">
        <v>0</v>
      </c>
      <c r="M4277" t="s">
        <v>4809</v>
      </c>
      <c r="N4277" t="s">
        <v>4900</v>
      </c>
      <c r="O4277" t="s">
        <v>4911</v>
      </c>
    </row>
    <row r="4278" spans="1:15" x14ac:dyDescent="0.35">
      <c r="A4278" t="s">
        <v>4217</v>
      </c>
      <c r="B4278">
        <v>30</v>
      </c>
      <c r="C4278" t="s">
        <v>4802</v>
      </c>
      <c r="D4278" t="s">
        <v>13</v>
      </c>
      <c r="E4278">
        <v>66</v>
      </c>
      <c r="F4278">
        <v>57</v>
      </c>
      <c r="G4278" t="s">
        <v>4797</v>
      </c>
      <c r="H4278" t="s">
        <v>4804</v>
      </c>
      <c r="I4278">
        <v>13.99</v>
      </c>
      <c r="J4278">
        <v>1</v>
      </c>
      <c r="K4278">
        <v>2.2000000000000002</v>
      </c>
      <c r="L4278">
        <v>0</v>
      </c>
      <c r="M4278" t="s">
        <v>4812</v>
      </c>
      <c r="N4278" t="s">
        <v>4900</v>
      </c>
      <c r="O4278" t="s">
        <v>4912</v>
      </c>
    </row>
    <row r="4279" spans="1:15" x14ac:dyDescent="0.35">
      <c r="A4279" t="s">
        <v>4218</v>
      </c>
      <c r="B4279">
        <v>46</v>
      </c>
      <c r="C4279" t="s">
        <v>4803</v>
      </c>
      <c r="D4279" t="s">
        <v>13</v>
      </c>
      <c r="E4279">
        <v>56</v>
      </c>
      <c r="F4279">
        <v>25</v>
      </c>
      <c r="G4279" t="s">
        <v>4798</v>
      </c>
      <c r="H4279" t="s">
        <v>4806</v>
      </c>
      <c r="I4279">
        <v>13.99</v>
      </c>
      <c r="J4279">
        <v>3</v>
      </c>
      <c r="K4279">
        <v>1.87</v>
      </c>
      <c r="L4279">
        <v>1</v>
      </c>
      <c r="M4279" t="s">
        <v>4810</v>
      </c>
      <c r="N4279" t="s">
        <v>4899</v>
      </c>
      <c r="O4279" t="s">
        <v>4910</v>
      </c>
    </row>
    <row r="4280" spans="1:15" x14ac:dyDescent="0.35">
      <c r="A4280" t="s">
        <v>4219</v>
      </c>
      <c r="B4280">
        <v>52</v>
      </c>
      <c r="C4280" t="s">
        <v>4803</v>
      </c>
      <c r="D4280" t="s">
        <v>13</v>
      </c>
      <c r="E4280">
        <v>75</v>
      </c>
      <c r="F4280">
        <v>53</v>
      </c>
      <c r="G4280" t="s">
        <v>4799</v>
      </c>
      <c r="H4280" t="s">
        <v>4805</v>
      </c>
      <c r="I4280">
        <v>13.99</v>
      </c>
      <c r="J4280">
        <v>3</v>
      </c>
      <c r="K4280">
        <v>2.5</v>
      </c>
      <c r="L4280">
        <v>0</v>
      </c>
      <c r="M4280" t="s">
        <v>4808</v>
      </c>
      <c r="N4280" t="s">
        <v>4900</v>
      </c>
      <c r="O4280" t="s">
        <v>4910</v>
      </c>
    </row>
    <row r="4281" spans="1:15" x14ac:dyDescent="0.35">
      <c r="A4281" t="s">
        <v>4220</v>
      </c>
      <c r="B4281">
        <v>42</v>
      </c>
      <c r="C4281" t="s">
        <v>4803</v>
      </c>
      <c r="D4281" t="s">
        <v>15</v>
      </c>
      <c r="E4281">
        <v>119</v>
      </c>
      <c r="F4281">
        <v>44</v>
      </c>
      <c r="G4281" t="s">
        <v>4799</v>
      </c>
      <c r="H4281" t="s">
        <v>4806</v>
      </c>
      <c r="I4281">
        <v>17.989999999999998</v>
      </c>
      <c r="J4281">
        <v>4</v>
      </c>
      <c r="K4281">
        <v>3.97</v>
      </c>
      <c r="L4281">
        <v>1</v>
      </c>
      <c r="M4281" t="s">
        <v>4808</v>
      </c>
      <c r="N4281" t="s">
        <v>4899</v>
      </c>
      <c r="O4281" t="s">
        <v>4910</v>
      </c>
    </row>
    <row r="4282" spans="1:15" x14ac:dyDescent="0.35">
      <c r="A4282" t="s">
        <v>4221</v>
      </c>
      <c r="B4282">
        <v>63</v>
      </c>
      <c r="C4282" t="s">
        <v>4802</v>
      </c>
      <c r="D4282" t="s">
        <v>13</v>
      </c>
      <c r="E4282">
        <v>60</v>
      </c>
      <c r="F4282">
        <v>57</v>
      </c>
      <c r="G4282" t="s">
        <v>4799</v>
      </c>
      <c r="H4282" t="s">
        <v>4805</v>
      </c>
      <c r="I4282">
        <v>13.99</v>
      </c>
      <c r="J4282">
        <v>1</v>
      </c>
      <c r="K4282">
        <v>2</v>
      </c>
      <c r="L4282">
        <v>0</v>
      </c>
      <c r="M4282" t="s">
        <v>4810</v>
      </c>
      <c r="N4282" t="s">
        <v>4900</v>
      </c>
      <c r="O4282" t="s">
        <v>4911</v>
      </c>
    </row>
    <row r="4283" spans="1:15" x14ac:dyDescent="0.35">
      <c r="A4283" t="s">
        <v>4222</v>
      </c>
      <c r="B4283">
        <v>36</v>
      </c>
      <c r="C4283" t="s">
        <v>4803</v>
      </c>
      <c r="D4283" t="s">
        <v>15</v>
      </c>
      <c r="E4283">
        <v>44</v>
      </c>
      <c r="F4283">
        <v>30</v>
      </c>
      <c r="G4283" t="s">
        <v>4797</v>
      </c>
      <c r="H4283" t="s">
        <v>4807</v>
      </c>
      <c r="I4283">
        <v>17.989999999999998</v>
      </c>
      <c r="J4283">
        <v>3</v>
      </c>
      <c r="K4283">
        <v>1.47</v>
      </c>
      <c r="L4283">
        <v>0</v>
      </c>
      <c r="M4283" t="s">
        <v>4811</v>
      </c>
      <c r="N4283" t="s">
        <v>4900</v>
      </c>
      <c r="O4283" t="s">
        <v>4910</v>
      </c>
    </row>
    <row r="4284" spans="1:15" x14ac:dyDescent="0.35">
      <c r="A4284" t="s">
        <v>4223</v>
      </c>
      <c r="B4284">
        <v>44</v>
      </c>
      <c r="C4284" t="s">
        <v>4802</v>
      </c>
      <c r="D4284" t="s">
        <v>13</v>
      </c>
      <c r="E4284">
        <v>30</v>
      </c>
      <c r="F4284">
        <v>34</v>
      </c>
      <c r="G4284" t="s">
        <v>4797</v>
      </c>
      <c r="H4284" t="s">
        <v>4804</v>
      </c>
      <c r="I4284">
        <v>13.99</v>
      </c>
      <c r="J4284">
        <v>2</v>
      </c>
      <c r="K4284">
        <v>1</v>
      </c>
      <c r="L4284">
        <v>0</v>
      </c>
      <c r="M4284" t="s">
        <v>4809</v>
      </c>
      <c r="N4284" t="s">
        <v>4900</v>
      </c>
      <c r="O4284" t="s">
        <v>4910</v>
      </c>
    </row>
    <row r="4285" spans="1:15" x14ac:dyDescent="0.35">
      <c r="A4285" t="s">
        <v>4224</v>
      </c>
      <c r="B4285">
        <v>42</v>
      </c>
      <c r="C4285" t="s">
        <v>4802</v>
      </c>
      <c r="D4285" t="s">
        <v>13</v>
      </c>
      <c r="E4285">
        <v>71</v>
      </c>
      <c r="F4285">
        <v>5</v>
      </c>
      <c r="G4285" t="s">
        <v>4799</v>
      </c>
      <c r="H4285" t="s">
        <v>4804</v>
      </c>
      <c r="I4285">
        <v>13.99</v>
      </c>
      <c r="J4285">
        <v>4</v>
      </c>
      <c r="K4285">
        <v>2.37</v>
      </c>
      <c r="L4285">
        <v>0</v>
      </c>
      <c r="M4285" t="s">
        <v>4810</v>
      </c>
      <c r="N4285" t="s">
        <v>4900</v>
      </c>
      <c r="O4285" t="s">
        <v>4910</v>
      </c>
    </row>
    <row r="4286" spans="1:15" x14ac:dyDescent="0.35">
      <c r="A4286" t="s">
        <v>4225</v>
      </c>
      <c r="B4286">
        <v>49</v>
      </c>
      <c r="C4286" t="s">
        <v>4802</v>
      </c>
      <c r="D4286" t="s">
        <v>13</v>
      </c>
      <c r="E4286">
        <v>44</v>
      </c>
      <c r="F4286">
        <v>16</v>
      </c>
      <c r="G4286" t="s">
        <v>4798</v>
      </c>
      <c r="H4286" t="s">
        <v>4805</v>
      </c>
      <c r="I4286">
        <v>13.99</v>
      </c>
      <c r="J4286">
        <v>1</v>
      </c>
      <c r="K4286">
        <v>1.47</v>
      </c>
      <c r="L4286">
        <v>0</v>
      </c>
      <c r="M4286" t="s">
        <v>4810</v>
      </c>
      <c r="N4286" t="s">
        <v>4900</v>
      </c>
      <c r="O4286" t="s">
        <v>4910</v>
      </c>
    </row>
    <row r="4287" spans="1:15" x14ac:dyDescent="0.35">
      <c r="A4287" t="s">
        <v>4226</v>
      </c>
      <c r="B4287">
        <v>45</v>
      </c>
      <c r="C4287" t="s">
        <v>4803</v>
      </c>
      <c r="D4287" t="s">
        <v>13</v>
      </c>
      <c r="E4287">
        <v>33</v>
      </c>
      <c r="F4287">
        <v>20</v>
      </c>
      <c r="G4287" t="s">
        <v>4799</v>
      </c>
      <c r="H4287" t="s">
        <v>4805</v>
      </c>
      <c r="I4287">
        <v>13.99</v>
      </c>
      <c r="J4287">
        <v>4</v>
      </c>
      <c r="K4287">
        <v>1.1000000000000001</v>
      </c>
      <c r="L4287">
        <v>1</v>
      </c>
      <c r="M4287" t="s">
        <v>4812</v>
      </c>
      <c r="N4287" t="s">
        <v>4899</v>
      </c>
      <c r="O4287" t="s">
        <v>4910</v>
      </c>
    </row>
    <row r="4288" spans="1:15" x14ac:dyDescent="0.35">
      <c r="A4288" t="s">
        <v>4227</v>
      </c>
      <c r="B4288">
        <v>45</v>
      </c>
      <c r="C4288" t="s">
        <v>4803</v>
      </c>
      <c r="D4288" t="s">
        <v>13</v>
      </c>
      <c r="E4288">
        <v>48</v>
      </c>
      <c r="F4288">
        <v>5</v>
      </c>
      <c r="G4288" t="s">
        <v>4798</v>
      </c>
      <c r="H4288" t="s">
        <v>4806</v>
      </c>
      <c r="I4288">
        <v>13.99</v>
      </c>
      <c r="J4288">
        <v>2</v>
      </c>
      <c r="K4288">
        <v>1.6</v>
      </c>
      <c r="L4288">
        <v>0</v>
      </c>
      <c r="M4288" t="s">
        <v>4809</v>
      </c>
      <c r="N4288" t="s">
        <v>4900</v>
      </c>
      <c r="O4288" t="s">
        <v>4910</v>
      </c>
    </row>
    <row r="4289" spans="1:15" x14ac:dyDescent="0.35">
      <c r="A4289" t="s">
        <v>4228</v>
      </c>
      <c r="B4289">
        <v>30</v>
      </c>
      <c r="C4289" t="s">
        <v>4802</v>
      </c>
      <c r="D4289" t="s">
        <v>13</v>
      </c>
      <c r="E4289">
        <v>51</v>
      </c>
      <c r="F4289">
        <v>16</v>
      </c>
      <c r="G4289" t="s">
        <v>4797</v>
      </c>
      <c r="H4289" t="s">
        <v>4805</v>
      </c>
      <c r="I4289">
        <v>13.99</v>
      </c>
      <c r="J4289">
        <v>2</v>
      </c>
      <c r="K4289">
        <v>1.7</v>
      </c>
      <c r="L4289">
        <v>0</v>
      </c>
      <c r="M4289" t="s">
        <v>4810</v>
      </c>
      <c r="N4289" t="s">
        <v>4900</v>
      </c>
      <c r="O4289" t="s">
        <v>4912</v>
      </c>
    </row>
    <row r="4290" spans="1:15" x14ac:dyDescent="0.35">
      <c r="A4290" t="s">
        <v>4229</v>
      </c>
      <c r="B4290">
        <v>25</v>
      </c>
      <c r="C4290" t="s">
        <v>4802</v>
      </c>
      <c r="D4290" t="s">
        <v>13</v>
      </c>
      <c r="E4290">
        <v>40</v>
      </c>
      <c r="F4290">
        <v>1</v>
      </c>
      <c r="G4290" t="s">
        <v>4797</v>
      </c>
      <c r="H4290" t="s">
        <v>4805</v>
      </c>
      <c r="I4290">
        <v>13.99</v>
      </c>
      <c r="J4290">
        <v>2</v>
      </c>
      <c r="K4290">
        <v>1.33</v>
      </c>
      <c r="L4290">
        <v>1</v>
      </c>
      <c r="M4290" t="s">
        <v>4812</v>
      </c>
      <c r="N4290" t="s">
        <v>4899</v>
      </c>
      <c r="O4290" t="s">
        <v>4912</v>
      </c>
    </row>
    <row r="4291" spans="1:15" x14ac:dyDescent="0.35">
      <c r="A4291" t="s">
        <v>4230</v>
      </c>
      <c r="B4291">
        <v>22</v>
      </c>
      <c r="C4291" t="s">
        <v>4802</v>
      </c>
      <c r="D4291" t="s">
        <v>14</v>
      </c>
      <c r="E4291">
        <v>24</v>
      </c>
      <c r="F4291">
        <v>34</v>
      </c>
      <c r="G4291" t="s">
        <v>4799</v>
      </c>
      <c r="H4291" t="s">
        <v>4804</v>
      </c>
      <c r="I4291">
        <v>8.99</v>
      </c>
      <c r="J4291">
        <v>2</v>
      </c>
      <c r="K4291">
        <v>0.8</v>
      </c>
      <c r="L4291">
        <v>0</v>
      </c>
      <c r="M4291" t="s">
        <v>4809</v>
      </c>
      <c r="N4291" t="s">
        <v>4900</v>
      </c>
      <c r="O4291" t="s">
        <v>4912</v>
      </c>
    </row>
    <row r="4292" spans="1:15" x14ac:dyDescent="0.35">
      <c r="A4292" t="s">
        <v>4231</v>
      </c>
      <c r="B4292">
        <v>33</v>
      </c>
      <c r="C4292" t="s">
        <v>4802</v>
      </c>
      <c r="D4292" t="s">
        <v>13</v>
      </c>
      <c r="E4292">
        <v>33</v>
      </c>
      <c r="F4292">
        <v>47</v>
      </c>
      <c r="G4292" t="s">
        <v>4798</v>
      </c>
      <c r="H4292" t="s">
        <v>4804</v>
      </c>
      <c r="I4292">
        <v>13.99</v>
      </c>
      <c r="J4292">
        <v>1</v>
      </c>
      <c r="K4292">
        <v>1.1000000000000001</v>
      </c>
      <c r="L4292">
        <v>0</v>
      </c>
      <c r="M4292" t="s">
        <v>4811</v>
      </c>
      <c r="N4292" t="s">
        <v>4900</v>
      </c>
      <c r="O4292" t="s">
        <v>4912</v>
      </c>
    </row>
    <row r="4293" spans="1:15" x14ac:dyDescent="0.35">
      <c r="A4293" t="s">
        <v>4232</v>
      </c>
      <c r="B4293">
        <v>38</v>
      </c>
      <c r="C4293" t="s">
        <v>4803</v>
      </c>
      <c r="D4293" t="s">
        <v>13</v>
      </c>
      <c r="E4293">
        <v>69</v>
      </c>
      <c r="F4293">
        <v>41</v>
      </c>
      <c r="G4293" t="s">
        <v>4799</v>
      </c>
      <c r="H4293" t="s">
        <v>4804</v>
      </c>
      <c r="I4293">
        <v>13.99</v>
      </c>
      <c r="J4293">
        <v>1</v>
      </c>
      <c r="K4293">
        <v>2.2999999999999998</v>
      </c>
      <c r="L4293">
        <v>0</v>
      </c>
      <c r="M4293" t="s">
        <v>4812</v>
      </c>
      <c r="N4293" t="s">
        <v>4900</v>
      </c>
      <c r="O4293" t="s">
        <v>4910</v>
      </c>
    </row>
    <row r="4294" spans="1:15" x14ac:dyDescent="0.35">
      <c r="A4294" t="s">
        <v>4233</v>
      </c>
      <c r="B4294">
        <v>54</v>
      </c>
      <c r="C4294" t="s">
        <v>4803</v>
      </c>
      <c r="D4294" t="s">
        <v>15</v>
      </c>
      <c r="E4294">
        <v>103</v>
      </c>
      <c r="F4294">
        <v>48</v>
      </c>
      <c r="G4294" t="s">
        <v>4798</v>
      </c>
      <c r="H4294" t="s">
        <v>4804</v>
      </c>
      <c r="I4294">
        <v>17.989999999999998</v>
      </c>
      <c r="J4294">
        <v>5</v>
      </c>
      <c r="K4294">
        <v>3.43</v>
      </c>
      <c r="L4294">
        <v>0</v>
      </c>
      <c r="M4294" t="s">
        <v>4812</v>
      </c>
      <c r="N4294" t="s">
        <v>4900</v>
      </c>
      <c r="O4294" t="s">
        <v>4910</v>
      </c>
    </row>
    <row r="4295" spans="1:15" x14ac:dyDescent="0.35">
      <c r="A4295" t="s">
        <v>4234</v>
      </c>
      <c r="B4295">
        <v>30</v>
      </c>
      <c r="C4295" t="s">
        <v>4803</v>
      </c>
      <c r="D4295" t="s">
        <v>13</v>
      </c>
      <c r="E4295">
        <v>69</v>
      </c>
      <c r="F4295">
        <v>999</v>
      </c>
      <c r="G4295" t="s">
        <v>4799</v>
      </c>
      <c r="H4295" t="s">
        <v>4805</v>
      </c>
      <c r="I4295">
        <v>13.99</v>
      </c>
      <c r="J4295">
        <v>2</v>
      </c>
      <c r="K4295">
        <v>2.2999999999999998</v>
      </c>
      <c r="L4295">
        <v>0</v>
      </c>
      <c r="M4295" t="s">
        <v>4811</v>
      </c>
      <c r="N4295" t="s">
        <v>4900</v>
      </c>
      <c r="O4295" t="s">
        <v>4912</v>
      </c>
    </row>
    <row r="4296" spans="1:15" x14ac:dyDescent="0.35">
      <c r="A4296" t="s">
        <v>4235</v>
      </c>
      <c r="B4296">
        <v>24</v>
      </c>
      <c r="C4296" t="s">
        <v>4802</v>
      </c>
      <c r="D4296" t="s">
        <v>13</v>
      </c>
      <c r="E4296">
        <v>30</v>
      </c>
      <c r="F4296">
        <v>26</v>
      </c>
      <c r="G4296" t="s">
        <v>4798</v>
      </c>
      <c r="H4296" t="s">
        <v>4805</v>
      </c>
      <c r="I4296">
        <v>13.99</v>
      </c>
      <c r="J4296">
        <v>4</v>
      </c>
      <c r="K4296">
        <v>1</v>
      </c>
      <c r="L4296">
        <v>0</v>
      </c>
      <c r="M4296" t="s">
        <v>4808</v>
      </c>
      <c r="N4296" t="s">
        <v>4900</v>
      </c>
      <c r="O4296" t="s">
        <v>4912</v>
      </c>
    </row>
    <row r="4297" spans="1:15" x14ac:dyDescent="0.35">
      <c r="A4297" t="s">
        <v>4236</v>
      </c>
      <c r="B4297">
        <v>53</v>
      </c>
      <c r="C4297" t="s">
        <v>4803</v>
      </c>
      <c r="D4297" t="s">
        <v>15</v>
      </c>
      <c r="E4297">
        <v>117</v>
      </c>
      <c r="F4297">
        <v>23</v>
      </c>
      <c r="G4297" t="s">
        <v>4797</v>
      </c>
      <c r="H4297" t="s">
        <v>4804</v>
      </c>
      <c r="I4297">
        <v>17.989999999999998</v>
      </c>
      <c r="J4297">
        <v>4</v>
      </c>
      <c r="K4297">
        <v>3.9</v>
      </c>
      <c r="L4297">
        <v>0</v>
      </c>
      <c r="M4297" t="s">
        <v>4809</v>
      </c>
      <c r="N4297" t="s">
        <v>4900</v>
      </c>
      <c r="O4297" t="s">
        <v>4910</v>
      </c>
    </row>
    <row r="4298" spans="1:15" x14ac:dyDescent="0.35">
      <c r="A4298" t="s">
        <v>4237</v>
      </c>
      <c r="B4298">
        <v>24</v>
      </c>
      <c r="C4298" t="s">
        <v>4803</v>
      </c>
      <c r="D4298" t="s">
        <v>13</v>
      </c>
      <c r="E4298">
        <v>30</v>
      </c>
      <c r="F4298">
        <v>7</v>
      </c>
      <c r="G4298" t="s">
        <v>4799</v>
      </c>
      <c r="H4298" t="s">
        <v>4805</v>
      </c>
      <c r="I4298">
        <v>13.99</v>
      </c>
      <c r="J4298">
        <v>2</v>
      </c>
      <c r="K4298">
        <v>1</v>
      </c>
      <c r="L4298">
        <v>0</v>
      </c>
      <c r="M4298" t="s">
        <v>4809</v>
      </c>
      <c r="N4298" t="s">
        <v>4900</v>
      </c>
      <c r="O4298" t="s">
        <v>4912</v>
      </c>
    </row>
    <row r="4299" spans="1:15" x14ac:dyDescent="0.35">
      <c r="A4299" t="s">
        <v>4238</v>
      </c>
      <c r="B4299">
        <v>37</v>
      </c>
      <c r="C4299" t="s">
        <v>4802</v>
      </c>
      <c r="D4299" t="s">
        <v>14</v>
      </c>
      <c r="E4299">
        <v>17</v>
      </c>
      <c r="F4299">
        <v>999</v>
      </c>
      <c r="G4299" t="s">
        <v>4797</v>
      </c>
      <c r="H4299" t="s">
        <v>4804</v>
      </c>
      <c r="I4299">
        <v>8.99</v>
      </c>
      <c r="J4299">
        <v>1</v>
      </c>
      <c r="K4299">
        <v>0.56999999999999995</v>
      </c>
      <c r="L4299">
        <v>0</v>
      </c>
      <c r="M4299" t="s">
        <v>4808</v>
      </c>
      <c r="N4299" t="s">
        <v>4900</v>
      </c>
      <c r="O4299" t="s">
        <v>4910</v>
      </c>
    </row>
    <row r="4300" spans="1:15" x14ac:dyDescent="0.35">
      <c r="A4300" t="s">
        <v>4239</v>
      </c>
      <c r="B4300">
        <v>26</v>
      </c>
      <c r="C4300" t="s">
        <v>4802</v>
      </c>
      <c r="D4300" t="s">
        <v>15</v>
      </c>
      <c r="E4300">
        <v>79</v>
      </c>
      <c r="F4300">
        <v>3</v>
      </c>
      <c r="G4300" t="s">
        <v>4798</v>
      </c>
      <c r="H4300" t="s">
        <v>4805</v>
      </c>
      <c r="I4300">
        <v>17.989999999999998</v>
      </c>
      <c r="J4300">
        <v>5</v>
      </c>
      <c r="K4300">
        <v>2.63</v>
      </c>
      <c r="L4300">
        <v>0</v>
      </c>
      <c r="M4300" t="s">
        <v>4810</v>
      </c>
      <c r="N4300" t="s">
        <v>4900</v>
      </c>
      <c r="O4300" t="s">
        <v>4912</v>
      </c>
    </row>
    <row r="4301" spans="1:15" x14ac:dyDescent="0.35">
      <c r="A4301" t="s">
        <v>4240</v>
      </c>
      <c r="B4301">
        <v>22</v>
      </c>
      <c r="C4301" t="s">
        <v>4802</v>
      </c>
      <c r="D4301" t="s">
        <v>13</v>
      </c>
      <c r="E4301">
        <v>38</v>
      </c>
      <c r="F4301">
        <v>36</v>
      </c>
      <c r="G4301" t="s">
        <v>4798</v>
      </c>
      <c r="H4301" t="s">
        <v>4805</v>
      </c>
      <c r="I4301">
        <v>13.99</v>
      </c>
      <c r="J4301">
        <v>2</v>
      </c>
      <c r="K4301">
        <v>1.27</v>
      </c>
      <c r="L4301">
        <v>0</v>
      </c>
      <c r="M4301" t="s">
        <v>4809</v>
      </c>
      <c r="N4301" t="s">
        <v>4900</v>
      </c>
      <c r="O4301" t="s">
        <v>4912</v>
      </c>
    </row>
    <row r="4302" spans="1:15" x14ac:dyDescent="0.35">
      <c r="A4302" t="s">
        <v>4241</v>
      </c>
      <c r="B4302">
        <v>64</v>
      </c>
      <c r="C4302" t="s">
        <v>4802</v>
      </c>
      <c r="D4302" t="s">
        <v>13</v>
      </c>
      <c r="E4302">
        <v>79</v>
      </c>
      <c r="F4302">
        <v>8</v>
      </c>
      <c r="G4302" t="s">
        <v>4798</v>
      </c>
      <c r="H4302" t="s">
        <v>4805</v>
      </c>
      <c r="I4302">
        <v>13.99</v>
      </c>
      <c r="J4302">
        <v>2</v>
      </c>
      <c r="K4302">
        <v>2.63</v>
      </c>
      <c r="L4302">
        <v>0</v>
      </c>
      <c r="M4302" t="s">
        <v>4809</v>
      </c>
      <c r="N4302" t="s">
        <v>4900</v>
      </c>
      <c r="O4302" t="s">
        <v>4911</v>
      </c>
    </row>
    <row r="4303" spans="1:15" x14ac:dyDescent="0.35">
      <c r="A4303" t="s">
        <v>4242</v>
      </c>
      <c r="B4303">
        <v>34</v>
      </c>
      <c r="C4303" t="s">
        <v>4803</v>
      </c>
      <c r="D4303" t="s">
        <v>13</v>
      </c>
      <c r="E4303">
        <v>77</v>
      </c>
      <c r="F4303">
        <v>46</v>
      </c>
      <c r="G4303" t="s">
        <v>4798</v>
      </c>
      <c r="H4303" t="s">
        <v>4805</v>
      </c>
      <c r="I4303">
        <v>13.99</v>
      </c>
      <c r="J4303">
        <v>1</v>
      </c>
      <c r="K4303">
        <v>2.57</v>
      </c>
      <c r="L4303">
        <v>0</v>
      </c>
      <c r="M4303" t="s">
        <v>4811</v>
      </c>
      <c r="N4303" t="s">
        <v>4900</v>
      </c>
      <c r="O4303" t="s">
        <v>4912</v>
      </c>
    </row>
    <row r="4304" spans="1:15" x14ac:dyDescent="0.35">
      <c r="A4304" t="s">
        <v>4243</v>
      </c>
      <c r="B4304">
        <v>32</v>
      </c>
      <c r="C4304" t="s">
        <v>4802</v>
      </c>
      <c r="D4304" t="s">
        <v>15</v>
      </c>
      <c r="E4304">
        <v>97</v>
      </c>
      <c r="F4304">
        <v>49</v>
      </c>
      <c r="G4304" t="s">
        <v>4799</v>
      </c>
      <c r="H4304" t="s">
        <v>4805</v>
      </c>
      <c r="I4304">
        <v>17.989999999999998</v>
      </c>
      <c r="J4304">
        <v>2</v>
      </c>
      <c r="K4304">
        <v>3.23</v>
      </c>
      <c r="L4304">
        <v>0</v>
      </c>
      <c r="M4304" t="s">
        <v>4812</v>
      </c>
      <c r="N4304" t="s">
        <v>4900</v>
      </c>
      <c r="O4304" t="s">
        <v>4912</v>
      </c>
    </row>
    <row r="4305" spans="1:15" x14ac:dyDescent="0.35">
      <c r="A4305" t="s">
        <v>4244</v>
      </c>
      <c r="B4305">
        <v>30</v>
      </c>
      <c r="C4305" t="s">
        <v>4803</v>
      </c>
      <c r="D4305" t="s">
        <v>13</v>
      </c>
      <c r="E4305">
        <v>44</v>
      </c>
      <c r="F4305">
        <v>8</v>
      </c>
      <c r="G4305" t="s">
        <v>4797</v>
      </c>
      <c r="H4305" t="s">
        <v>4804</v>
      </c>
      <c r="I4305">
        <v>13.99</v>
      </c>
      <c r="J4305">
        <v>4</v>
      </c>
      <c r="K4305">
        <v>1.47</v>
      </c>
      <c r="L4305">
        <v>0</v>
      </c>
      <c r="M4305" t="s">
        <v>4811</v>
      </c>
      <c r="N4305" t="s">
        <v>4900</v>
      </c>
      <c r="O4305" t="s">
        <v>4912</v>
      </c>
    </row>
    <row r="4306" spans="1:15" x14ac:dyDescent="0.35">
      <c r="A4306" t="s">
        <v>4245</v>
      </c>
      <c r="B4306">
        <v>39</v>
      </c>
      <c r="C4306" t="s">
        <v>4803</v>
      </c>
      <c r="D4306" t="s">
        <v>13</v>
      </c>
      <c r="E4306">
        <v>80</v>
      </c>
      <c r="F4306">
        <v>42</v>
      </c>
      <c r="G4306" t="s">
        <v>4798</v>
      </c>
      <c r="H4306" t="s">
        <v>4804</v>
      </c>
      <c r="I4306">
        <v>13.99</v>
      </c>
      <c r="J4306">
        <v>1</v>
      </c>
      <c r="K4306">
        <v>2.67</v>
      </c>
      <c r="L4306">
        <v>0</v>
      </c>
      <c r="M4306" t="s">
        <v>4809</v>
      </c>
      <c r="N4306" t="s">
        <v>4900</v>
      </c>
      <c r="O4306" t="s">
        <v>4910</v>
      </c>
    </row>
    <row r="4307" spans="1:15" x14ac:dyDescent="0.35">
      <c r="A4307" t="s">
        <v>4246</v>
      </c>
      <c r="B4307">
        <v>21</v>
      </c>
      <c r="C4307" t="s">
        <v>4802</v>
      </c>
      <c r="D4307" t="s">
        <v>13</v>
      </c>
      <c r="E4307">
        <v>60</v>
      </c>
      <c r="F4307">
        <v>46</v>
      </c>
      <c r="G4307" t="s">
        <v>4799</v>
      </c>
      <c r="H4307" t="s">
        <v>4804</v>
      </c>
      <c r="I4307">
        <v>13.99</v>
      </c>
      <c r="J4307">
        <v>1</v>
      </c>
      <c r="K4307">
        <v>2</v>
      </c>
      <c r="L4307">
        <v>0</v>
      </c>
      <c r="M4307" t="s">
        <v>4810</v>
      </c>
      <c r="N4307" t="s">
        <v>4900</v>
      </c>
      <c r="O4307" t="s">
        <v>4912</v>
      </c>
    </row>
    <row r="4308" spans="1:15" x14ac:dyDescent="0.35">
      <c r="A4308" t="s">
        <v>4247</v>
      </c>
      <c r="B4308">
        <v>29</v>
      </c>
      <c r="C4308" t="s">
        <v>4803</v>
      </c>
      <c r="D4308" t="s">
        <v>13</v>
      </c>
      <c r="E4308">
        <v>68</v>
      </c>
      <c r="F4308">
        <v>27</v>
      </c>
      <c r="G4308" t="s">
        <v>4797</v>
      </c>
      <c r="H4308" t="s">
        <v>4806</v>
      </c>
      <c r="I4308">
        <v>13.99</v>
      </c>
      <c r="J4308">
        <v>3</v>
      </c>
      <c r="K4308">
        <v>2.27</v>
      </c>
      <c r="L4308">
        <v>1</v>
      </c>
      <c r="M4308" t="s">
        <v>4812</v>
      </c>
      <c r="N4308" t="s">
        <v>4899</v>
      </c>
      <c r="O4308" t="s">
        <v>4912</v>
      </c>
    </row>
    <row r="4309" spans="1:15" x14ac:dyDescent="0.35">
      <c r="A4309" t="s">
        <v>4248</v>
      </c>
      <c r="B4309">
        <v>33</v>
      </c>
      <c r="C4309" t="s">
        <v>4803</v>
      </c>
      <c r="D4309" t="s">
        <v>13</v>
      </c>
      <c r="E4309">
        <v>46</v>
      </c>
      <c r="F4309">
        <v>16</v>
      </c>
      <c r="G4309" t="s">
        <v>4798</v>
      </c>
      <c r="H4309" t="s">
        <v>4805</v>
      </c>
      <c r="I4309">
        <v>13.99</v>
      </c>
      <c r="J4309">
        <v>4</v>
      </c>
      <c r="K4309">
        <v>1.53</v>
      </c>
      <c r="L4309">
        <v>0</v>
      </c>
      <c r="M4309" t="s">
        <v>4809</v>
      </c>
      <c r="N4309" t="s">
        <v>4900</v>
      </c>
      <c r="O4309" t="s">
        <v>4912</v>
      </c>
    </row>
    <row r="4310" spans="1:15" x14ac:dyDescent="0.35">
      <c r="A4310" t="s">
        <v>4249</v>
      </c>
      <c r="B4310">
        <v>32</v>
      </c>
      <c r="C4310" t="s">
        <v>4803</v>
      </c>
      <c r="D4310" t="s">
        <v>13</v>
      </c>
      <c r="E4310">
        <v>57</v>
      </c>
      <c r="F4310">
        <v>43</v>
      </c>
      <c r="G4310" t="s">
        <v>4798</v>
      </c>
      <c r="H4310" t="s">
        <v>4805</v>
      </c>
      <c r="I4310">
        <v>13.99</v>
      </c>
      <c r="J4310">
        <v>4</v>
      </c>
      <c r="K4310">
        <v>1.9</v>
      </c>
      <c r="L4310">
        <v>0</v>
      </c>
      <c r="M4310" t="s">
        <v>4812</v>
      </c>
      <c r="N4310" t="s">
        <v>4900</v>
      </c>
      <c r="O4310" t="s">
        <v>4912</v>
      </c>
    </row>
    <row r="4311" spans="1:15" x14ac:dyDescent="0.35">
      <c r="A4311" t="s">
        <v>4250</v>
      </c>
      <c r="B4311">
        <v>60</v>
      </c>
      <c r="C4311" t="s">
        <v>4803</v>
      </c>
      <c r="D4311" t="s">
        <v>13</v>
      </c>
      <c r="E4311">
        <v>76</v>
      </c>
      <c r="F4311">
        <v>41</v>
      </c>
      <c r="G4311" t="s">
        <v>4798</v>
      </c>
      <c r="H4311" t="s">
        <v>4806</v>
      </c>
      <c r="I4311">
        <v>13.99</v>
      </c>
      <c r="J4311">
        <v>4</v>
      </c>
      <c r="K4311">
        <v>2.5299999999999998</v>
      </c>
      <c r="L4311">
        <v>0</v>
      </c>
      <c r="M4311" t="s">
        <v>4811</v>
      </c>
      <c r="N4311" t="s">
        <v>4900</v>
      </c>
      <c r="O4311" t="s">
        <v>4911</v>
      </c>
    </row>
    <row r="4312" spans="1:15" x14ac:dyDescent="0.35">
      <c r="A4312" t="s">
        <v>4251</v>
      </c>
      <c r="B4312">
        <v>32</v>
      </c>
      <c r="C4312" t="s">
        <v>4802</v>
      </c>
      <c r="D4312" t="s">
        <v>13</v>
      </c>
      <c r="E4312">
        <v>40</v>
      </c>
      <c r="F4312">
        <v>41</v>
      </c>
      <c r="G4312" t="s">
        <v>4797</v>
      </c>
      <c r="H4312" t="s">
        <v>4804</v>
      </c>
      <c r="I4312">
        <v>13.99</v>
      </c>
      <c r="J4312">
        <v>3</v>
      </c>
      <c r="K4312">
        <v>1.33</v>
      </c>
      <c r="L4312">
        <v>1</v>
      </c>
      <c r="M4312" t="s">
        <v>4811</v>
      </c>
      <c r="N4312" t="s">
        <v>4899</v>
      </c>
      <c r="O4312" t="s">
        <v>4912</v>
      </c>
    </row>
    <row r="4313" spans="1:15" x14ac:dyDescent="0.35">
      <c r="A4313" t="s">
        <v>4252</v>
      </c>
      <c r="B4313">
        <v>23</v>
      </c>
      <c r="C4313" t="s">
        <v>4803</v>
      </c>
      <c r="D4313" t="s">
        <v>13</v>
      </c>
      <c r="E4313">
        <v>51</v>
      </c>
      <c r="F4313">
        <v>5</v>
      </c>
      <c r="G4313" t="s">
        <v>4798</v>
      </c>
      <c r="H4313" t="s">
        <v>4805</v>
      </c>
      <c r="I4313">
        <v>13.99</v>
      </c>
      <c r="J4313">
        <v>4</v>
      </c>
      <c r="K4313">
        <v>2.0299999999999998</v>
      </c>
      <c r="L4313">
        <v>0</v>
      </c>
      <c r="M4313" t="s">
        <v>4810</v>
      </c>
      <c r="N4313" t="s">
        <v>4900</v>
      </c>
      <c r="O4313" t="s">
        <v>4912</v>
      </c>
    </row>
    <row r="4314" spans="1:15" x14ac:dyDescent="0.35">
      <c r="A4314" t="s">
        <v>4253</v>
      </c>
      <c r="B4314">
        <v>41</v>
      </c>
      <c r="C4314" t="s">
        <v>4803</v>
      </c>
      <c r="D4314" t="s">
        <v>15</v>
      </c>
      <c r="E4314">
        <v>114</v>
      </c>
      <c r="F4314">
        <v>1</v>
      </c>
      <c r="G4314" t="s">
        <v>4799</v>
      </c>
      <c r="H4314" t="s">
        <v>4804</v>
      </c>
      <c r="I4314">
        <v>17.989999999999998</v>
      </c>
      <c r="J4314">
        <v>3</v>
      </c>
      <c r="K4314">
        <v>3.8</v>
      </c>
      <c r="L4314">
        <v>0</v>
      </c>
      <c r="M4314" t="s">
        <v>4809</v>
      </c>
      <c r="N4314" t="s">
        <v>4900</v>
      </c>
      <c r="O4314" t="s">
        <v>4910</v>
      </c>
    </row>
    <row r="4315" spans="1:15" x14ac:dyDescent="0.35">
      <c r="A4315" t="s">
        <v>4254</v>
      </c>
      <c r="B4315">
        <v>22</v>
      </c>
      <c r="C4315" t="s">
        <v>4803</v>
      </c>
      <c r="D4315" t="s">
        <v>15</v>
      </c>
      <c r="E4315">
        <v>63</v>
      </c>
      <c r="F4315">
        <v>30</v>
      </c>
      <c r="G4315" t="s">
        <v>4799</v>
      </c>
      <c r="H4315" t="s">
        <v>4804</v>
      </c>
      <c r="I4315">
        <v>17.989999999999998</v>
      </c>
      <c r="J4315">
        <v>4</v>
      </c>
      <c r="K4315">
        <v>2.1</v>
      </c>
      <c r="L4315">
        <v>1</v>
      </c>
      <c r="M4315" t="s">
        <v>4811</v>
      </c>
      <c r="N4315" t="s">
        <v>4899</v>
      </c>
      <c r="O4315" t="s">
        <v>4912</v>
      </c>
    </row>
    <row r="4316" spans="1:15" x14ac:dyDescent="0.35">
      <c r="A4316" t="s">
        <v>4255</v>
      </c>
      <c r="B4316">
        <v>65</v>
      </c>
      <c r="C4316" t="s">
        <v>4803</v>
      </c>
      <c r="D4316" t="s">
        <v>14</v>
      </c>
      <c r="E4316">
        <v>47</v>
      </c>
      <c r="F4316">
        <v>2</v>
      </c>
      <c r="G4316" t="s">
        <v>4798</v>
      </c>
      <c r="H4316" t="s">
        <v>4805</v>
      </c>
      <c r="I4316">
        <v>8.99</v>
      </c>
      <c r="J4316">
        <v>1</v>
      </c>
      <c r="K4316">
        <v>1.57</v>
      </c>
      <c r="L4316">
        <v>0</v>
      </c>
      <c r="M4316" t="s">
        <v>4809</v>
      </c>
      <c r="N4316" t="s">
        <v>4900</v>
      </c>
      <c r="O4316" t="s">
        <v>4911</v>
      </c>
    </row>
    <row r="4317" spans="1:15" x14ac:dyDescent="0.35">
      <c r="A4317" t="s">
        <v>4256</v>
      </c>
      <c r="B4317">
        <v>48</v>
      </c>
      <c r="C4317" t="s">
        <v>4802</v>
      </c>
      <c r="D4317" t="s">
        <v>13</v>
      </c>
      <c r="E4317">
        <v>43</v>
      </c>
      <c r="F4317">
        <v>13</v>
      </c>
      <c r="G4317" t="s">
        <v>4799</v>
      </c>
      <c r="H4317" t="s">
        <v>4804</v>
      </c>
      <c r="I4317">
        <v>13.99</v>
      </c>
      <c r="J4317">
        <v>2</v>
      </c>
      <c r="K4317">
        <v>1.43</v>
      </c>
      <c r="L4317">
        <v>0</v>
      </c>
      <c r="M4317" t="s">
        <v>4808</v>
      </c>
      <c r="N4317" t="s">
        <v>4900</v>
      </c>
      <c r="O4317" t="s">
        <v>4910</v>
      </c>
    </row>
    <row r="4318" spans="1:15" x14ac:dyDescent="0.35">
      <c r="A4318" t="s">
        <v>4257</v>
      </c>
      <c r="B4318">
        <v>21</v>
      </c>
      <c r="C4318" t="s">
        <v>4802</v>
      </c>
      <c r="D4318" t="s">
        <v>13</v>
      </c>
      <c r="E4318">
        <v>55</v>
      </c>
      <c r="F4318">
        <v>35</v>
      </c>
      <c r="G4318" t="s">
        <v>4798</v>
      </c>
      <c r="H4318" t="s">
        <v>4804</v>
      </c>
      <c r="I4318">
        <v>13.99</v>
      </c>
      <c r="J4318">
        <v>1</v>
      </c>
      <c r="K4318">
        <v>1.83</v>
      </c>
      <c r="L4318">
        <v>1</v>
      </c>
      <c r="M4318" t="s">
        <v>4812</v>
      </c>
      <c r="N4318" t="s">
        <v>4899</v>
      </c>
      <c r="O4318" t="s">
        <v>4912</v>
      </c>
    </row>
    <row r="4319" spans="1:15" x14ac:dyDescent="0.35">
      <c r="A4319" t="s">
        <v>4258</v>
      </c>
      <c r="B4319">
        <v>52</v>
      </c>
      <c r="C4319" t="s">
        <v>4803</v>
      </c>
      <c r="D4319" t="s">
        <v>13</v>
      </c>
      <c r="E4319">
        <v>41</v>
      </c>
      <c r="F4319">
        <v>17</v>
      </c>
      <c r="G4319" t="s">
        <v>4798</v>
      </c>
      <c r="H4319" t="s">
        <v>4805</v>
      </c>
      <c r="I4319">
        <v>13.99</v>
      </c>
      <c r="J4319">
        <v>2</v>
      </c>
      <c r="K4319">
        <v>5</v>
      </c>
      <c r="L4319">
        <v>0</v>
      </c>
      <c r="M4319" t="s">
        <v>4811</v>
      </c>
      <c r="N4319" t="s">
        <v>4900</v>
      </c>
      <c r="O4319" t="s">
        <v>4910</v>
      </c>
    </row>
    <row r="4320" spans="1:15" x14ac:dyDescent="0.35">
      <c r="A4320" t="s">
        <v>4259</v>
      </c>
      <c r="B4320">
        <v>41</v>
      </c>
      <c r="C4320" t="s">
        <v>4803</v>
      </c>
      <c r="D4320" t="s">
        <v>13</v>
      </c>
      <c r="E4320">
        <v>67</v>
      </c>
      <c r="F4320">
        <v>36</v>
      </c>
      <c r="G4320" t="s">
        <v>4799</v>
      </c>
      <c r="H4320" t="s">
        <v>4805</v>
      </c>
      <c r="I4320">
        <v>13.99</v>
      </c>
      <c r="J4320">
        <v>3</v>
      </c>
      <c r="K4320">
        <v>2.0299999999999998</v>
      </c>
      <c r="L4320">
        <v>0</v>
      </c>
      <c r="M4320" t="s">
        <v>4809</v>
      </c>
      <c r="N4320" t="s">
        <v>4900</v>
      </c>
      <c r="O4320" t="s">
        <v>4910</v>
      </c>
    </row>
    <row r="4321" spans="1:15" x14ac:dyDescent="0.35">
      <c r="A4321" t="s">
        <v>4260</v>
      </c>
      <c r="B4321">
        <v>30</v>
      </c>
      <c r="C4321" t="s">
        <v>4803</v>
      </c>
      <c r="D4321" t="s">
        <v>15</v>
      </c>
      <c r="E4321">
        <v>87</v>
      </c>
      <c r="F4321">
        <v>40</v>
      </c>
      <c r="G4321" t="s">
        <v>4800</v>
      </c>
      <c r="H4321" t="s">
        <v>4804</v>
      </c>
      <c r="I4321">
        <v>17.989999999999998</v>
      </c>
      <c r="J4321">
        <v>4</v>
      </c>
      <c r="K4321">
        <v>2.9</v>
      </c>
      <c r="L4321">
        <v>0</v>
      </c>
      <c r="M4321" t="s">
        <v>4810</v>
      </c>
      <c r="N4321" t="s">
        <v>4900</v>
      </c>
      <c r="O4321" t="s">
        <v>4912</v>
      </c>
    </row>
    <row r="4322" spans="1:15" x14ac:dyDescent="0.35">
      <c r="A4322" t="s">
        <v>4261</v>
      </c>
      <c r="B4322">
        <v>21</v>
      </c>
      <c r="C4322" t="s">
        <v>4803</v>
      </c>
      <c r="D4322" t="s">
        <v>13</v>
      </c>
      <c r="E4322">
        <v>71</v>
      </c>
      <c r="F4322">
        <v>9</v>
      </c>
      <c r="G4322" t="s">
        <v>4797</v>
      </c>
      <c r="H4322" t="s">
        <v>4805</v>
      </c>
      <c r="I4322">
        <v>13.99</v>
      </c>
      <c r="J4322">
        <v>3</v>
      </c>
      <c r="K4322">
        <v>2.37</v>
      </c>
      <c r="L4322">
        <v>0</v>
      </c>
      <c r="M4322" t="s">
        <v>4809</v>
      </c>
      <c r="N4322" t="s">
        <v>4900</v>
      </c>
      <c r="O4322" t="s">
        <v>4912</v>
      </c>
    </row>
    <row r="4323" spans="1:15" x14ac:dyDescent="0.35">
      <c r="A4323" t="s">
        <v>4262</v>
      </c>
      <c r="B4323">
        <v>39</v>
      </c>
      <c r="C4323" t="s">
        <v>4803</v>
      </c>
      <c r="D4323" t="s">
        <v>14</v>
      </c>
      <c r="E4323">
        <v>30</v>
      </c>
      <c r="F4323">
        <v>55</v>
      </c>
      <c r="G4323" t="s">
        <v>4798</v>
      </c>
      <c r="H4323" t="s">
        <v>4805</v>
      </c>
      <c r="I4323">
        <v>8.99</v>
      </c>
      <c r="J4323">
        <v>2</v>
      </c>
      <c r="K4323">
        <v>1</v>
      </c>
      <c r="L4323">
        <v>0</v>
      </c>
      <c r="M4323" t="s">
        <v>4812</v>
      </c>
      <c r="N4323" t="s">
        <v>4900</v>
      </c>
      <c r="O4323" t="s">
        <v>4910</v>
      </c>
    </row>
    <row r="4324" spans="1:15" x14ac:dyDescent="0.35">
      <c r="A4324" t="s">
        <v>4263</v>
      </c>
      <c r="B4324">
        <v>57</v>
      </c>
      <c r="C4324" t="s">
        <v>4803</v>
      </c>
      <c r="D4324" t="s">
        <v>15</v>
      </c>
      <c r="E4324">
        <v>54</v>
      </c>
      <c r="F4324">
        <v>32</v>
      </c>
      <c r="G4324" t="s">
        <v>4798</v>
      </c>
      <c r="H4324" t="s">
        <v>4804</v>
      </c>
      <c r="I4324">
        <v>17.989999999999998</v>
      </c>
      <c r="J4324">
        <v>3</v>
      </c>
      <c r="K4324">
        <v>1.8</v>
      </c>
      <c r="L4324">
        <v>0</v>
      </c>
      <c r="M4324" t="s">
        <v>4809</v>
      </c>
      <c r="N4324" t="s">
        <v>4900</v>
      </c>
      <c r="O4324" t="s">
        <v>4911</v>
      </c>
    </row>
    <row r="4325" spans="1:15" x14ac:dyDescent="0.35">
      <c r="A4325" t="s">
        <v>4264</v>
      </c>
      <c r="B4325">
        <v>50</v>
      </c>
      <c r="C4325" t="s">
        <v>4803</v>
      </c>
      <c r="D4325" t="s">
        <v>14</v>
      </c>
      <c r="E4325">
        <v>43</v>
      </c>
      <c r="F4325">
        <v>24</v>
      </c>
      <c r="G4325" t="s">
        <v>4798</v>
      </c>
      <c r="H4325" t="s">
        <v>4805</v>
      </c>
      <c r="I4325">
        <v>8.99</v>
      </c>
      <c r="J4325">
        <v>2</v>
      </c>
      <c r="K4325">
        <v>1.43</v>
      </c>
      <c r="L4325">
        <v>0</v>
      </c>
      <c r="M4325" t="s">
        <v>4809</v>
      </c>
      <c r="N4325" t="s">
        <v>4900</v>
      </c>
      <c r="O4325" t="s">
        <v>4910</v>
      </c>
    </row>
    <row r="4326" spans="1:15" x14ac:dyDescent="0.35">
      <c r="A4326" t="s">
        <v>4265</v>
      </c>
      <c r="B4326">
        <v>61</v>
      </c>
      <c r="C4326" t="s">
        <v>4803</v>
      </c>
      <c r="D4326" t="s">
        <v>13</v>
      </c>
      <c r="E4326">
        <v>66</v>
      </c>
      <c r="F4326">
        <v>7</v>
      </c>
      <c r="G4326" t="s">
        <v>4799</v>
      </c>
      <c r="H4326" t="s">
        <v>4804</v>
      </c>
      <c r="I4326">
        <v>13.99</v>
      </c>
      <c r="J4326">
        <v>1</v>
      </c>
      <c r="K4326">
        <v>2.0299999999999998</v>
      </c>
      <c r="L4326">
        <v>0</v>
      </c>
      <c r="M4326" t="s">
        <v>4808</v>
      </c>
      <c r="N4326" t="s">
        <v>4900</v>
      </c>
      <c r="O4326" t="s">
        <v>4911</v>
      </c>
    </row>
    <row r="4327" spans="1:15" x14ac:dyDescent="0.35">
      <c r="A4327" t="s">
        <v>4266</v>
      </c>
      <c r="B4327">
        <v>63</v>
      </c>
      <c r="C4327" t="s">
        <v>4802</v>
      </c>
      <c r="D4327" t="s">
        <v>13</v>
      </c>
      <c r="E4327">
        <v>60</v>
      </c>
      <c r="F4327">
        <v>19</v>
      </c>
      <c r="G4327" t="s">
        <v>4798</v>
      </c>
      <c r="H4327" t="s">
        <v>4806</v>
      </c>
      <c r="I4327">
        <v>13.99</v>
      </c>
      <c r="J4327">
        <v>4</v>
      </c>
      <c r="K4327">
        <v>2</v>
      </c>
      <c r="L4327">
        <v>0</v>
      </c>
      <c r="M4327" t="s">
        <v>4809</v>
      </c>
      <c r="N4327" t="s">
        <v>4900</v>
      </c>
      <c r="O4327" t="s">
        <v>4911</v>
      </c>
    </row>
    <row r="4328" spans="1:15" x14ac:dyDescent="0.35">
      <c r="A4328" t="s">
        <v>4267</v>
      </c>
      <c r="B4328">
        <v>53</v>
      </c>
      <c r="C4328" t="s">
        <v>4802</v>
      </c>
      <c r="D4328" t="s">
        <v>15</v>
      </c>
      <c r="E4328">
        <v>88</v>
      </c>
      <c r="F4328">
        <v>13</v>
      </c>
      <c r="G4328" t="s">
        <v>4799</v>
      </c>
      <c r="H4328" t="s">
        <v>4805</v>
      </c>
      <c r="I4328">
        <v>17.989999999999998</v>
      </c>
      <c r="J4328">
        <v>5</v>
      </c>
      <c r="K4328">
        <v>2.93</v>
      </c>
      <c r="L4328">
        <v>0</v>
      </c>
      <c r="M4328" t="s">
        <v>4811</v>
      </c>
      <c r="N4328" t="s">
        <v>4900</v>
      </c>
      <c r="O4328" t="s">
        <v>4910</v>
      </c>
    </row>
    <row r="4329" spans="1:15" x14ac:dyDescent="0.35">
      <c r="A4329" t="s">
        <v>4268</v>
      </c>
      <c r="B4329">
        <v>48</v>
      </c>
      <c r="C4329" t="s">
        <v>4803</v>
      </c>
      <c r="D4329" t="s">
        <v>13</v>
      </c>
      <c r="E4329">
        <v>35</v>
      </c>
      <c r="F4329">
        <v>37</v>
      </c>
      <c r="G4329" t="s">
        <v>4798</v>
      </c>
      <c r="H4329" t="s">
        <v>4806</v>
      </c>
      <c r="I4329">
        <v>13.99</v>
      </c>
      <c r="J4329">
        <v>1</v>
      </c>
      <c r="K4329">
        <v>1.17</v>
      </c>
      <c r="L4329">
        <v>1</v>
      </c>
      <c r="M4329" t="s">
        <v>4811</v>
      </c>
      <c r="N4329" t="s">
        <v>4899</v>
      </c>
      <c r="O4329" t="s">
        <v>4910</v>
      </c>
    </row>
    <row r="4330" spans="1:15" x14ac:dyDescent="0.35">
      <c r="A4330" t="s">
        <v>4269</v>
      </c>
      <c r="B4330">
        <v>54</v>
      </c>
      <c r="C4330" t="s">
        <v>4803</v>
      </c>
      <c r="D4330" t="s">
        <v>13</v>
      </c>
      <c r="E4330">
        <v>68</v>
      </c>
      <c r="F4330">
        <v>18</v>
      </c>
      <c r="G4330" t="s">
        <v>4799</v>
      </c>
      <c r="H4330" t="s">
        <v>4805</v>
      </c>
      <c r="I4330">
        <v>13.99</v>
      </c>
      <c r="J4330">
        <v>1</v>
      </c>
      <c r="K4330">
        <v>2.27</v>
      </c>
      <c r="L4330">
        <v>0</v>
      </c>
      <c r="M4330" t="s">
        <v>4809</v>
      </c>
      <c r="N4330" t="s">
        <v>4900</v>
      </c>
      <c r="O4330" t="s">
        <v>4910</v>
      </c>
    </row>
    <row r="4331" spans="1:15" x14ac:dyDescent="0.35">
      <c r="A4331" t="s">
        <v>4270</v>
      </c>
      <c r="B4331">
        <v>42</v>
      </c>
      <c r="C4331" t="s">
        <v>4803</v>
      </c>
      <c r="D4331" t="s">
        <v>13</v>
      </c>
      <c r="E4331">
        <v>66</v>
      </c>
      <c r="F4331">
        <v>53</v>
      </c>
      <c r="G4331" t="s">
        <v>4797</v>
      </c>
      <c r="H4331" t="s">
        <v>4805</v>
      </c>
      <c r="I4331">
        <v>13.99</v>
      </c>
      <c r="J4331">
        <v>4</v>
      </c>
      <c r="K4331">
        <v>2.2000000000000002</v>
      </c>
      <c r="L4331">
        <v>0</v>
      </c>
      <c r="M4331" t="s">
        <v>4808</v>
      </c>
      <c r="N4331" t="s">
        <v>4900</v>
      </c>
      <c r="O4331" t="s">
        <v>4910</v>
      </c>
    </row>
    <row r="4332" spans="1:15" x14ac:dyDescent="0.35">
      <c r="A4332" t="s">
        <v>4271</v>
      </c>
      <c r="B4332">
        <v>44</v>
      </c>
      <c r="C4332" t="s">
        <v>4802</v>
      </c>
      <c r="D4332" t="s">
        <v>15</v>
      </c>
      <c r="E4332">
        <v>81</v>
      </c>
      <c r="F4332">
        <v>26</v>
      </c>
      <c r="G4332" t="s">
        <v>4798</v>
      </c>
      <c r="H4332" t="s">
        <v>4805</v>
      </c>
      <c r="I4332">
        <v>17.989999999999998</v>
      </c>
      <c r="J4332">
        <v>3</v>
      </c>
      <c r="K4332">
        <v>2.7</v>
      </c>
      <c r="L4332">
        <v>1</v>
      </c>
      <c r="M4332" t="s">
        <v>4812</v>
      </c>
      <c r="N4332" t="s">
        <v>4899</v>
      </c>
      <c r="O4332" t="s">
        <v>4910</v>
      </c>
    </row>
    <row r="4333" spans="1:15" x14ac:dyDescent="0.35">
      <c r="A4333" t="s">
        <v>4272</v>
      </c>
      <c r="B4333">
        <v>29</v>
      </c>
      <c r="C4333" t="s">
        <v>4803</v>
      </c>
      <c r="D4333" t="s">
        <v>13</v>
      </c>
      <c r="E4333">
        <v>76</v>
      </c>
      <c r="F4333">
        <v>39</v>
      </c>
      <c r="G4333" t="s">
        <v>4799</v>
      </c>
      <c r="H4333" t="s">
        <v>4805</v>
      </c>
      <c r="I4333">
        <v>13.99</v>
      </c>
      <c r="J4333">
        <v>1</v>
      </c>
      <c r="K4333">
        <v>2.0299999999999998</v>
      </c>
      <c r="L4333">
        <v>0</v>
      </c>
      <c r="M4333" t="s">
        <v>4809</v>
      </c>
      <c r="N4333" t="s">
        <v>4900</v>
      </c>
      <c r="O4333" t="s">
        <v>4912</v>
      </c>
    </row>
    <row r="4334" spans="1:15" x14ac:dyDescent="0.35">
      <c r="A4334" t="s">
        <v>4273</v>
      </c>
      <c r="B4334">
        <v>21</v>
      </c>
      <c r="C4334" t="s">
        <v>4803</v>
      </c>
      <c r="D4334" t="s">
        <v>13</v>
      </c>
      <c r="E4334">
        <v>32</v>
      </c>
      <c r="F4334">
        <v>35</v>
      </c>
      <c r="G4334" t="s">
        <v>4799</v>
      </c>
      <c r="H4334" t="s">
        <v>4805</v>
      </c>
      <c r="I4334">
        <v>13.99</v>
      </c>
      <c r="J4334">
        <v>2</v>
      </c>
      <c r="K4334">
        <v>1.07</v>
      </c>
      <c r="L4334">
        <v>0</v>
      </c>
      <c r="M4334" t="s">
        <v>4809</v>
      </c>
      <c r="N4334" t="s">
        <v>4900</v>
      </c>
      <c r="O4334" t="s">
        <v>4912</v>
      </c>
    </row>
    <row r="4335" spans="1:15" x14ac:dyDescent="0.35">
      <c r="A4335" t="s">
        <v>4274</v>
      </c>
      <c r="B4335">
        <v>55</v>
      </c>
      <c r="C4335" t="s">
        <v>4802</v>
      </c>
      <c r="D4335" t="s">
        <v>13</v>
      </c>
      <c r="E4335">
        <v>51</v>
      </c>
      <c r="F4335">
        <v>45</v>
      </c>
      <c r="G4335" t="s">
        <v>4798</v>
      </c>
      <c r="H4335" t="s">
        <v>4805</v>
      </c>
      <c r="I4335">
        <v>13.99</v>
      </c>
      <c r="J4335">
        <v>1</v>
      </c>
      <c r="K4335">
        <v>1.7</v>
      </c>
      <c r="L4335">
        <v>0</v>
      </c>
      <c r="M4335" t="s">
        <v>4812</v>
      </c>
      <c r="N4335" t="s">
        <v>4900</v>
      </c>
      <c r="O4335" t="s">
        <v>4911</v>
      </c>
    </row>
    <row r="4336" spans="1:15" x14ac:dyDescent="0.35">
      <c r="A4336" t="s">
        <v>4275</v>
      </c>
      <c r="B4336">
        <v>55</v>
      </c>
      <c r="C4336" t="s">
        <v>4802</v>
      </c>
      <c r="D4336" t="s">
        <v>13</v>
      </c>
      <c r="E4336">
        <v>43</v>
      </c>
      <c r="F4336">
        <v>11</v>
      </c>
      <c r="G4336" t="s">
        <v>4798</v>
      </c>
      <c r="H4336" t="s">
        <v>4805</v>
      </c>
      <c r="I4336">
        <v>13.99</v>
      </c>
      <c r="J4336">
        <v>4</v>
      </c>
      <c r="K4336">
        <v>1.43</v>
      </c>
      <c r="L4336">
        <v>0</v>
      </c>
      <c r="M4336" t="s">
        <v>4811</v>
      </c>
      <c r="N4336" t="s">
        <v>4900</v>
      </c>
      <c r="O4336" t="s">
        <v>4911</v>
      </c>
    </row>
    <row r="4337" spans="1:15" x14ac:dyDescent="0.35">
      <c r="A4337" t="s">
        <v>4889</v>
      </c>
      <c r="B4337">
        <v>56</v>
      </c>
      <c r="C4337" t="s">
        <v>4803</v>
      </c>
      <c r="D4337" t="s">
        <v>13</v>
      </c>
      <c r="E4337">
        <v>50</v>
      </c>
      <c r="F4337">
        <v>1</v>
      </c>
      <c r="G4337" t="s">
        <v>4798</v>
      </c>
      <c r="H4337" t="s">
        <v>4805</v>
      </c>
      <c r="I4337">
        <v>13.99</v>
      </c>
      <c r="J4337">
        <v>2</v>
      </c>
      <c r="K4337">
        <v>1.67</v>
      </c>
      <c r="L4337">
        <v>0</v>
      </c>
      <c r="M4337" t="s">
        <v>4808</v>
      </c>
      <c r="N4337" t="s">
        <v>4900</v>
      </c>
      <c r="O4337" t="s">
        <v>4911</v>
      </c>
    </row>
    <row r="4338" spans="1:15" x14ac:dyDescent="0.35">
      <c r="A4338" t="s">
        <v>4276</v>
      </c>
      <c r="B4338">
        <v>31</v>
      </c>
      <c r="C4338" t="s">
        <v>4802</v>
      </c>
      <c r="D4338" t="s">
        <v>13</v>
      </c>
      <c r="E4338">
        <v>36</v>
      </c>
      <c r="F4338">
        <v>35</v>
      </c>
      <c r="G4338" t="s">
        <v>4800</v>
      </c>
      <c r="H4338" t="s">
        <v>4806</v>
      </c>
      <c r="I4338">
        <v>13.99</v>
      </c>
      <c r="J4338">
        <v>4</v>
      </c>
      <c r="K4338">
        <v>1.2</v>
      </c>
      <c r="L4338">
        <v>0</v>
      </c>
      <c r="M4338" t="s">
        <v>4809</v>
      </c>
      <c r="N4338" t="s">
        <v>4900</v>
      </c>
      <c r="O4338" t="s">
        <v>4912</v>
      </c>
    </row>
    <row r="4339" spans="1:15" x14ac:dyDescent="0.35">
      <c r="A4339" t="s">
        <v>4277</v>
      </c>
      <c r="B4339">
        <v>64</v>
      </c>
      <c r="C4339" t="s">
        <v>4803</v>
      </c>
      <c r="D4339" t="s">
        <v>13</v>
      </c>
      <c r="E4339">
        <v>43</v>
      </c>
      <c r="F4339">
        <v>2</v>
      </c>
      <c r="G4339" t="s">
        <v>4798</v>
      </c>
      <c r="H4339" t="s">
        <v>4804</v>
      </c>
      <c r="I4339">
        <v>13.99</v>
      </c>
      <c r="J4339">
        <v>3</v>
      </c>
      <c r="K4339">
        <v>2.0299999999999998</v>
      </c>
      <c r="L4339">
        <v>0</v>
      </c>
      <c r="M4339" t="s">
        <v>4810</v>
      </c>
      <c r="N4339" t="s">
        <v>4900</v>
      </c>
      <c r="O4339" t="s">
        <v>4911</v>
      </c>
    </row>
    <row r="4340" spans="1:15" x14ac:dyDescent="0.35">
      <c r="A4340" t="s">
        <v>4278</v>
      </c>
      <c r="B4340">
        <v>50</v>
      </c>
      <c r="C4340" t="s">
        <v>4803</v>
      </c>
      <c r="D4340" t="s">
        <v>13</v>
      </c>
      <c r="E4340">
        <v>48</v>
      </c>
      <c r="F4340">
        <v>4</v>
      </c>
      <c r="G4340" t="s">
        <v>4798</v>
      </c>
      <c r="H4340" t="s">
        <v>4804</v>
      </c>
      <c r="I4340">
        <v>13.99</v>
      </c>
      <c r="J4340">
        <v>3</v>
      </c>
      <c r="K4340">
        <v>1.6</v>
      </c>
      <c r="L4340">
        <v>0</v>
      </c>
      <c r="M4340" t="s">
        <v>4811</v>
      </c>
      <c r="N4340" t="s">
        <v>4900</v>
      </c>
      <c r="O4340" t="s">
        <v>4910</v>
      </c>
    </row>
    <row r="4341" spans="1:15" x14ac:dyDescent="0.35">
      <c r="A4341" t="s">
        <v>4279</v>
      </c>
      <c r="B4341">
        <v>22</v>
      </c>
      <c r="C4341" t="s">
        <v>4803</v>
      </c>
      <c r="D4341" t="s">
        <v>13</v>
      </c>
      <c r="E4341">
        <v>37</v>
      </c>
      <c r="F4341">
        <v>32</v>
      </c>
      <c r="G4341" t="s">
        <v>4798</v>
      </c>
      <c r="H4341" t="s">
        <v>4805</v>
      </c>
      <c r="I4341">
        <v>13.99</v>
      </c>
      <c r="J4341">
        <v>2</v>
      </c>
      <c r="K4341">
        <v>1.23</v>
      </c>
      <c r="L4341">
        <v>0</v>
      </c>
      <c r="M4341" t="s">
        <v>4810</v>
      </c>
      <c r="N4341" t="s">
        <v>4900</v>
      </c>
      <c r="O4341" t="s">
        <v>4912</v>
      </c>
    </row>
    <row r="4342" spans="1:15" x14ac:dyDescent="0.35">
      <c r="A4342" t="s">
        <v>4280</v>
      </c>
      <c r="B4342">
        <v>38</v>
      </c>
      <c r="C4342" t="s">
        <v>4803</v>
      </c>
      <c r="D4342" t="s">
        <v>13</v>
      </c>
      <c r="E4342">
        <v>36</v>
      </c>
      <c r="F4342">
        <v>24</v>
      </c>
      <c r="G4342" t="s">
        <v>4800</v>
      </c>
      <c r="H4342" t="s">
        <v>4806</v>
      </c>
      <c r="I4342">
        <v>13.99</v>
      </c>
      <c r="J4342">
        <v>3</v>
      </c>
      <c r="K4342">
        <v>1.2</v>
      </c>
      <c r="L4342">
        <v>0</v>
      </c>
      <c r="M4342" t="s">
        <v>4810</v>
      </c>
      <c r="N4342" t="s">
        <v>4900</v>
      </c>
      <c r="O4342" t="s">
        <v>4910</v>
      </c>
    </row>
    <row r="4343" spans="1:15" x14ac:dyDescent="0.35">
      <c r="A4343" t="s">
        <v>4281</v>
      </c>
      <c r="B4343">
        <v>43</v>
      </c>
      <c r="C4343" t="s">
        <v>4803</v>
      </c>
      <c r="D4343" t="s">
        <v>13</v>
      </c>
      <c r="E4343">
        <v>37</v>
      </c>
      <c r="F4343">
        <v>11</v>
      </c>
      <c r="G4343" t="s">
        <v>4797</v>
      </c>
      <c r="H4343" t="s">
        <v>4805</v>
      </c>
      <c r="I4343">
        <v>13.99</v>
      </c>
      <c r="J4343">
        <v>1</v>
      </c>
      <c r="K4343">
        <v>2.0299999999999998</v>
      </c>
      <c r="L4343">
        <v>0</v>
      </c>
      <c r="M4343" t="s">
        <v>4812</v>
      </c>
      <c r="N4343" t="s">
        <v>4900</v>
      </c>
      <c r="O4343" t="s">
        <v>4910</v>
      </c>
    </row>
    <row r="4344" spans="1:15" x14ac:dyDescent="0.35">
      <c r="A4344" t="s">
        <v>4282</v>
      </c>
      <c r="B4344">
        <v>61</v>
      </c>
      <c r="C4344" t="s">
        <v>4803</v>
      </c>
      <c r="D4344" t="s">
        <v>14</v>
      </c>
      <c r="E4344">
        <v>24</v>
      </c>
      <c r="F4344">
        <v>32</v>
      </c>
      <c r="G4344" t="s">
        <v>4797</v>
      </c>
      <c r="H4344" t="s">
        <v>4805</v>
      </c>
      <c r="I4344">
        <v>8.99</v>
      </c>
      <c r="J4344">
        <v>2</v>
      </c>
      <c r="K4344">
        <v>0.8</v>
      </c>
      <c r="L4344">
        <v>0</v>
      </c>
      <c r="M4344" t="s">
        <v>4808</v>
      </c>
      <c r="N4344" t="s">
        <v>4900</v>
      </c>
      <c r="O4344" t="s">
        <v>4911</v>
      </c>
    </row>
    <row r="4345" spans="1:15" x14ac:dyDescent="0.35">
      <c r="A4345" t="s">
        <v>4283</v>
      </c>
      <c r="B4345">
        <v>64</v>
      </c>
      <c r="C4345" t="s">
        <v>4802</v>
      </c>
      <c r="D4345" t="s">
        <v>13</v>
      </c>
      <c r="E4345">
        <v>46</v>
      </c>
      <c r="F4345">
        <v>42</v>
      </c>
      <c r="G4345" t="s">
        <v>4799</v>
      </c>
      <c r="H4345" t="s">
        <v>4805</v>
      </c>
      <c r="I4345">
        <v>13.99</v>
      </c>
      <c r="J4345">
        <v>2</v>
      </c>
      <c r="K4345">
        <v>1.53</v>
      </c>
      <c r="L4345">
        <v>0</v>
      </c>
      <c r="M4345" t="s">
        <v>4811</v>
      </c>
      <c r="N4345" t="s">
        <v>4900</v>
      </c>
      <c r="O4345" t="s">
        <v>4911</v>
      </c>
    </row>
    <row r="4346" spans="1:15" x14ac:dyDescent="0.35">
      <c r="A4346" t="s">
        <v>4284</v>
      </c>
      <c r="B4346">
        <v>44</v>
      </c>
      <c r="C4346" t="s">
        <v>4802</v>
      </c>
      <c r="D4346" t="s">
        <v>13</v>
      </c>
      <c r="E4346">
        <v>47</v>
      </c>
      <c r="F4346">
        <v>10</v>
      </c>
      <c r="G4346" t="s">
        <v>4797</v>
      </c>
      <c r="H4346" t="s">
        <v>4805</v>
      </c>
      <c r="I4346">
        <v>13.99</v>
      </c>
      <c r="J4346">
        <v>3</v>
      </c>
      <c r="K4346">
        <v>1.57</v>
      </c>
      <c r="L4346">
        <v>0</v>
      </c>
      <c r="M4346" t="s">
        <v>4808</v>
      </c>
      <c r="N4346" t="s">
        <v>4900</v>
      </c>
      <c r="O4346" t="s">
        <v>4910</v>
      </c>
    </row>
    <row r="4347" spans="1:15" x14ac:dyDescent="0.35">
      <c r="A4347" t="s">
        <v>4285</v>
      </c>
      <c r="B4347">
        <v>19</v>
      </c>
      <c r="C4347" t="s">
        <v>4802</v>
      </c>
      <c r="D4347" t="s">
        <v>13</v>
      </c>
      <c r="E4347">
        <v>39</v>
      </c>
      <c r="F4347">
        <v>3</v>
      </c>
      <c r="G4347" t="s">
        <v>4799</v>
      </c>
      <c r="H4347" t="s">
        <v>4805</v>
      </c>
      <c r="I4347">
        <v>13.99</v>
      </c>
      <c r="J4347">
        <v>2</v>
      </c>
      <c r="K4347">
        <v>1.3</v>
      </c>
      <c r="L4347">
        <v>0</v>
      </c>
      <c r="M4347" t="s">
        <v>4811</v>
      </c>
      <c r="N4347" t="s">
        <v>4900</v>
      </c>
      <c r="O4347" t="s">
        <v>4912</v>
      </c>
    </row>
    <row r="4348" spans="1:15" x14ac:dyDescent="0.35">
      <c r="A4348" t="s">
        <v>4286</v>
      </c>
      <c r="B4348">
        <v>51</v>
      </c>
      <c r="C4348" t="s">
        <v>4803</v>
      </c>
      <c r="D4348" t="s">
        <v>15</v>
      </c>
      <c r="E4348">
        <v>66</v>
      </c>
      <c r="F4348">
        <v>25</v>
      </c>
      <c r="G4348" t="s">
        <v>4797</v>
      </c>
      <c r="H4348" t="s">
        <v>4804</v>
      </c>
      <c r="I4348">
        <v>17.989999999999998</v>
      </c>
      <c r="J4348">
        <v>3</v>
      </c>
      <c r="K4348">
        <v>2.2000000000000002</v>
      </c>
      <c r="L4348">
        <v>0</v>
      </c>
      <c r="M4348" t="s">
        <v>4810</v>
      </c>
      <c r="N4348" t="s">
        <v>4900</v>
      </c>
      <c r="O4348" t="s">
        <v>4910</v>
      </c>
    </row>
    <row r="4349" spans="1:15" x14ac:dyDescent="0.35">
      <c r="A4349" t="s">
        <v>4287</v>
      </c>
      <c r="B4349">
        <v>51</v>
      </c>
      <c r="C4349" t="s">
        <v>4802</v>
      </c>
      <c r="D4349" t="s">
        <v>13</v>
      </c>
      <c r="E4349">
        <v>55</v>
      </c>
      <c r="F4349">
        <v>4</v>
      </c>
      <c r="G4349" t="s">
        <v>4798</v>
      </c>
      <c r="H4349" t="s">
        <v>4804</v>
      </c>
      <c r="I4349">
        <v>13.99</v>
      </c>
      <c r="J4349">
        <v>2</v>
      </c>
      <c r="K4349">
        <v>1.83</v>
      </c>
      <c r="L4349">
        <v>0</v>
      </c>
      <c r="M4349" t="s">
        <v>4811</v>
      </c>
      <c r="N4349" t="s">
        <v>4900</v>
      </c>
      <c r="O4349" t="s">
        <v>4910</v>
      </c>
    </row>
    <row r="4350" spans="1:15" x14ac:dyDescent="0.35">
      <c r="A4350" t="s">
        <v>4288</v>
      </c>
      <c r="B4350">
        <v>64</v>
      </c>
      <c r="C4350" t="s">
        <v>4802</v>
      </c>
      <c r="D4350" t="s">
        <v>13</v>
      </c>
      <c r="E4350">
        <v>51</v>
      </c>
      <c r="F4350">
        <v>14</v>
      </c>
      <c r="G4350" t="s">
        <v>4799</v>
      </c>
      <c r="H4350" t="s">
        <v>4806</v>
      </c>
      <c r="I4350">
        <v>13.99</v>
      </c>
      <c r="J4350">
        <v>1</v>
      </c>
      <c r="K4350">
        <v>1.7</v>
      </c>
      <c r="L4350">
        <v>0</v>
      </c>
      <c r="M4350" t="s">
        <v>4811</v>
      </c>
      <c r="N4350" t="s">
        <v>4900</v>
      </c>
      <c r="O4350" t="s">
        <v>4911</v>
      </c>
    </row>
    <row r="4351" spans="1:15" x14ac:dyDescent="0.35">
      <c r="A4351" t="s">
        <v>4289</v>
      </c>
      <c r="B4351">
        <v>32</v>
      </c>
      <c r="C4351" t="s">
        <v>4803</v>
      </c>
      <c r="D4351" t="s">
        <v>13</v>
      </c>
      <c r="E4351">
        <v>52</v>
      </c>
      <c r="F4351">
        <v>44</v>
      </c>
      <c r="G4351" t="s">
        <v>4799</v>
      </c>
      <c r="H4351" t="s">
        <v>4804</v>
      </c>
      <c r="I4351">
        <v>13.99</v>
      </c>
      <c r="J4351">
        <v>2</v>
      </c>
      <c r="K4351">
        <v>1.73</v>
      </c>
      <c r="L4351">
        <v>1</v>
      </c>
      <c r="M4351" t="s">
        <v>4810</v>
      </c>
      <c r="N4351" t="s">
        <v>4899</v>
      </c>
      <c r="O4351" t="s">
        <v>4912</v>
      </c>
    </row>
    <row r="4352" spans="1:15" x14ac:dyDescent="0.35">
      <c r="A4352" t="s">
        <v>4290</v>
      </c>
      <c r="B4352">
        <v>21</v>
      </c>
      <c r="C4352" t="s">
        <v>4803</v>
      </c>
      <c r="D4352" t="s">
        <v>13</v>
      </c>
      <c r="E4352">
        <v>61</v>
      </c>
      <c r="F4352">
        <v>27</v>
      </c>
      <c r="G4352" t="s">
        <v>4797</v>
      </c>
      <c r="H4352" t="s">
        <v>4805</v>
      </c>
      <c r="I4352">
        <v>13.99</v>
      </c>
      <c r="J4352">
        <v>4</v>
      </c>
      <c r="K4352">
        <v>2.0299999999999998</v>
      </c>
      <c r="L4352">
        <v>0</v>
      </c>
      <c r="M4352" t="s">
        <v>4812</v>
      </c>
      <c r="N4352" t="s">
        <v>4900</v>
      </c>
      <c r="O4352" t="s">
        <v>4912</v>
      </c>
    </row>
    <row r="4353" spans="1:15" x14ac:dyDescent="0.35">
      <c r="A4353" t="s">
        <v>4291</v>
      </c>
      <c r="B4353">
        <v>44</v>
      </c>
      <c r="C4353" t="s">
        <v>4803</v>
      </c>
      <c r="D4353" t="s">
        <v>13</v>
      </c>
      <c r="E4353">
        <v>58</v>
      </c>
      <c r="F4353">
        <v>45</v>
      </c>
      <c r="G4353" t="s">
        <v>4798</v>
      </c>
      <c r="H4353" t="s">
        <v>4806</v>
      </c>
      <c r="I4353">
        <v>13.99</v>
      </c>
      <c r="J4353">
        <v>2</v>
      </c>
      <c r="K4353">
        <v>1.93</v>
      </c>
      <c r="L4353">
        <v>0</v>
      </c>
      <c r="M4353" t="s">
        <v>4811</v>
      </c>
      <c r="N4353" t="s">
        <v>4900</v>
      </c>
      <c r="O4353" t="s">
        <v>4910</v>
      </c>
    </row>
    <row r="4354" spans="1:15" x14ac:dyDescent="0.35">
      <c r="A4354" t="s">
        <v>4292</v>
      </c>
      <c r="B4354">
        <v>53</v>
      </c>
      <c r="C4354" t="s">
        <v>4802</v>
      </c>
      <c r="D4354" t="s">
        <v>13</v>
      </c>
      <c r="E4354">
        <v>79</v>
      </c>
      <c r="F4354">
        <v>1</v>
      </c>
      <c r="G4354" t="s">
        <v>4798</v>
      </c>
      <c r="H4354" t="s">
        <v>4807</v>
      </c>
      <c r="I4354">
        <v>13.99</v>
      </c>
      <c r="J4354">
        <v>2</v>
      </c>
      <c r="K4354">
        <v>2.63</v>
      </c>
      <c r="L4354">
        <v>0</v>
      </c>
      <c r="M4354" t="s">
        <v>4810</v>
      </c>
      <c r="N4354" t="s">
        <v>4900</v>
      </c>
      <c r="O4354" t="s">
        <v>4910</v>
      </c>
    </row>
    <row r="4355" spans="1:15" x14ac:dyDescent="0.35">
      <c r="A4355" t="s">
        <v>4293</v>
      </c>
      <c r="B4355">
        <v>63</v>
      </c>
      <c r="C4355" t="s">
        <v>4802</v>
      </c>
      <c r="D4355" t="s">
        <v>13</v>
      </c>
      <c r="E4355">
        <v>62</v>
      </c>
      <c r="F4355">
        <v>23</v>
      </c>
      <c r="G4355" t="s">
        <v>4799</v>
      </c>
      <c r="H4355" t="s">
        <v>4804</v>
      </c>
      <c r="I4355">
        <v>13.99</v>
      </c>
      <c r="J4355">
        <v>3</v>
      </c>
      <c r="K4355">
        <v>2.0699999999999998</v>
      </c>
      <c r="L4355">
        <v>0</v>
      </c>
      <c r="M4355" t="s">
        <v>4809</v>
      </c>
      <c r="N4355" t="s">
        <v>4900</v>
      </c>
      <c r="O4355" t="s">
        <v>4911</v>
      </c>
    </row>
    <row r="4356" spans="1:15" x14ac:dyDescent="0.35">
      <c r="A4356" t="s">
        <v>4294</v>
      </c>
      <c r="B4356">
        <v>34</v>
      </c>
      <c r="C4356" t="s">
        <v>4803</v>
      </c>
      <c r="D4356" t="s">
        <v>15</v>
      </c>
      <c r="E4356">
        <v>99</v>
      </c>
      <c r="F4356">
        <v>7</v>
      </c>
      <c r="G4356" t="s">
        <v>4798</v>
      </c>
      <c r="H4356" t="s">
        <v>4806</v>
      </c>
      <c r="I4356">
        <v>17.989999999999998</v>
      </c>
      <c r="J4356">
        <v>5</v>
      </c>
      <c r="K4356">
        <v>3.3</v>
      </c>
      <c r="L4356">
        <v>0</v>
      </c>
      <c r="M4356" t="s">
        <v>4809</v>
      </c>
      <c r="N4356" t="s">
        <v>4900</v>
      </c>
      <c r="O4356" t="s">
        <v>4912</v>
      </c>
    </row>
    <row r="4357" spans="1:15" x14ac:dyDescent="0.35">
      <c r="A4357" t="s">
        <v>4295</v>
      </c>
      <c r="B4357">
        <v>44</v>
      </c>
      <c r="C4357" t="s">
        <v>4802</v>
      </c>
      <c r="D4357" t="s">
        <v>13</v>
      </c>
      <c r="E4357">
        <v>79</v>
      </c>
      <c r="F4357">
        <v>20</v>
      </c>
      <c r="G4357" t="s">
        <v>4799</v>
      </c>
      <c r="H4357" t="s">
        <v>4805</v>
      </c>
      <c r="I4357">
        <v>13.99</v>
      </c>
      <c r="J4357">
        <v>4</v>
      </c>
      <c r="K4357">
        <v>2.63</v>
      </c>
      <c r="L4357">
        <v>0</v>
      </c>
      <c r="M4357" t="s">
        <v>4810</v>
      </c>
      <c r="N4357" t="s">
        <v>4900</v>
      </c>
      <c r="O4357" t="s">
        <v>4910</v>
      </c>
    </row>
    <row r="4358" spans="1:15" x14ac:dyDescent="0.35">
      <c r="A4358" t="s">
        <v>4296</v>
      </c>
      <c r="B4358">
        <v>62</v>
      </c>
      <c r="C4358" t="s">
        <v>4803</v>
      </c>
      <c r="D4358" t="s">
        <v>15</v>
      </c>
      <c r="E4358">
        <v>111</v>
      </c>
      <c r="F4358">
        <v>50</v>
      </c>
      <c r="G4358" t="s">
        <v>4797</v>
      </c>
      <c r="H4358" t="s">
        <v>4806</v>
      </c>
      <c r="I4358">
        <v>17.989999999999998</v>
      </c>
      <c r="J4358">
        <v>4</v>
      </c>
      <c r="K4358">
        <v>3.7</v>
      </c>
      <c r="L4358">
        <v>0</v>
      </c>
      <c r="M4358" t="s">
        <v>4811</v>
      </c>
      <c r="N4358" t="s">
        <v>4900</v>
      </c>
      <c r="O4358" t="s">
        <v>4911</v>
      </c>
    </row>
    <row r="4359" spans="1:15" x14ac:dyDescent="0.35">
      <c r="A4359" t="s">
        <v>4297</v>
      </c>
      <c r="B4359">
        <v>54</v>
      </c>
      <c r="C4359" t="s">
        <v>4802</v>
      </c>
      <c r="D4359" t="s">
        <v>13</v>
      </c>
      <c r="E4359">
        <v>53</v>
      </c>
      <c r="F4359">
        <v>17</v>
      </c>
      <c r="G4359" t="s">
        <v>4799</v>
      </c>
      <c r="H4359" t="s">
        <v>4806</v>
      </c>
      <c r="I4359">
        <v>13.99</v>
      </c>
      <c r="J4359">
        <v>3</v>
      </c>
      <c r="K4359">
        <v>1.77</v>
      </c>
      <c r="L4359">
        <v>0</v>
      </c>
      <c r="M4359" t="s">
        <v>4808</v>
      </c>
      <c r="N4359" t="s">
        <v>4900</v>
      </c>
      <c r="O4359" t="s">
        <v>4910</v>
      </c>
    </row>
    <row r="4360" spans="1:15" x14ac:dyDescent="0.35">
      <c r="A4360" t="s">
        <v>4298</v>
      </c>
      <c r="B4360">
        <v>50</v>
      </c>
      <c r="C4360" t="s">
        <v>4803</v>
      </c>
      <c r="D4360" t="s">
        <v>13</v>
      </c>
      <c r="E4360">
        <v>38</v>
      </c>
      <c r="F4360">
        <v>18</v>
      </c>
      <c r="G4360" t="s">
        <v>4797</v>
      </c>
      <c r="H4360" t="s">
        <v>4805</v>
      </c>
      <c r="I4360">
        <v>13.99</v>
      </c>
      <c r="J4360">
        <v>3</v>
      </c>
      <c r="K4360">
        <v>1.27</v>
      </c>
      <c r="L4360">
        <v>0</v>
      </c>
      <c r="M4360" t="s">
        <v>4808</v>
      </c>
      <c r="N4360" t="s">
        <v>4900</v>
      </c>
      <c r="O4360" t="s">
        <v>4910</v>
      </c>
    </row>
    <row r="4361" spans="1:15" x14ac:dyDescent="0.35">
      <c r="A4361" t="s">
        <v>4299</v>
      </c>
      <c r="B4361">
        <v>33</v>
      </c>
      <c r="C4361" t="s">
        <v>4802</v>
      </c>
      <c r="D4361" t="s">
        <v>15</v>
      </c>
      <c r="E4361">
        <v>61</v>
      </c>
      <c r="F4361">
        <v>4</v>
      </c>
      <c r="G4361" t="s">
        <v>4797</v>
      </c>
      <c r="H4361" t="s">
        <v>4806</v>
      </c>
      <c r="I4361">
        <v>17.989999999999998</v>
      </c>
      <c r="J4361">
        <v>3</v>
      </c>
      <c r="K4361">
        <v>2.0299999999999998</v>
      </c>
      <c r="L4361">
        <v>0</v>
      </c>
      <c r="M4361" t="s">
        <v>4810</v>
      </c>
      <c r="N4361" t="s">
        <v>4900</v>
      </c>
      <c r="O4361" t="s">
        <v>4912</v>
      </c>
    </row>
    <row r="4362" spans="1:15" x14ac:dyDescent="0.35">
      <c r="A4362" t="s">
        <v>4300</v>
      </c>
      <c r="B4362">
        <v>64</v>
      </c>
      <c r="C4362" t="s">
        <v>4802</v>
      </c>
      <c r="D4362" t="s">
        <v>13</v>
      </c>
      <c r="E4362">
        <v>65</v>
      </c>
      <c r="F4362">
        <v>30</v>
      </c>
      <c r="G4362" t="s">
        <v>4798</v>
      </c>
      <c r="H4362" t="s">
        <v>4804</v>
      </c>
      <c r="I4362">
        <v>13.99</v>
      </c>
      <c r="J4362">
        <v>4</v>
      </c>
      <c r="K4362">
        <v>2.17</v>
      </c>
      <c r="L4362">
        <v>0</v>
      </c>
      <c r="M4362" t="s">
        <v>4808</v>
      </c>
      <c r="N4362" t="s">
        <v>4900</v>
      </c>
      <c r="O4362" t="s">
        <v>4911</v>
      </c>
    </row>
    <row r="4363" spans="1:15" x14ac:dyDescent="0.35">
      <c r="A4363" t="s">
        <v>4301</v>
      </c>
      <c r="B4363">
        <v>63</v>
      </c>
      <c r="C4363" t="s">
        <v>4802</v>
      </c>
      <c r="D4363" t="s">
        <v>13</v>
      </c>
      <c r="E4363">
        <v>57</v>
      </c>
      <c r="F4363">
        <v>53</v>
      </c>
      <c r="G4363" t="s">
        <v>4797</v>
      </c>
      <c r="H4363" t="s">
        <v>4805</v>
      </c>
      <c r="I4363">
        <v>13.99</v>
      </c>
      <c r="J4363">
        <v>4</v>
      </c>
      <c r="K4363">
        <v>1.9</v>
      </c>
      <c r="L4363">
        <v>0</v>
      </c>
      <c r="M4363" t="s">
        <v>4808</v>
      </c>
      <c r="N4363" t="s">
        <v>4900</v>
      </c>
      <c r="O4363" t="s">
        <v>4911</v>
      </c>
    </row>
    <row r="4364" spans="1:15" x14ac:dyDescent="0.35">
      <c r="A4364" t="s">
        <v>4302</v>
      </c>
      <c r="B4364">
        <v>18</v>
      </c>
      <c r="C4364" t="s">
        <v>4803</v>
      </c>
      <c r="D4364" t="s">
        <v>14</v>
      </c>
      <c r="E4364">
        <v>51</v>
      </c>
      <c r="F4364">
        <v>43</v>
      </c>
      <c r="G4364" t="s">
        <v>4799</v>
      </c>
      <c r="H4364" t="s">
        <v>4805</v>
      </c>
      <c r="I4364">
        <v>8.99</v>
      </c>
      <c r="J4364">
        <v>4</v>
      </c>
      <c r="K4364">
        <v>1.7</v>
      </c>
      <c r="L4364">
        <v>0</v>
      </c>
      <c r="M4364" t="s">
        <v>4808</v>
      </c>
      <c r="N4364" t="s">
        <v>4900</v>
      </c>
      <c r="O4364" t="s">
        <v>4912</v>
      </c>
    </row>
    <row r="4365" spans="1:15" x14ac:dyDescent="0.35">
      <c r="A4365" t="s">
        <v>4303</v>
      </c>
      <c r="B4365">
        <v>25</v>
      </c>
      <c r="C4365" t="s">
        <v>4802</v>
      </c>
      <c r="D4365" t="s">
        <v>13</v>
      </c>
      <c r="E4365">
        <v>44</v>
      </c>
      <c r="F4365">
        <v>35</v>
      </c>
      <c r="G4365" t="s">
        <v>4799</v>
      </c>
      <c r="H4365" t="s">
        <v>4804</v>
      </c>
      <c r="I4365">
        <v>13.99</v>
      </c>
      <c r="J4365">
        <v>2</v>
      </c>
      <c r="K4365">
        <v>1.47</v>
      </c>
      <c r="L4365">
        <v>0</v>
      </c>
      <c r="M4365" t="s">
        <v>4810</v>
      </c>
      <c r="N4365" t="s">
        <v>4900</v>
      </c>
      <c r="O4365" t="s">
        <v>4912</v>
      </c>
    </row>
    <row r="4366" spans="1:15" x14ac:dyDescent="0.35">
      <c r="A4366" t="s">
        <v>4304</v>
      </c>
      <c r="B4366">
        <v>41</v>
      </c>
      <c r="C4366" t="s">
        <v>4803</v>
      </c>
      <c r="D4366" t="s">
        <v>13</v>
      </c>
      <c r="E4366">
        <v>55</v>
      </c>
      <c r="F4366">
        <v>3</v>
      </c>
      <c r="G4366" t="s">
        <v>4799</v>
      </c>
      <c r="H4366" t="s">
        <v>4807</v>
      </c>
      <c r="I4366">
        <v>13.99</v>
      </c>
      <c r="J4366">
        <v>3</v>
      </c>
      <c r="K4366">
        <v>1.83</v>
      </c>
      <c r="L4366">
        <v>0</v>
      </c>
      <c r="M4366" t="s">
        <v>4810</v>
      </c>
      <c r="N4366" t="s">
        <v>4900</v>
      </c>
      <c r="O4366" t="s">
        <v>4910</v>
      </c>
    </row>
    <row r="4367" spans="1:15" x14ac:dyDescent="0.35">
      <c r="A4367" t="s">
        <v>4305</v>
      </c>
      <c r="B4367">
        <v>61</v>
      </c>
      <c r="C4367" t="s">
        <v>4803</v>
      </c>
      <c r="D4367" t="s">
        <v>15</v>
      </c>
      <c r="E4367">
        <v>100</v>
      </c>
      <c r="F4367">
        <v>14</v>
      </c>
      <c r="G4367" t="s">
        <v>4798</v>
      </c>
      <c r="H4367" t="s">
        <v>4804</v>
      </c>
      <c r="I4367">
        <v>17.989999999999998</v>
      </c>
      <c r="J4367">
        <v>5</v>
      </c>
      <c r="K4367">
        <v>3.33</v>
      </c>
      <c r="L4367">
        <v>0</v>
      </c>
      <c r="M4367" t="s">
        <v>4810</v>
      </c>
      <c r="N4367" t="s">
        <v>4900</v>
      </c>
      <c r="O4367" t="s">
        <v>4911</v>
      </c>
    </row>
    <row r="4368" spans="1:15" x14ac:dyDescent="0.35">
      <c r="A4368" t="s">
        <v>4306</v>
      </c>
      <c r="B4368">
        <v>60</v>
      </c>
      <c r="C4368" t="s">
        <v>4803</v>
      </c>
      <c r="D4368" t="s">
        <v>13</v>
      </c>
      <c r="E4368">
        <v>49</v>
      </c>
      <c r="F4368">
        <v>52</v>
      </c>
      <c r="G4368" t="s">
        <v>4798</v>
      </c>
      <c r="H4368" t="s">
        <v>4806</v>
      </c>
      <c r="I4368">
        <v>13.99</v>
      </c>
      <c r="J4368">
        <v>2</v>
      </c>
      <c r="K4368">
        <v>1.63</v>
      </c>
      <c r="L4368">
        <v>0</v>
      </c>
      <c r="M4368" t="s">
        <v>4809</v>
      </c>
      <c r="N4368" t="s">
        <v>4900</v>
      </c>
      <c r="O4368" t="s">
        <v>4911</v>
      </c>
    </row>
    <row r="4369" spans="1:15" x14ac:dyDescent="0.35">
      <c r="A4369" t="s">
        <v>4307</v>
      </c>
      <c r="B4369">
        <v>60</v>
      </c>
      <c r="C4369" t="s">
        <v>4802</v>
      </c>
      <c r="D4369" t="s">
        <v>15</v>
      </c>
      <c r="E4369">
        <v>58</v>
      </c>
      <c r="F4369">
        <v>6</v>
      </c>
      <c r="G4369" t="s">
        <v>4798</v>
      </c>
      <c r="H4369" t="s">
        <v>4806</v>
      </c>
      <c r="I4369">
        <v>17.989999999999998</v>
      </c>
      <c r="J4369">
        <v>5</v>
      </c>
      <c r="K4369">
        <v>1.93</v>
      </c>
      <c r="L4369">
        <v>0</v>
      </c>
      <c r="M4369" t="s">
        <v>4808</v>
      </c>
      <c r="N4369" t="s">
        <v>4900</v>
      </c>
      <c r="O4369" t="s">
        <v>4911</v>
      </c>
    </row>
    <row r="4370" spans="1:15" x14ac:dyDescent="0.35">
      <c r="A4370" t="s">
        <v>4308</v>
      </c>
      <c r="B4370">
        <v>33</v>
      </c>
      <c r="C4370" t="s">
        <v>4803</v>
      </c>
      <c r="D4370" t="s">
        <v>13</v>
      </c>
      <c r="E4370">
        <v>53</v>
      </c>
      <c r="F4370">
        <v>12</v>
      </c>
      <c r="G4370" t="s">
        <v>4800</v>
      </c>
      <c r="H4370" t="s">
        <v>4805</v>
      </c>
      <c r="I4370">
        <v>13.99</v>
      </c>
      <c r="J4370">
        <v>1</v>
      </c>
      <c r="K4370">
        <v>5</v>
      </c>
      <c r="L4370">
        <v>0</v>
      </c>
      <c r="M4370" t="s">
        <v>4812</v>
      </c>
      <c r="N4370" t="s">
        <v>4900</v>
      </c>
      <c r="O4370" t="s">
        <v>4912</v>
      </c>
    </row>
    <row r="4371" spans="1:15" x14ac:dyDescent="0.35">
      <c r="A4371" t="s">
        <v>4309</v>
      </c>
      <c r="B4371">
        <v>26</v>
      </c>
      <c r="C4371" t="s">
        <v>4803</v>
      </c>
      <c r="D4371" t="s">
        <v>15</v>
      </c>
      <c r="E4371">
        <v>100</v>
      </c>
      <c r="F4371">
        <v>6</v>
      </c>
      <c r="G4371" t="s">
        <v>4797</v>
      </c>
      <c r="H4371" t="s">
        <v>4805</v>
      </c>
      <c r="I4371">
        <v>17.989999999999998</v>
      </c>
      <c r="J4371">
        <v>2</v>
      </c>
      <c r="K4371">
        <v>3.33</v>
      </c>
      <c r="L4371">
        <v>0</v>
      </c>
      <c r="M4371" t="s">
        <v>4811</v>
      </c>
      <c r="N4371" t="s">
        <v>4900</v>
      </c>
      <c r="O4371" t="s">
        <v>4912</v>
      </c>
    </row>
    <row r="4372" spans="1:15" x14ac:dyDescent="0.35">
      <c r="A4372" t="s">
        <v>4310</v>
      </c>
      <c r="B4372">
        <v>57</v>
      </c>
      <c r="C4372" t="s">
        <v>4802</v>
      </c>
      <c r="D4372" t="s">
        <v>13</v>
      </c>
      <c r="E4372">
        <v>56</v>
      </c>
      <c r="F4372" t="s">
        <v>4814</v>
      </c>
      <c r="G4372" t="s">
        <v>4797</v>
      </c>
      <c r="H4372" t="s">
        <v>4805</v>
      </c>
      <c r="I4372">
        <v>13.99</v>
      </c>
      <c r="J4372">
        <v>4</v>
      </c>
      <c r="K4372">
        <v>1.87</v>
      </c>
      <c r="L4372">
        <v>0</v>
      </c>
      <c r="M4372" t="s">
        <v>4811</v>
      </c>
      <c r="N4372" t="s">
        <v>4900</v>
      </c>
      <c r="O4372" t="s">
        <v>4911</v>
      </c>
    </row>
    <row r="4373" spans="1:15" x14ac:dyDescent="0.35">
      <c r="A4373" t="s">
        <v>4311</v>
      </c>
      <c r="B4373">
        <v>22</v>
      </c>
      <c r="C4373" t="s">
        <v>4802</v>
      </c>
      <c r="D4373" t="s">
        <v>14</v>
      </c>
      <c r="E4373">
        <v>29</v>
      </c>
      <c r="F4373">
        <v>48</v>
      </c>
      <c r="G4373" t="s">
        <v>4799</v>
      </c>
      <c r="H4373" t="s">
        <v>4805</v>
      </c>
      <c r="I4373">
        <v>8.99</v>
      </c>
      <c r="J4373">
        <v>1</v>
      </c>
      <c r="K4373">
        <v>0.97</v>
      </c>
      <c r="L4373">
        <v>1</v>
      </c>
      <c r="M4373" t="s">
        <v>4811</v>
      </c>
      <c r="N4373" t="s">
        <v>4899</v>
      </c>
      <c r="O4373" t="s">
        <v>4912</v>
      </c>
    </row>
    <row r="4374" spans="1:15" x14ac:dyDescent="0.35">
      <c r="A4374" t="s">
        <v>4312</v>
      </c>
      <c r="B4374">
        <v>59</v>
      </c>
      <c r="C4374" t="s">
        <v>4802</v>
      </c>
      <c r="D4374" t="s">
        <v>13</v>
      </c>
      <c r="E4374">
        <v>42</v>
      </c>
      <c r="F4374">
        <v>20</v>
      </c>
      <c r="G4374" t="s">
        <v>4799</v>
      </c>
      <c r="H4374" t="s">
        <v>4806</v>
      </c>
      <c r="I4374">
        <v>13.99</v>
      </c>
      <c r="J4374">
        <v>4</v>
      </c>
      <c r="K4374">
        <v>1.4</v>
      </c>
      <c r="L4374">
        <v>1</v>
      </c>
      <c r="M4374" t="s">
        <v>4812</v>
      </c>
      <c r="N4374" t="s">
        <v>4899</v>
      </c>
      <c r="O4374" t="s">
        <v>4911</v>
      </c>
    </row>
    <row r="4375" spans="1:15" x14ac:dyDescent="0.35">
      <c r="A4375" t="s">
        <v>4313</v>
      </c>
      <c r="B4375">
        <v>32</v>
      </c>
      <c r="C4375" t="s">
        <v>4802</v>
      </c>
      <c r="D4375" t="s">
        <v>15</v>
      </c>
      <c r="E4375">
        <v>64</v>
      </c>
      <c r="F4375">
        <v>7</v>
      </c>
      <c r="G4375" t="s">
        <v>4798</v>
      </c>
      <c r="H4375" t="s">
        <v>4804</v>
      </c>
      <c r="I4375">
        <v>17.989999999999998</v>
      </c>
      <c r="J4375">
        <v>3</v>
      </c>
      <c r="K4375">
        <v>2.13</v>
      </c>
      <c r="L4375">
        <v>0</v>
      </c>
      <c r="M4375" t="s">
        <v>4809</v>
      </c>
      <c r="N4375" t="s">
        <v>4900</v>
      </c>
      <c r="O4375" t="s">
        <v>4912</v>
      </c>
    </row>
    <row r="4376" spans="1:15" x14ac:dyDescent="0.35">
      <c r="A4376" t="s">
        <v>4314</v>
      </c>
      <c r="B4376">
        <v>23</v>
      </c>
      <c r="C4376" t="s">
        <v>4803</v>
      </c>
      <c r="D4376" t="s">
        <v>13</v>
      </c>
      <c r="E4376">
        <v>66</v>
      </c>
      <c r="F4376">
        <v>5</v>
      </c>
      <c r="G4376" t="s">
        <v>4797</v>
      </c>
      <c r="H4376" t="s">
        <v>4804</v>
      </c>
      <c r="I4376">
        <v>13.99</v>
      </c>
      <c r="J4376">
        <v>3</v>
      </c>
      <c r="K4376">
        <v>2.2000000000000002</v>
      </c>
      <c r="L4376">
        <v>0</v>
      </c>
      <c r="M4376" t="s">
        <v>4810</v>
      </c>
      <c r="N4376" t="s">
        <v>4900</v>
      </c>
      <c r="O4376" t="s">
        <v>4912</v>
      </c>
    </row>
    <row r="4377" spans="1:15" x14ac:dyDescent="0.35">
      <c r="A4377" t="s">
        <v>4315</v>
      </c>
      <c r="B4377">
        <v>38</v>
      </c>
      <c r="C4377" t="s">
        <v>4803</v>
      </c>
      <c r="D4377" t="s">
        <v>13</v>
      </c>
      <c r="E4377">
        <v>79</v>
      </c>
      <c r="F4377">
        <v>26</v>
      </c>
      <c r="G4377" t="s">
        <v>4801</v>
      </c>
      <c r="H4377" t="s">
        <v>4805</v>
      </c>
      <c r="I4377">
        <v>13.99</v>
      </c>
      <c r="J4377">
        <v>1</v>
      </c>
      <c r="K4377">
        <v>2.0299999999999998</v>
      </c>
      <c r="L4377">
        <v>0</v>
      </c>
      <c r="M4377" t="s">
        <v>4812</v>
      </c>
      <c r="N4377" t="s">
        <v>4900</v>
      </c>
      <c r="O4377" t="s">
        <v>4910</v>
      </c>
    </row>
    <row r="4378" spans="1:15" x14ac:dyDescent="0.35">
      <c r="A4378" t="s">
        <v>4316</v>
      </c>
      <c r="B4378">
        <v>51</v>
      </c>
      <c r="C4378" t="s">
        <v>4802</v>
      </c>
      <c r="D4378" t="s">
        <v>14</v>
      </c>
      <c r="E4378">
        <v>14</v>
      </c>
      <c r="F4378">
        <v>9</v>
      </c>
      <c r="G4378" t="s">
        <v>4798</v>
      </c>
      <c r="H4378" t="s">
        <v>4804</v>
      </c>
      <c r="I4378">
        <v>8.99</v>
      </c>
      <c r="J4378">
        <v>1</v>
      </c>
      <c r="K4378">
        <v>2.0299999999999998</v>
      </c>
      <c r="L4378">
        <v>0</v>
      </c>
      <c r="M4378" t="s">
        <v>4812</v>
      </c>
      <c r="N4378" t="s">
        <v>4900</v>
      </c>
      <c r="O4378" t="s">
        <v>4910</v>
      </c>
    </row>
    <row r="4379" spans="1:15" x14ac:dyDescent="0.35">
      <c r="A4379" t="s">
        <v>4317</v>
      </c>
      <c r="B4379">
        <v>23</v>
      </c>
      <c r="C4379" t="s">
        <v>4803</v>
      </c>
      <c r="D4379" t="s">
        <v>13</v>
      </c>
      <c r="E4379">
        <v>77</v>
      </c>
      <c r="F4379">
        <v>25</v>
      </c>
      <c r="G4379" t="s">
        <v>4799</v>
      </c>
      <c r="H4379" t="s">
        <v>4806</v>
      </c>
      <c r="I4379">
        <v>13.99</v>
      </c>
      <c r="J4379">
        <v>4</v>
      </c>
      <c r="K4379">
        <v>2.57</v>
      </c>
      <c r="L4379">
        <v>0</v>
      </c>
      <c r="M4379" t="s">
        <v>4812</v>
      </c>
      <c r="N4379" t="s">
        <v>4900</v>
      </c>
      <c r="O4379" t="s">
        <v>4912</v>
      </c>
    </row>
    <row r="4380" spans="1:15" x14ac:dyDescent="0.35">
      <c r="A4380" t="s">
        <v>4318</v>
      </c>
      <c r="B4380">
        <v>21</v>
      </c>
      <c r="C4380" t="s">
        <v>4803</v>
      </c>
      <c r="D4380" t="s">
        <v>14</v>
      </c>
      <c r="E4380">
        <v>47</v>
      </c>
      <c r="F4380">
        <v>20</v>
      </c>
      <c r="G4380" t="s">
        <v>4797</v>
      </c>
      <c r="H4380" t="s">
        <v>4804</v>
      </c>
      <c r="I4380">
        <v>8.99</v>
      </c>
      <c r="J4380">
        <v>2</v>
      </c>
      <c r="K4380">
        <v>1.57</v>
      </c>
      <c r="L4380">
        <v>1</v>
      </c>
      <c r="M4380" t="s">
        <v>4808</v>
      </c>
      <c r="N4380" t="s">
        <v>4899</v>
      </c>
      <c r="O4380" t="s">
        <v>4912</v>
      </c>
    </row>
    <row r="4381" spans="1:15" x14ac:dyDescent="0.35">
      <c r="A4381" t="s">
        <v>4319</v>
      </c>
      <c r="B4381">
        <v>58</v>
      </c>
      <c r="C4381" t="s">
        <v>4802</v>
      </c>
      <c r="D4381" t="s">
        <v>15</v>
      </c>
      <c r="E4381">
        <v>97</v>
      </c>
      <c r="F4381">
        <v>0</v>
      </c>
      <c r="G4381" t="s">
        <v>4798</v>
      </c>
      <c r="H4381" t="s">
        <v>4805</v>
      </c>
      <c r="I4381">
        <v>17.989999999999998</v>
      </c>
      <c r="J4381">
        <v>3</v>
      </c>
      <c r="K4381">
        <v>3.23</v>
      </c>
      <c r="L4381">
        <v>0</v>
      </c>
      <c r="M4381" t="s">
        <v>4808</v>
      </c>
      <c r="N4381" t="s">
        <v>4900</v>
      </c>
      <c r="O4381" t="s">
        <v>4911</v>
      </c>
    </row>
    <row r="4382" spans="1:15" x14ac:dyDescent="0.35">
      <c r="A4382" t="s">
        <v>4320</v>
      </c>
      <c r="B4382">
        <v>54</v>
      </c>
      <c r="C4382" t="s">
        <v>4802</v>
      </c>
      <c r="D4382" t="s">
        <v>15</v>
      </c>
      <c r="E4382">
        <v>97</v>
      </c>
      <c r="F4382">
        <v>41</v>
      </c>
      <c r="G4382" t="s">
        <v>4798</v>
      </c>
      <c r="H4382" t="s">
        <v>4804</v>
      </c>
      <c r="I4382">
        <v>17.989999999999998</v>
      </c>
      <c r="J4382">
        <v>5</v>
      </c>
      <c r="K4382">
        <v>3.23</v>
      </c>
      <c r="L4382">
        <v>0</v>
      </c>
      <c r="M4382" t="s">
        <v>4809</v>
      </c>
      <c r="N4382" t="s">
        <v>4900</v>
      </c>
      <c r="O4382" t="s">
        <v>4910</v>
      </c>
    </row>
    <row r="4383" spans="1:15" x14ac:dyDescent="0.35">
      <c r="A4383" t="s">
        <v>4321</v>
      </c>
      <c r="B4383">
        <v>63</v>
      </c>
      <c r="C4383" t="s">
        <v>4803</v>
      </c>
      <c r="D4383" t="s">
        <v>13</v>
      </c>
      <c r="E4383">
        <v>47</v>
      </c>
      <c r="F4383">
        <v>22</v>
      </c>
      <c r="G4383" t="s">
        <v>4798</v>
      </c>
      <c r="H4383" t="s">
        <v>4804</v>
      </c>
      <c r="I4383">
        <v>13.99</v>
      </c>
      <c r="J4383">
        <v>3</v>
      </c>
      <c r="K4383">
        <v>1.57</v>
      </c>
      <c r="L4383">
        <v>0</v>
      </c>
      <c r="M4383" t="s">
        <v>4810</v>
      </c>
      <c r="N4383" t="s">
        <v>4900</v>
      </c>
      <c r="O4383" t="s">
        <v>4911</v>
      </c>
    </row>
    <row r="4384" spans="1:15" x14ac:dyDescent="0.35">
      <c r="A4384" t="s">
        <v>4322</v>
      </c>
      <c r="B4384">
        <v>59</v>
      </c>
      <c r="C4384" t="s">
        <v>4802</v>
      </c>
      <c r="D4384" t="s">
        <v>15</v>
      </c>
      <c r="E4384">
        <v>54</v>
      </c>
      <c r="F4384">
        <v>34</v>
      </c>
      <c r="G4384" t="s">
        <v>4797</v>
      </c>
      <c r="H4384" t="s">
        <v>4804</v>
      </c>
      <c r="I4384">
        <v>17.989999999999998</v>
      </c>
      <c r="J4384">
        <v>4</v>
      </c>
      <c r="K4384">
        <v>1.8</v>
      </c>
      <c r="L4384">
        <v>0</v>
      </c>
      <c r="M4384" t="s">
        <v>4812</v>
      </c>
      <c r="N4384" t="s">
        <v>4900</v>
      </c>
      <c r="O4384" t="s">
        <v>4911</v>
      </c>
    </row>
    <row r="4385" spans="1:15" x14ac:dyDescent="0.35">
      <c r="A4385" t="s">
        <v>4323</v>
      </c>
      <c r="B4385">
        <v>42</v>
      </c>
      <c r="C4385" t="s">
        <v>4802</v>
      </c>
      <c r="D4385" t="s">
        <v>15</v>
      </c>
      <c r="E4385">
        <v>61</v>
      </c>
      <c r="F4385">
        <v>4</v>
      </c>
      <c r="G4385" t="s">
        <v>4798</v>
      </c>
      <c r="H4385" t="s">
        <v>4804</v>
      </c>
      <c r="I4385">
        <v>17.989999999999998</v>
      </c>
      <c r="J4385">
        <v>5</v>
      </c>
      <c r="K4385">
        <v>5</v>
      </c>
      <c r="L4385">
        <v>0</v>
      </c>
      <c r="M4385" t="s">
        <v>4809</v>
      </c>
      <c r="N4385" t="s">
        <v>4900</v>
      </c>
      <c r="O4385" t="s">
        <v>4910</v>
      </c>
    </row>
    <row r="4386" spans="1:15" x14ac:dyDescent="0.35">
      <c r="A4386" t="s">
        <v>4324</v>
      </c>
      <c r="B4386">
        <v>23</v>
      </c>
      <c r="C4386" t="s">
        <v>4802</v>
      </c>
      <c r="D4386" t="s">
        <v>15</v>
      </c>
      <c r="E4386">
        <v>76</v>
      </c>
      <c r="F4386">
        <v>5</v>
      </c>
      <c r="G4386" t="s">
        <v>4799</v>
      </c>
      <c r="H4386" t="s">
        <v>4804</v>
      </c>
      <c r="I4386">
        <v>17.989999999999998</v>
      </c>
      <c r="J4386">
        <v>5</v>
      </c>
      <c r="K4386">
        <v>2.5299999999999998</v>
      </c>
      <c r="L4386">
        <v>0</v>
      </c>
      <c r="M4386" t="s">
        <v>4811</v>
      </c>
      <c r="N4386" t="s">
        <v>4900</v>
      </c>
      <c r="O4386" t="s">
        <v>4912</v>
      </c>
    </row>
    <row r="4387" spans="1:15" x14ac:dyDescent="0.35">
      <c r="A4387" t="s">
        <v>4325</v>
      </c>
      <c r="B4387">
        <v>19</v>
      </c>
      <c r="C4387" t="s">
        <v>4802</v>
      </c>
      <c r="D4387" t="s">
        <v>15</v>
      </c>
      <c r="E4387">
        <v>97</v>
      </c>
      <c r="F4387">
        <v>9</v>
      </c>
      <c r="G4387" t="s">
        <v>4797</v>
      </c>
      <c r="H4387" t="s">
        <v>4804</v>
      </c>
      <c r="I4387">
        <v>17.989999999999998</v>
      </c>
      <c r="J4387">
        <v>2</v>
      </c>
      <c r="K4387">
        <v>3.23</v>
      </c>
      <c r="L4387">
        <v>0</v>
      </c>
      <c r="M4387" t="s">
        <v>4808</v>
      </c>
      <c r="N4387" t="s">
        <v>4900</v>
      </c>
      <c r="O4387" t="s">
        <v>4912</v>
      </c>
    </row>
    <row r="4388" spans="1:15" x14ac:dyDescent="0.35">
      <c r="A4388" t="s">
        <v>4326</v>
      </c>
      <c r="B4388">
        <v>35</v>
      </c>
      <c r="C4388" t="s">
        <v>4802</v>
      </c>
      <c r="D4388" t="s">
        <v>13</v>
      </c>
      <c r="E4388">
        <v>30</v>
      </c>
      <c r="F4388">
        <v>0</v>
      </c>
      <c r="G4388" t="s">
        <v>4798</v>
      </c>
      <c r="H4388" t="s">
        <v>4804</v>
      </c>
      <c r="I4388">
        <v>13.99</v>
      </c>
      <c r="J4388">
        <v>3</v>
      </c>
      <c r="K4388">
        <v>1</v>
      </c>
      <c r="L4388">
        <v>0</v>
      </c>
      <c r="M4388" t="s">
        <v>4808</v>
      </c>
      <c r="N4388" t="s">
        <v>4900</v>
      </c>
      <c r="O4388" t="s">
        <v>4910</v>
      </c>
    </row>
    <row r="4389" spans="1:15" x14ac:dyDescent="0.35">
      <c r="A4389" t="s">
        <v>4327</v>
      </c>
      <c r="B4389">
        <v>60</v>
      </c>
      <c r="C4389" t="s">
        <v>4803</v>
      </c>
      <c r="D4389" t="s">
        <v>15</v>
      </c>
      <c r="E4389">
        <v>93</v>
      </c>
      <c r="F4389">
        <v>47</v>
      </c>
      <c r="G4389" t="s">
        <v>4798</v>
      </c>
      <c r="H4389" t="s">
        <v>4805</v>
      </c>
      <c r="I4389">
        <v>17.989999999999998</v>
      </c>
      <c r="J4389">
        <v>4</v>
      </c>
      <c r="K4389">
        <v>3.1</v>
      </c>
      <c r="L4389">
        <v>1</v>
      </c>
      <c r="M4389" t="s">
        <v>4809</v>
      </c>
      <c r="N4389" t="s">
        <v>4899</v>
      </c>
      <c r="O4389" t="s">
        <v>4911</v>
      </c>
    </row>
    <row r="4390" spans="1:15" x14ac:dyDescent="0.35">
      <c r="A4390" t="s">
        <v>4328</v>
      </c>
      <c r="B4390">
        <v>21</v>
      </c>
      <c r="C4390" t="s">
        <v>4802</v>
      </c>
      <c r="D4390" t="s">
        <v>13</v>
      </c>
      <c r="E4390">
        <v>65</v>
      </c>
      <c r="F4390">
        <v>2</v>
      </c>
      <c r="G4390" t="s">
        <v>4799</v>
      </c>
      <c r="H4390" t="s">
        <v>4804</v>
      </c>
      <c r="I4390">
        <v>13.99</v>
      </c>
      <c r="J4390">
        <v>2</v>
      </c>
      <c r="K4390">
        <v>2.17</v>
      </c>
      <c r="L4390">
        <v>0</v>
      </c>
      <c r="M4390" t="s">
        <v>4811</v>
      </c>
      <c r="N4390" t="s">
        <v>4900</v>
      </c>
      <c r="O4390" t="s">
        <v>4912</v>
      </c>
    </row>
    <row r="4391" spans="1:15" x14ac:dyDescent="0.35">
      <c r="A4391" t="s">
        <v>4329</v>
      </c>
      <c r="B4391">
        <v>62</v>
      </c>
      <c r="C4391" t="s">
        <v>4803</v>
      </c>
      <c r="D4391" t="s">
        <v>13</v>
      </c>
      <c r="E4391">
        <v>36</v>
      </c>
      <c r="F4391">
        <v>999</v>
      </c>
      <c r="G4391" t="s">
        <v>4798</v>
      </c>
      <c r="H4391" t="s">
        <v>4804</v>
      </c>
      <c r="I4391">
        <v>13.99</v>
      </c>
      <c r="J4391">
        <v>3</v>
      </c>
      <c r="K4391">
        <v>1.2</v>
      </c>
      <c r="L4391">
        <v>0</v>
      </c>
      <c r="M4391" t="s">
        <v>4811</v>
      </c>
      <c r="N4391" t="s">
        <v>4900</v>
      </c>
      <c r="O4391" t="s">
        <v>4911</v>
      </c>
    </row>
    <row r="4392" spans="1:15" x14ac:dyDescent="0.35">
      <c r="A4392" t="s">
        <v>4330</v>
      </c>
      <c r="B4392">
        <v>41</v>
      </c>
      <c r="C4392" t="s">
        <v>4802</v>
      </c>
      <c r="D4392" t="s">
        <v>13</v>
      </c>
      <c r="E4392">
        <v>78</v>
      </c>
      <c r="F4392">
        <v>43</v>
      </c>
      <c r="G4392" t="s">
        <v>4798</v>
      </c>
      <c r="H4392" t="s">
        <v>4804</v>
      </c>
      <c r="I4392">
        <v>13.99</v>
      </c>
      <c r="J4392">
        <v>1</v>
      </c>
      <c r="K4392">
        <v>2.6</v>
      </c>
      <c r="L4392">
        <v>1</v>
      </c>
      <c r="M4392" t="s">
        <v>4812</v>
      </c>
      <c r="N4392" t="s">
        <v>4899</v>
      </c>
      <c r="O4392" t="s">
        <v>4910</v>
      </c>
    </row>
    <row r="4393" spans="1:15" x14ac:dyDescent="0.35">
      <c r="A4393" t="s">
        <v>4331</v>
      </c>
      <c r="B4393">
        <v>34</v>
      </c>
      <c r="C4393" t="s">
        <v>4802</v>
      </c>
      <c r="D4393" t="s">
        <v>15</v>
      </c>
      <c r="E4393">
        <v>63</v>
      </c>
      <c r="F4393">
        <v>40</v>
      </c>
      <c r="G4393" t="s">
        <v>4799</v>
      </c>
      <c r="H4393" t="s">
        <v>4805</v>
      </c>
      <c r="I4393">
        <v>17.989999999999998</v>
      </c>
      <c r="J4393">
        <v>5</v>
      </c>
      <c r="K4393">
        <v>2.1</v>
      </c>
      <c r="L4393">
        <v>1</v>
      </c>
      <c r="M4393" t="s">
        <v>4809</v>
      </c>
      <c r="N4393" t="s">
        <v>4899</v>
      </c>
      <c r="O4393" t="s">
        <v>4912</v>
      </c>
    </row>
    <row r="4394" spans="1:15" x14ac:dyDescent="0.35">
      <c r="A4394" t="s">
        <v>4332</v>
      </c>
      <c r="B4394">
        <v>19</v>
      </c>
      <c r="C4394" t="s">
        <v>4803</v>
      </c>
      <c r="D4394" t="s">
        <v>13</v>
      </c>
      <c r="E4394">
        <v>37</v>
      </c>
      <c r="F4394">
        <v>14</v>
      </c>
      <c r="G4394" t="s">
        <v>4797</v>
      </c>
      <c r="H4394" t="s">
        <v>4805</v>
      </c>
      <c r="I4394">
        <v>13.99</v>
      </c>
      <c r="J4394">
        <v>4</v>
      </c>
      <c r="K4394">
        <v>1.23</v>
      </c>
      <c r="L4394">
        <v>0</v>
      </c>
      <c r="M4394" t="s">
        <v>4808</v>
      </c>
      <c r="N4394" t="s">
        <v>4900</v>
      </c>
      <c r="O4394" t="s">
        <v>4912</v>
      </c>
    </row>
    <row r="4395" spans="1:15" x14ac:dyDescent="0.35">
      <c r="A4395" t="s">
        <v>4333</v>
      </c>
      <c r="B4395">
        <v>22</v>
      </c>
      <c r="C4395" t="s">
        <v>4803</v>
      </c>
      <c r="D4395" t="s">
        <v>15</v>
      </c>
      <c r="E4395">
        <v>116</v>
      </c>
      <c r="F4395">
        <v>10</v>
      </c>
      <c r="G4395" t="s">
        <v>4799</v>
      </c>
      <c r="H4395" t="s">
        <v>4804</v>
      </c>
      <c r="I4395">
        <v>17.989999999999998</v>
      </c>
      <c r="J4395">
        <v>4</v>
      </c>
      <c r="K4395">
        <v>2.0299999999999998</v>
      </c>
      <c r="L4395">
        <v>0</v>
      </c>
      <c r="M4395" t="s">
        <v>4811</v>
      </c>
      <c r="N4395" t="s">
        <v>4900</v>
      </c>
      <c r="O4395" t="s">
        <v>4912</v>
      </c>
    </row>
    <row r="4396" spans="1:15" x14ac:dyDescent="0.35">
      <c r="A4396" t="s">
        <v>4334</v>
      </c>
      <c r="B4396">
        <v>33</v>
      </c>
      <c r="C4396" t="s">
        <v>4803</v>
      </c>
      <c r="D4396" t="s">
        <v>13</v>
      </c>
      <c r="E4396">
        <v>53</v>
      </c>
      <c r="F4396">
        <v>42</v>
      </c>
      <c r="G4396" t="s">
        <v>4797</v>
      </c>
      <c r="H4396" t="s">
        <v>4804</v>
      </c>
      <c r="I4396">
        <v>13.99</v>
      </c>
      <c r="J4396">
        <v>2</v>
      </c>
      <c r="K4396">
        <v>2.0299999999999998</v>
      </c>
      <c r="L4396">
        <v>0</v>
      </c>
      <c r="M4396" t="s">
        <v>4808</v>
      </c>
      <c r="N4396" t="s">
        <v>4900</v>
      </c>
      <c r="O4396" t="s">
        <v>4912</v>
      </c>
    </row>
    <row r="4397" spans="1:15" x14ac:dyDescent="0.35">
      <c r="A4397" t="s">
        <v>4335</v>
      </c>
      <c r="B4397">
        <v>33</v>
      </c>
      <c r="C4397" t="s">
        <v>4802</v>
      </c>
      <c r="D4397" t="s">
        <v>15</v>
      </c>
      <c r="E4397">
        <v>72</v>
      </c>
      <c r="F4397">
        <v>34</v>
      </c>
      <c r="G4397" t="s">
        <v>4799</v>
      </c>
      <c r="H4397" t="s">
        <v>4806</v>
      </c>
      <c r="I4397">
        <v>17.989999999999998</v>
      </c>
      <c r="J4397">
        <v>2</v>
      </c>
      <c r="K4397">
        <v>2.0299999999999998</v>
      </c>
      <c r="L4397">
        <v>0</v>
      </c>
      <c r="M4397" t="s">
        <v>4810</v>
      </c>
      <c r="N4397" t="s">
        <v>4900</v>
      </c>
      <c r="O4397" t="s">
        <v>4912</v>
      </c>
    </row>
    <row r="4398" spans="1:15" x14ac:dyDescent="0.35">
      <c r="A4398" t="s">
        <v>4336</v>
      </c>
      <c r="B4398">
        <v>52</v>
      </c>
      <c r="C4398" t="s">
        <v>4803</v>
      </c>
      <c r="D4398" t="s">
        <v>13</v>
      </c>
      <c r="E4398">
        <v>57</v>
      </c>
      <c r="F4398">
        <v>33</v>
      </c>
      <c r="G4398" t="s">
        <v>4800</v>
      </c>
      <c r="H4398" t="s">
        <v>4805</v>
      </c>
      <c r="I4398">
        <v>13.99</v>
      </c>
      <c r="J4398">
        <v>1</v>
      </c>
      <c r="K4398">
        <v>1.9</v>
      </c>
      <c r="L4398">
        <v>0</v>
      </c>
      <c r="M4398" t="s">
        <v>4809</v>
      </c>
      <c r="N4398" t="s">
        <v>4900</v>
      </c>
      <c r="O4398" t="s">
        <v>4910</v>
      </c>
    </row>
    <row r="4399" spans="1:15" x14ac:dyDescent="0.35">
      <c r="A4399" t="s">
        <v>4337</v>
      </c>
      <c r="B4399">
        <v>25</v>
      </c>
      <c r="C4399" t="s">
        <v>4802</v>
      </c>
      <c r="D4399" t="s">
        <v>13</v>
      </c>
      <c r="E4399">
        <v>77</v>
      </c>
      <c r="F4399">
        <v>37</v>
      </c>
      <c r="G4399" t="s">
        <v>4798</v>
      </c>
      <c r="H4399" t="s">
        <v>4804</v>
      </c>
      <c r="I4399">
        <v>13.99</v>
      </c>
      <c r="J4399">
        <v>2</v>
      </c>
      <c r="K4399">
        <v>2.57</v>
      </c>
      <c r="L4399">
        <v>0</v>
      </c>
      <c r="M4399" t="s">
        <v>4812</v>
      </c>
      <c r="N4399" t="s">
        <v>4900</v>
      </c>
      <c r="O4399" t="s">
        <v>4912</v>
      </c>
    </row>
    <row r="4400" spans="1:15" x14ac:dyDescent="0.35">
      <c r="A4400" t="s">
        <v>4338</v>
      </c>
      <c r="B4400">
        <v>32</v>
      </c>
      <c r="C4400" t="s">
        <v>4802</v>
      </c>
      <c r="D4400" t="s">
        <v>13</v>
      </c>
      <c r="E4400">
        <v>66</v>
      </c>
      <c r="F4400">
        <v>24</v>
      </c>
      <c r="G4400" t="s">
        <v>4798</v>
      </c>
      <c r="H4400" t="s">
        <v>4805</v>
      </c>
      <c r="I4400">
        <v>13.99</v>
      </c>
      <c r="J4400">
        <v>4</v>
      </c>
      <c r="K4400">
        <v>2.2000000000000002</v>
      </c>
      <c r="L4400">
        <v>0</v>
      </c>
      <c r="M4400" t="s">
        <v>4811</v>
      </c>
      <c r="N4400" t="s">
        <v>4900</v>
      </c>
      <c r="O4400" t="s">
        <v>4912</v>
      </c>
    </row>
    <row r="4401" spans="1:15" x14ac:dyDescent="0.35">
      <c r="A4401" t="s">
        <v>4339</v>
      </c>
      <c r="B4401">
        <v>63</v>
      </c>
      <c r="C4401" t="s">
        <v>4802</v>
      </c>
      <c r="D4401" t="s">
        <v>13</v>
      </c>
      <c r="E4401">
        <v>72</v>
      </c>
      <c r="F4401">
        <v>20</v>
      </c>
      <c r="G4401" t="s">
        <v>4798</v>
      </c>
      <c r="H4401" t="s">
        <v>4805</v>
      </c>
      <c r="I4401">
        <v>13.99</v>
      </c>
      <c r="J4401">
        <v>2</v>
      </c>
      <c r="K4401">
        <v>2.4</v>
      </c>
      <c r="L4401">
        <v>0</v>
      </c>
      <c r="M4401" t="s">
        <v>4812</v>
      </c>
      <c r="N4401" t="s">
        <v>4900</v>
      </c>
      <c r="O4401" t="s">
        <v>4911</v>
      </c>
    </row>
    <row r="4402" spans="1:15" x14ac:dyDescent="0.35">
      <c r="A4402" t="s">
        <v>4340</v>
      </c>
      <c r="B4402">
        <v>36</v>
      </c>
      <c r="C4402" t="s">
        <v>4803</v>
      </c>
      <c r="D4402" t="s">
        <v>15</v>
      </c>
      <c r="E4402">
        <v>53</v>
      </c>
      <c r="F4402">
        <v>39</v>
      </c>
      <c r="G4402" t="s">
        <v>4799</v>
      </c>
      <c r="H4402" t="s">
        <v>4807</v>
      </c>
      <c r="I4402">
        <v>17.989999999999998</v>
      </c>
      <c r="J4402">
        <v>2</v>
      </c>
      <c r="K4402">
        <v>1.77</v>
      </c>
      <c r="L4402">
        <v>0</v>
      </c>
      <c r="M4402" t="s">
        <v>4811</v>
      </c>
      <c r="N4402" t="s">
        <v>4900</v>
      </c>
      <c r="O4402" t="s">
        <v>4910</v>
      </c>
    </row>
    <row r="4403" spans="1:15" x14ac:dyDescent="0.35">
      <c r="A4403" t="s">
        <v>4341</v>
      </c>
      <c r="B4403">
        <v>24</v>
      </c>
      <c r="C4403" t="s">
        <v>4803</v>
      </c>
      <c r="D4403" t="s">
        <v>15</v>
      </c>
      <c r="E4403">
        <v>52</v>
      </c>
      <c r="F4403">
        <v>34</v>
      </c>
      <c r="G4403" t="s">
        <v>4799</v>
      </c>
      <c r="H4403" t="s">
        <v>4804</v>
      </c>
      <c r="I4403">
        <v>17.989999999999998</v>
      </c>
      <c r="J4403">
        <v>5</v>
      </c>
      <c r="K4403">
        <v>2.0299999999999998</v>
      </c>
      <c r="L4403">
        <v>0</v>
      </c>
      <c r="M4403" t="s">
        <v>4811</v>
      </c>
      <c r="N4403" t="s">
        <v>4900</v>
      </c>
      <c r="O4403" t="s">
        <v>4912</v>
      </c>
    </row>
    <row r="4404" spans="1:15" x14ac:dyDescent="0.35">
      <c r="A4404" t="s">
        <v>4342</v>
      </c>
      <c r="B4404">
        <v>28</v>
      </c>
      <c r="C4404" t="s">
        <v>4803</v>
      </c>
      <c r="D4404" t="s">
        <v>13</v>
      </c>
      <c r="E4404">
        <v>56</v>
      </c>
      <c r="F4404">
        <v>46</v>
      </c>
      <c r="G4404" t="s">
        <v>4799</v>
      </c>
      <c r="H4404" t="s">
        <v>4804</v>
      </c>
      <c r="I4404">
        <v>13.99</v>
      </c>
      <c r="J4404">
        <v>3</v>
      </c>
      <c r="K4404">
        <v>1.87</v>
      </c>
      <c r="L4404">
        <v>0</v>
      </c>
      <c r="M4404" t="s">
        <v>4809</v>
      </c>
      <c r="N4404" t="s">
        <v>4900</v>
      </c>
      <c r="O4404" t="s">
        <v>4912</v>
      </c>
    </row>
    <row r="4405" spans="1:15" x14ac:dyDescent="0.35">
      <c r="A4405" t="s">
        <v>4343</v>
      </c>
      <c r="B4405">
        <v>52</v>
      </c>
      <c r="C4405" t="s">
        <v>4803</v>
      </c>
      <c r="D4405" t="s">
        <v>14</v>
      </c>
      <c r="E4405">
        <v>38</v>
      </c>
      <c r="F4405">
        <v>23</v>
      </c>
      <c r="G4405" t="s">
        <v>4798</v>
      </c>
      <c r="H4405" t="s">
        <v>4806</v>
      </c>
      <c r="I4405">
        <v>8.99</v>
      </c>
      <c r="J4405">
        <v>1</v>
      </c>
      <c r="K4405">
        <v>1.27</v>
      </c>
      <c r="L4405">
        <v>0</v>
      </c>
      <c r="M4405" t="s">
        <v>4808</v>
      </c>
      <c r="N4405" t="s">
        <v>4900</v>
      </c>
      <c r="O4405" t="s">
        <v>4910</v>
      </c>
    </row>
    <row r="4406" spans="1:15" x14ac:dyDescent="0.35">
      <c r="A4406" t="s">
        <v>4344</v>
      </c>
      <c r="B4406">
        <v>19</v>
      </c>
      <c r="C4406" t="s">
        <v>4803</v>
      </c>
      <c r="D4406" t="s">
        <v>15</v>
      </c>
      <c r="E4406">
        <v>68</v>
      </c>
      <c r="F4406">
        <v>1</v>
      </c>
      <c r="G4406" t="s">
        <v>4799</v>
      </c>
      <c r="H4406" t="s">
        <v>4806</v>
      </c>
      <c r="I4406">
        <v>17.989999999999998</v>
      </c>
      <c r="J4406">
        <v>5</v>
      </c>
      <c r="K4406">
        <v>2.27</v>
      </c>
      <c r="L4406">
        <v>1</v>
      </c>
      <c r="M4406" t="s">
        <v>4812</v>
      </c>
      <c r="N4406" t="s">
        <v>4899</v>
      </c>
      <c r="O4406" t="s">
        <v>4912</v>
      </c>
    </row>
    <row r="4407" spans="1:15" x14ac:dyDescent="0.35">
      <c r="A4407" t="s">
        <v>4345</v>
      </c>
      <c r="B4407">
        <v>42</v>
      </c>
      <c r="C4407" t="s">
        <v>4802</v>
      </c>
      <c r="D4407" t="s">
        <v>15</v>
      </c>
      <c r="E4407">
        <v>107</v>
      </c>
      <c r="F4407">
        <v>3</v>
      </c>
      <c r="G4407" t="s">
        <v>4798</v>
      </c>
      <c r="H4407" t="s">
        <v>4804</v>
      </c>
      <c r="I4407">
        <v>17.989999999999998</v>
      </c>
      <c r="J4407">
        <v>4</v>
      </c>
      <c r="K4407">
        <v>3.57</v>
      </c>
      <c r="L4407">
        <v>0</v>
      </c>
      <c r="M4407" t="s">
        <v>4811</v>
      </c>
      <c r="N4407" t="s">
        <v>4900</v>
      </c>
      <c r="O4407" t="s">
        <v>4910</v>
      </c>
    </row>
    <row r="4408" spans="1:15" x14ac:dyDescent="0.35">
      <c r="A4408" t="s">
        <v>4346</v>
      </c>
      <c r="B4408">
        <v>48</v>
      </c>
      <c r="C4408" t="s">
        <v>4802</v>
      </c>
      <c r="D4408" t="s">
        <v>13</v>
      </c>
      <c r="E4408">
        <v>60</v>
      </c>
      <c r="F4408">
        <v>5</v>
      </c>
      <c r="G4408" t="s">
        <v>4797</v>
      </c>
      <c r="H4408" t="s">
        <v>4804</v>
      </c>
      <c r="I4408">
        <v>13.99</v>
      </c>
      <c r="J4408">
        <v>3</v>
      </c>
      <c r="K4408">
        <v>2</v>
      </c>
      <c r="L4408">
        <v>0</v>
      </c>
      <c r="M4408" t="s">
        <v>4809</v>
      </c>
      <c r="N4408" t="s">
        <v>4900</v>
      </c>
      <c r="O4408" t="s">
        <v>4910</v>
      </c>
    </row>
    <row r="4409" spans="1:15" x14ac:dyDescent="0.35">
      <c r="A4409" t="s">
        <v>4347</v>
      </c>
      <c r="B4409">
        <v>39</v>
      </c>
      <c r="C4409" t="s">
        <v>4802</v>
      </c>
      <c r="D4409" t="s">
        <v>13</v>
      </c>
      <c r="E4409">
        <v>39</v>
      </c>
      <c r="F4409">
        <v>35</v>
      </c>
      <c r="G4409" t="s">
        <v>4798</v>
      </c>
      <c r="H4409" t="s">
        <v>4806</v>
      </c>
      <c r="I4409">
        <v>13.99</v>
      </c>
      <c r="J4409">
        <v>2</v>
      </c>
      <c r="K4409">
        <v>1.3</v>
      </c>
      <c r="L4409">
        <v>0</v>
      </c>
      <c r="M4409" t="s">
        <v>4808</v>
      </c>
      <c r="N4409" t="s">
        <v>4900</v>
      </c>
      <c r="O4409" t="s">
        <v>4910</v>
      </c>
    </row>
    <row r="4410" spans="1:15" x14ac:dyDescent="0.35">
      <c r="A4410" t="s">
        <v>4348</v>
      </c>
      <c r="B4410">
        <v>22</v>
      </c>
      <c r="C4410" t="s">
        <v>4802</v>
      </c>
      <c r="D4410" t="s">
        <v>13</v>
      </c>
      <c r="E4410">
        <v>79</v>
      </c>
      <c r="F4410">
        <v>5</v>
      </c>
      <c r="G4410" t="s">
        <v>4797</v>
      </c>
      <c r="H4410" t="s">
        <v>4805</v>
      </c>
      <c r="I4410">
        <v>13.99</v>
      </c>
      <c r="J4410">
        <v>1</v>
      </c>
      <c r="K4410">
        <v>2.63</v>
      </c>
      <c r="L4410">
        <v>0</v>
      </c>
      <c r="M4410" t="s">
        <v>4808</v>
      </c>
      <c r="N4410" t="s">
        <v>4900</v>
      </c>
      <c r="O4410" t="s">
        <v>4912</v>
      </c>
    </row>
    <row r="4411" spans="1:15" x14ac:dyDescent="0.35">
      <c r="A4411" t="s">
        <v>4349</v>
      </c>
      <c r="B4411">
        <v>36</v>
      </c>
      <c r="C4411" t="s">
        <v>4803</v>
      </c>
      <c r="D4411" t="s">
        <v>13</v>
      </c>
      <c r="E4411">
        <v>61</v>
      </c>
      <c r="F4411">
        <v>52</v>
      </c>
      <c r="G4411" t="s">
        <v>4798</v>
      </c>
      <c r="H4411" t="s">
        <v>4805</v>
      </c>
      <c r="I4411">
        <v>13.99</v>
      </c>
      <c r="J4411">
        <v>3</v>
      </c>
      <c r="K4411">
        <v>2.0299999999999998</v>
      </c>
      <c r="L4411">
        <v>0</v>
      </c>
      <c r="M4411" t="s">
        <v>4812</v>
      </c>
      <c r="N4411" t="s">
        <v>4900</v>
      </c>
      <c r="O4411" t="s">
        <v>4910</v>
      </c>
    </row>
    <row r="4412" spans="1:15" x14ac:dyDescent="0.35">
      <c r="A4412" t="s">
        <v>4350</v>
      </c>
      <c r="B4412">
        <v>24</v>
      </c>
      <c r="C4412" t="s">
        <v>4803</v>
      </c>
      <c r="D4412" t="s">
        <v>13</v>
      </c>
      <c r="E4412">
        <v>54</v>
      </c>
      <c r="F4412">
        <v>37</v>
      </c>
      <c r="G4412" t="s">
        <v>4798</v>
      </c>
      <c r="H4412" t="s">
        <v>4805</v>
      </c>
      <c r="I4412">
        <v>13.99</v>
      </c>
      <c r="J4412">
        <v>3</v>
      </c>
      <c r="K4412">
        <v>5</v>
      </c>
      <c r="L4412">
        <v>0</v>
      </c>
      <c r="M4412" t="s">
        <v>4808</v>
      </c>
      <c r="N4412" t="s">
        <v>4900</v>
      </c>
      <c r="O4412" t="s">
        <v>4912</v>
      </c>
    </row>
    <row r="4413" spans="1:15" x14ac:dyDescent="0.35">
      <c r="A4413" t="s">
        <v>4351</v>
      </c>
      <c r="B4413">
        <v>48</v>
      </c>
      <c r="C4413" t="s">
        <v>4802</v>
      </c>
      <c r="D4413" t="s">
        <v>13</v>
      </c>
      <c r="E4413">
        <v>54</v>
      </c>
      <c r="F4413">
        <v>48</v>
      </c>
      <c r="G4413" t="s">
        <v>4799</v>
      </c>
      <c r="H4413" t="s">
        <v>4804</v>
      </c>
      <c r="I4413">
        <v>13.99</v>
      </c>
      <c r="J4413">
        <v>3</v>
      </c>
      <c r="K4413">
        <v>1.8</v>
      </c>
      <c r="L4413">
        <v>1</v>
      </c>
      <c r="M4413" t="s">
        <v>4812</v>
      </c>
      <c r="N4413" t="s">
        <v>4899</v>
      </c>
      <c r="O4413" t="s">
        <v>4910</v>
      </c>
    </row>
    <row r="4414" spans="1:15" x14ac:dyDescent="0.35">
      <c r="A4414" t="s">
        <v>4352</v>
      </c>
      <c r="B4414">
        <v>23</v>
      </c>
      <c r="C4414" t="s">
        <v>4803</v>
      </c>
      <c r="D4414" t="s">
        <v>15</v>
      </c>
      <c r="E4414">
        <v>50</v>
      </c>
      <c r="F4414">
        <v>5</v>
      </c>
      <c r="G4414" t="s">
        <v>4797</v>
      </c>
      <c r="H4414" t="s">
        <v>4805</v>
      </c>
      <c r="I4414">
        <v>17.989999999999998</v>
      </c>
      <c r="J4414">
        <v>3</v>
      </c>
      <c r="K4414">
        <v>1.67</v>
      </c>
      <c r="L4414">
        <v>0</v>
      </c>
      <c r="M4414" t="s">
        <v>4810</v>
      </c>
      <c r="N4414" t="s">
        <v>4900</v>
      </c>
      <c r="O4414" t="s">
        <v>4912</v>
      </c>
    </row>
    <row r="4415" spans="1:15" x14ac:dyDescent="0.35">
      <c r="A4415" t="s">
        <v>4353</v>
      </c>
      <c r="B4415">
        <v>43</v>
      </c>
      <c r="C4415" t="s">
        <v>4803</v>
      </c>
      <c r="D4415" t="s">
        <v>13</v>
      </c>
      <c r="E4415">
        <v>75</v>
      </c>
      <c r="F4415">
        <v>27</v>
      </c>
      <c r="G4415" t="s">
        <v>4797</v>
      </c>
      <c r="H4415" t="s">
        <v>4806</v>
      </c>
      <c r="I4415">
        <v>13.99</v>
      </c>
      <c r="J4415">
        <v>2</v>
      </c>
      <c r="K4415">
        <v>2.5</v>
      </c>
      <c r="L4415">
        <v>0</v>
      </c>
      <c r="M4415" t="s">
        <v>4810</v>
      </c>
      <c r="N4415" t="s">
        <v>4900</v>
      </c>
      <c r="O4415" t="s">
        <v>4910</v>
      </c>
    </row>
    <row r="4416" spans="1:15" x14ac:dyDescent="0.35">
      <c r="A4416" t="s">
        <v>4354</v>
      </c>
      <c r="B4416">
        <v>64</v>
      </c>
      <c r="C4416" t="s">
        <v>4803</v>
      </c>
      <c r="D4416" t="s">
        <v>15</v>
      </c>
      <c r="E4416">
        <v>104</v>
      </c>
      <c r="F4416">
        <v>56</v>
      </c>
      <c r="G4416" t="s">
        <v>4798</v>
      </c>
      <c r="H4416" t="s">
        <v>4804</v>
      </c>
      <c r="I4416">
        <v>17.989999999999998</v>
      </c>
      <c r="J4416">
        <v>3</v>
      </c>
      <c r="K4416">
        <v>2.0299999999999998</v>
      </c>
      <c r="L4416">
        <v>0</v>
      </c>
      <c r="M4416" t="s">
        <v>4812</v>
      </c>
      <c r="N4416" t="s">
        <v>4900</v>
      </c>
      <c r="O4416" t="s">
        <v>4911</v>
      </c>
    </row>
    <row r="4417" spans="1:15" x14ac:dyDescent="0.35">
      <c r="A4417" t="s">
        <v>4355</v>
      </c>
      <c r="B4417">
        <v>20</v>
      </c>
      <c r="C4417" t="s">
        <v>4802</v>
      </c>
      <c r="D4417" t="s">
        <v>13</v>
      </c>
      <c r="E4417">
        <v>60</v>
      </c>
      <c r="F4417">
        <v>50</v>
      </c>
      <c r="G4417" t="s">
        <v>4798</v>
      </c>
      <c r="H4417" t="s">
        <v>4804</v>
      </c>
      <c r="I4417">
        <v>13.99</v>
      </c>
      <c r="J4417">
        <v>3</v>
      </c>
      <c r="K4417">
        <v>2</v>
      </c>
      <c r="L4417">
        <v>0</v>
      </c>
      <c r="M4417" t="s">
        <v>4809</v>
      </c>
      <c r="N4417" t="s">
        <v>4900</v>
      </c>
      <c r="O4417" t="s">
        <v>4912</v>
      </c>
    </row>
    <row r="4418" spans="1:15" x14ac:dyDescent="0.35">
      <c r="A4418" t="s">
        <v>4356</v>
      </c>
      <c r="B4418">
        <v>63</v>
      </c>
      <c r="C4418" t="s">
        <v>4802</v>
      </c>
      <c r="D4418" t="s">
        <v>13</v>
      </c>
      <c r="E4418">
        <v>58</v>
      </c>
      <c r="F4418">
        <v>32</v>
      </c>
      <c r="G4418" t="s">
        <v>4798</v>
      </c>
      <c r="H4418" t="s">
        <v>4805</v>
      </c>
      <c r="I4418">
        <v>13.99</v>
      </c>
      <c r="J4418">
        <v>2</v>
      </c>
      <c r="K4418">
        <v>1.93</v>
      </c>
      <c r="L4418">
        <v>0</v>
      </c>
      <c r="M4418" t="s">
        <v>4811</v>
      </c>
      <c r="N4418" t="s">
        <v>4900</v>
      </c>
      <c r="O4418" t="s">
        <v>4911</v>
      </c>
    </row>
    <row r="4419" spans="1:15" x14ac:dyDescent="0.35">
      <c r="A4419" t="s">
        <v>4357</v>
      </c>
      <c r="B4419">
        <v>35</v>
      </c>
      <c r="C4419" t="s">
        <v>4802</v>
      </c>
      <c r="D4419" t="s">
        <v>14</v>
      </c>
      <c r="E4419">
        <v>17</v>
      </c>
      <c r="F4419">
        <v>58</v>
      </c>
      <c r="G4419" t="s">
        <v>4797</v>
      </c>
      <c r="H4419" t="s">
        <v>4804</v>
      </c>
      <c r="I4419">
        <v>8.99</v>
      </c>
      <c r="J4419">
        <v>1</v>
      </c>
      <c r="K4419">
        <v>0.56999999999999995</v>
      </c>
      <c r="L4419">
        <v>0</v>
      </c>
      <c r="M4419" t="s">
        <v>4811</v>
      </c>
      <c r="N4419" t="s">
        <v>4900</v>
      </c>
      <c r="O4419" t="s">
        <v>4910</v>
      </c>
    </row>
    <row r="4420" spans="1:15" x14ac:dyDescent="0.35">
      <c r="A4420" t="s">
        <v>4358</v>
      </c>
      <c r="B4420">
        <v>64</v>
      </c>
      <c r="C4420" t="s">
        <v>4802</v>
      </c>
      <c r="D4420" t="s">
        <v>15</v>
      </c>
      <c r="E4420">
        <v>97</v>
      </c>
      <c r="F4420">
        <v>7</v>
      </c>
      <c r="G4420" t="s">
        <v>4799</v>
      </c>
      <c r="H4420" t="s">
        <v>4804</v>
      </c>
      <c r="I4420">
        <v>17.989999999999998</v>
      </c>
      <c r="J4420">
        <v>3</v>
      </c>
      <c r="K4420">
        <v>3.23</v>
      </c>
      <c r="L4420">
        <v>0</v>
      </c>
      <c r="M4420" t="s">
        <v>4810</v>
      </c>
      <c r="N4420" t="s">
        <v>4900</v>
      </c>
      <c r="O4420" t="s">
        <v>4911</v>
      </c>
    </row>
    <row r="4421" spans="1:15" x14ac:dyDescent="0.35">
      <c r="A4421" t="s">
        <v>4850</v>
      </c>
      <c r="B4421">
        <v>52</v>
      </c>
      <c r="C4421" t="s">
        <v>4802</v>
      </c>
      <c r="D4421" t="s">
        <v>15</v>
      </c>
      <c r="E4421">
        <v>107</v>
      </c>
      <c r="F4421">
        <v>28</v>
      </c>
      <c r="G4421" t="s">
        <v>4797</v>
      </c>
      <c r="H4421" t="s">
        <v>4804</v>
      </c>
      <c r="I4421">
        <v>17.989999999999998</v>
      </c>
      <c r="J4421">
        <v>4</v>
      </c>
      <c r="K4421">
        <v>3.57</v>
      </c>
      <c r="L4421">
        <v>0</v>
      </c>
      <c r="M4421" t="s">
        <v>4811</v>
      </c>
      <c r="N4421" t="s">
        <v>4900</v>
      </c>
      <c r="O4421" t="s">
        <v>4910</v>
      </c>
    </row>
    <row r="4422" spans="1:15" x14ac:dyDescent="0.35">
      <c r="A4422" t="s">
        <v>4359</v>
      </c>
      <c r="B4422">
        <v>37</v>
      </c>
      <c r="C4422" t="s">
        <v>4803</v>
      </c>
      <c r="D4422" t="s">
        <v>13</v>
      </c>
      <c r="E4422">
        <v>36</v>
      </c>
      <c r="F4422">
        <v>53</v>
      </c>
      <c r="G4422" t="s">
        <v>4798</v>
      </c>
      <c r="H4422" t="s">
        <v>4806</v>
      </c>
      <c r="I4422">
        <v>13.99</v>
      </c>
      <c r="J4422">
        <v>1</v>
      </c>
      <c r="K4422">
        <v>1.2</v>
      </c>
      <c r="L4422">
        <v>0</v>
      </c>
      <c r="M4422" t="s">
        <v>4811</v>
      </c>
      <c r="N4422" t="s">
        <v>4900</v>
      </c>
      <c r="O4422" t="s">
        <v>4910</v>
      </c>
    </row>
    <row r="4423" spans="1:15" x14ac:dyDescent="0.35">
      <c r="A4423" t="s">
        <v>4360</v>
      </c>
      <c r="B4423">
        <v>63</v>
      </c>
      <c r="C4423" t="s">
        <v>4802</v>
      </c>
      <c r="D4423" t="s">
        <v>13</v>
      </c>
      <c r="E4423">
        <v>72</v>
      </c>
      <c r="F4423">
        <v>26</v>
      </c>
      <c r="G4423" t="s">
        <v>4798</v>
      </c>
      <c r="H4423" t="s">
        <v>4805</v>
      </c>
      <c r="I4423">
        <v>13.99</v>
      </c>
      <c r="J4423">
        <v>2</v>
      </c>
      <c r="K4423">
        <v>2.4</v>
      </c>
      <c r="L4423">
        <v>0</v>
      </c>
      <c r="M4423" t="s">
        <v>4812</v>
      </c>
      <c r="N4423" t="s">
        <v>4900</v>
      </c>
      <c r="O4423" t="s">
        <v>4911</v>
      </c>
    </row>
    <row r="4424" spans="1:15" x14ac:dyDescent="0.35">
      <c r="A4424" t="s">
        <v>4361</v>
      </c>
      <c r="B4424">
        <v>44</v>
      </c>
      <c r="C4424" t="s">
        <v>4802</v>
      </c>
      <c r="D4424" t="s">
        <v>13</v>
      </c>
      <c r="E4424">
        <v>48</v>
      </c>
      <c r="F4424">
        <v>14</v>
      </c>
      <c r="G4424" t="s">
        <v>4798</v>
      </c>
      <c r="H4424" t="s">
        <v>4807</v>
      </c>
      <c r="I4424">
        <v>13.99</v>
      </c>
      <c r="J4424">
        <v>2</v>
      </c>
      <c r="K4424">
        <v>1.6</v>
      </c>
      <c r="L4424">
        <v>0</v>
      </c>
      <c r="M4424" t="s">
        <v>4810</v>
      </c>
      <c r="N4424" t="s">
        <v>4900</v>
      </c>
      <c r="O4424" t="s">
        <v>4910</v>
      </c>
    </row>
    <row r="4425" spans="1:15" x14ac:dyDescent="0.35">
      <c r="A4425" t="s">
        <v>4362</v>
      </c>
      <c r="B4425">
        <v>20</v>
      </c>
      <c r="C4425" t="s">
        <v>4802</v>
      </c>
      <c r="D4425" t="s">
        <v>15</v>
      </c>
      <c r="E4425">
        <v>53</v>
      </c>
      <c r="F4425">
        <v>35</v>
      </c>
      <c r="G4425" t="s">
        <v>4800</v>
      </c>
      <c r="H4425" t="s">
        <v>4805</v>
      </c>
      <c r="I4425">
        <v>17.989999999999998</v>
      </c>
      <c r="J4425">
        <v>3</v>
      </c>
      <c r="K4425">
        <v>1.77</v>
      </c>
      <c r="L4425">
        <v>0</v>
      </c>
      <c r="M4425" t="s">
        <v>4809</v>
      </c>
      <c r="N4425" t="s">
        <v>4900</v>
      </c>
      <c r="O4425" t="s">
        <v>4912</v>
      </c>
    </row>
    <row r="4426" spans="1:15" x14ac:dyDescent="0.35">
      <c r="A4426" t="s">
        <v>4363</v>
      </c>
      <c r="B4426">
        <v>41</v>
      </c>
      <c r="C4426" t="s">
        <v>4802</v>
      </c>
      <c r="D4426" t="s">
        <v>13</v>
      </c>
      <c r="E4426">
        <v>72</v>
      </c>
      <c r="F4426">
        <v>6</v>
      </c>
      <c r="G4426" t="s">
        <v>4798</v>
      </c>
      <c r="H4426" t="s">
        <v>4805</v>
      </c>
      <c r="I4426">
        <v>13.99</v>
      </c>
      <c r="J4426">
        <v>4</v>
      </c>
      <c r="K4426">
        <v>2.4</v>
      </c>
      <c r="L4426">
        <v>0</v>
      </c>
      <c r="M4426" t="s">
        <v>4812</v>
      </c>
      <c r="N4426" t="s">
        <v>4900</v>
      </c>
      <c r="O4426" t="s">
        <v>4910</v>
      </c>
    </row>
    <row r="4427" spans="1:15" x14ac:dyDescent="0.35">
      <c r="A4427" t="s">
        <v>4364</v>
      </c>
      <c r="B4427">
        <v>28</v>
      </c>
      <c r="C4427" t="s">
        <v>4802</v>
      </c>
      <c r="D4427" t="s">
        <v>15</v>
      </c>
      <c r="E4427">
        <v>120</v>
      </c>
      <c r="F4427">
        <v>39</v>
      </c>
      <c r="G4427" t="s">
        <v>4799</v>
      </c>
      <c r="H4427" t="s">
        <v>4804</v>
      </c>
      <c r="I4427">
        <v>17.989999999999998</v>
      </c>
      <c r="J4427">
        <v>5</v>
      </c>
      <c r="K4427">
        <v>2.0299999999999998</v>
      </c>
      <c r="L4427">
        <v>1</v>
      </c>
      <c r="M4427" t="s">
        <v>4808</v>
      </c>
      <c r="N4427" t="s">
        <v>4899</v>
      </c>
      <c r="O4427" t="s">
        <v>4912</v>
      </c>
    </row>
    <row r="4428" spans="1:15" x14ac:dyDescent="0.35">
      <c r="A4428" t="s">
        <v>4365</v>
      </c>
      <c r="B4428">
        <v>29</v>
      </c>
      <c r="C4428" t="s">
        <v>4802</v>
      </c>
      <c r="D4428" t="s">
        <v>15</v>
      </c>
      <c r="E4428">
        <v>66</v>
      </c>
      <c r="F4428">
        <v>38</v>
      </c>
      <c r="G4428" t="s">
        <v>4798</v>
      </c>
      <c r="H4428" t="s">
        <v>4805</v>
      </c>
      <c r="I4428">
        <v>17.989999999999998</v>
      </c>
      <c r="J4428">
        <v>4</v>
      </c>
      <c r="K4428">
        <v>2.2000000000000002</v>
      </c>
      <c r="L4428">
        <v>0</v>
      </c>
      <c r="M4428" t="s">
        <v>4808</v>
      </c>
      <c r="N4428" t="s">
        <v>4900</v>
      </c>
      <c r="O4428" t="s">
        <v>4912</v>
      </c>
    </row>
    <row r="4429" spans="1:15" x14ac:dyDescent="0.35">
      <c r="A4429" t="s">
        <v>4366</v>
      </c>
      <c r="B4429">
        <v>51</v>
      </c>
      <c r="C4429" t="s">
        <v>4803</v>
      </c>
      <c r="D4429" t="s">
        <v>15</v>
      </c>
      <c r="E4429">
        <v>58</v>
      </c>
      <c r="F4429">
        <v>39</v>
      </c>
      <c r="G4429" t="s">
        <v>4799</v>
      </c>
      <c r="H4429" t="s">
        <v>4804</v>
      </c>
      <c r="I4429">
        <v>17.989999999999998</v>
      </c>
      <c r="J4429">
        <v>4</v>
      </c>
      <c r="K4429">
        <v>1.93</v>
      </c>
      <c r="L4429">
        <v>1</v>
      </c>
      <c r="M4429" t="s">
        <v>4810</v>
      </c>
      <c r="N4429" t="s">
        <v>4899</v>
      </c>
      <c r="O4429" t="s">
        <v>4910</v>
      </c>
    </row>
    <row r="4430" spans="1:15" x14ac:dyDescent="0.35">
      <c r="A4430" t="s">
        <v>4367</v>
      </c>
      <c r="B4430">
        <v>40</v>
      </c>
      <c r="C4430" t="s">
        <v>4803</v>
      </c>
      <c r="D4430" t="s">
        <v>13</v>
      </c>
      <c r="E4430">
        <v>62</v>
      </c>
      <c r="F4430">
        <v>39</v>
      </c>
      <c r="G4430" t="s">
        <v>4799</v>
      </c>
      <c r="H4430" t="s">
        <v>4805</v>
      </c>
      <c r="I4430">
        <v>13.99</v>
      </c>
      <c r="J4430">
        <v>1</v>
      </c>
      <c r="K4430">
        <v>2.0699999999999998</v>
      </c>
      <c r="L4430">
        <v>1</v>
      </c>
      <c r="M4430" t="s">
        <v>4809</v>
      </c>
      <c r="N4430" t="s">
        <v>4899</v>
      </c>
      <c r="O4430" t="s">
        <v>4910</v>
      </c>
    </row>
    <row r="4431" spans="1:15" x14ac:dyDescent="0.35">
      <c r="A4431" t="s">
        <v>4368</v>
      </c>
      <c r="B4431">
        <v>55</v>
      </c>
      <c r="C4431" t="s">
        <v>4802</v>
      </c>
      <c r="D4431" t="s">
        <v>13</v>
      </c>
      <c r="E4431">
        <v>39</v>
      </c>
      <c r="F4431">
        <v>999</v>
      </c>
      <c r="G4431" t="s">
        <v>4798</v>
      </c>
      <c r="H4431" t="s">
        <v>4806</v>
      </c>
      <c r="I4431">
        <v>13.99</v>
      </c>
      <c r="J4431">
        <v>1</v>
      </c>
      <c r="K4431">
        <v>1.3</v>
      </c>
      <c r="L4431">
        <v>0</v>
      </c>
      <c r="M4431" t="s">
        <v>4811</v>
      </c>
      <c r="N4431" t="s">
        <v>4900</v>
      </c>
      <c r="O4431" t="s">
        <v>4911</v>
      </c>
    </row>
    <row r="4432" spans="1:15" x14ac:dyDescent="0.35">
      <c r="A4432" t="s">
        <v>4369</v>
      </c>
      <c r="B4432">
        <v>24</v>
      </c>
      <c r="C4432" t="s">
        <v>4802</v>
      </c>
      <c r="D4432" t="s">
        <v>13</v>
      </c>
      <c r="E4432">
        <v>47</v>
      </c>
      <c r="F4432">
        <v>9</v>
      </c>
      <c r="G4432" t="s">
        <v>4797</v>
      </c>
      <c r="H4432" t="s">
        <v>4806</v>
      </c>
      <c r="I4432">
        <v>13.99</v>
      </c>
      <c r="J4432">
        <v>2</v>
      </c>
      <c r="K4432">
        <v>5</v>
      </c>
      <c r="L4432">
        <v>1</v>
      </c>
      <c r="M4432" t="s">
        <v>4809</v>
      </c>
      <c r="N4432" t="s">
        <v>4899</v>
      </c>
      <c r="O4432" t="s">
        <v>4912</v>
      </c>
    </row>
    <row r="4433" spans="1:15" x14ac:dyDescent="0.35">
      <c r="A4433" t="s">
        <v>4370</v>
      </c>
      <c r="B4433">
        <v>29</v>
      </c>
      <c r="C4433" t="s">
        <v>4802</v>
      </c>
      <c r="D4433" t="s">
        <v>13</v>
      </c>
      <c r="E4433">
        <v>70</v>
      </c>
      <c r="F4433">
        <v>49</v>
      </c>
      <c r="G4433" t="s">
        <v>4798</v>
      </c>
      <c r="H4433" t="s">
        <v>4805</v>
      </c>
      <c r="I4433">
        <v>13.99</v>
      </c>
      <c r="J4433">
        <v>1</v>
      </c>
      <c r="K4433">
        <v>2.33</v>
      </c>
      <c r="L4433">
        <v>0</v>
      </c>
      <c r="M4433" t="s">
        <v>4812</v>
      </c>
      <c r="N4433" t="s">
        <v>4900</v>
      </c>
      <c r="O4433" t="s">
        <v>4912</v>
      </c>
    </row>
    <row r="4434" spans="1:15" x14ac:dyDescent="0.35">
      <c r="A4434" t="s">
        <v>4371</v>
      </c>
      <c r="B4434">
        <v>29</v>
      </c>
      <c r="C4434" t="s">
        <v>4802</v>
      </c>
      <c r="D4434" t="s">
        <v>15</v>
      </c>
      <c r="E4434">
        <v>65</v>
      </c>
      <c r="F4434">
        <v>55</v>
      </c>
      <c r="G4434" t="s">
        <v>4798</v>
      </c>
      <c r="H4434" t="s">
        <v>4806</v>
      </c>
      <c r="I4434">
        <v>17.989999999999998</v>
      </c>
      <c r="J4434">
        <v>5</v>
      </c>
      <c r="K4434">
        <v>2.17</v>
      </c>
      <c r="L4434">
        <v>0</v>
      </c>
      <c r="M4434" t="s">
        <v>4810</v>
      </c>
      <c r="N4434" t="s">
        <v>4900</v>
      </c>
      <c r="O4434" t="s">
        <v>4912</v>
      </c>
    </row>
    <row r="4435" spans="1:15" x14ac:dyDescent="0.35">
      <c r="A4435" t="s">
        <v>4372</v>
      </c>
      <c r="B4435">
        <v>32</v>
      </c>
      <c r="C4435" t="s">
        <v>4802</v>
      </c>
      <c r="D4435" t="s">
        <v>13</v>
      </c>
      <c r="E4435">
        <v>46</v>
      </c>
      <c r="F4435">
        <v>3</v>
      </c>
      <c r="G4435" t="s">
        <v>4797</v>
      </c>
      <c r="H4435" t="s">
        <v>4806</v>
      </c>
      <c r="I4435">
        <v>13.99</v>
      </c>
      <c r="J4435">
        <v>1</v>
      </c>
      <c r="K4435">
        <v>1.53</v>
      </c>
      <c r="L4435">
        <v>0</v>
      </c>
      <c r="M4435" t="s">
        <v>4812</v>
      </c>
      <c r="N4435" t="s">
        <v>4900</v>
      </c>
      <c r="O4435" t="s">
        <v>4912</v>
      </c>
    </row>
    <row r="4436" spans="1:15" x14ac:dyDescent="0.35">
      <c r="A4436" t="s">
        <v>4373</v>
      </c>
      <c r="B4436">
        <v>22</v>
      </c>
      <c r="C4436" t="s">
        <v>4803</v>
      </c>
      <c r="D4436" t="s">
        <v>13</v>
      </c>
      <c r="E4436">
        <v>68</v>
      </c>
      <c r="F4436">
        <v>8</v>
      </c>
      <c r="G4436" t="s">
        <v>4797</v>
      </c>
      <c r="H4436" t="s">
        <v>4804</v>
      </c>
      <c r="I4436">
        <v>13.99</v>
      </c>
      <c r="J4436">
        <v>3</v>
      </c>
      <c r="K4436">
        <v>2.27</v>
      </c>
      <c r="L4436">
        <v>0</v>
      </c>
      <c r="M4436" t="s">
        <v>4809</v>
      </c>
      <c r="N4436" t="s">
        <v>4900</v>
      </c>
      <c r="O4436" t="s">
        <v>4912</v>
      </c>
    </row>
    <row r="4437" spans="1:15" x14ac:dyDescent="0.35">
      <c r="A4437" t="s">
        <v>4374</v>
      </c>
      <c r="B4437">
        <v>53</v>
      </c>
      <c r="C4437" t="s">
        <v>4803</v>
      </c>
      <c r="D4437" t="s">
        <v>13</v>
      </c>
      <c r="E4437">
        <v>64</v>
      </c>
      <c r="F4437">
        <v>3</v>
      </c>
      <c r="G4437" t="s">
        <v>4798</v>
      </c>
      <c r="H4437" t="s">
        <v>4807</v>
      </c>
      <c r="I4437">
        <v>13.99</v>
      </c>
      <c r="J4437">
        <v>2</v>
      </c>
      <c r="K4437">
        <v>2.13</v>
      </c>
      <c r="L4437">
        <v>0</v>
      </c>
      <c r="M4437" t="s">
        <v>4809</v>
      </c>
      <c r="N4437" t="s">
        <v>4900</v>
      </c>
      <c r="O4437" t="s">
        <v>4910</v>
      </c>
    </row>
    <row r="4438" spans="1:15" x14ac:dyDescent="0.35">
      <c r="A4438" t="s">
        <v>4375</v>
      </c>
      <c r="B4438">
        <v>57</v>
      </c>
      <c r="C4438" t="s">
        <v>4803</v>
      </c>
      <c r="D4438" t="s">
        <v>13</v>
      </c>
      <c r="E4438">
        <v>78</v>
      </c>
      <c r="F4438">
        <v>12</v>
      </c>
      <c r="G4438" t="s">
        <v>4797</v>
      </c>
      <c r="H4438" t="s">
        <v>4805</v>
      </c>
      <c r="I4438">
        <v>13.99</v>
      </c>
      <c r="J4438">
        <v>2</v>
      </c>
      <c r="K4438">
        <v>2.6</v>
      </c>
      <c r="L4438">
        <v>0</v>
      </c>
      <c r="M4438" t="s">
        <v>4812</v>
      </c>
      <c r="N4438" t="s">
        <v>4900</v>
      </c>
      <c r="O4438" t="s">
        <v>4911</v>
      </c>
    </row>
    <row r="4439" spans="1:15" x14ac:dyDescent="0.35">
      <c r="A4439" t="s">
        <v>4376</v>
      </c>
      <c r="B4439">
        <v>59</v>
      </c>
      <c r="C4439" t="s">
        <v>4803</v>
      </c>
      <c r="D4439" t="s">
        <v>13</v>
      </c>
      <c r="E4439">
        <v>30</v>
      </c>
      <c r="F4439">
        <v>46</v>
      </c>
      <c r="G4439" t="s">
        <v>4797</v>
      </c>
      <c r="H4439" t="s">
        <v>4804</v>
      </c>
      <c r="I4439">
        <v>13.99</v>
      </c>
      <c r="J4439">
        <v>3</v>
      </c>
      <c r="K4439">
        <v>1</v>
      </c>
      <c r="L4439">
        <v>1</v>
      </c>
      <c r="M4439" t="s">
        <v>4809</v>
      </c>
      <c r="N4439" t="s">
        <v>4899</v>
      </c>
      <c r="O4439" t="s">
        <v>4911</v>
      </c>
    </row>
    <row r="4440" spans="1:15" x14ac:dyDescent="0.35">
      <c r="A4440" t="s">
        <v>4377</v>
      </c>
      <c r="B4440">
        <v>49</v>
      </c>
      <c r="C4440" t="s">
        <v>4803</v>
      </c>
      <c r="D4440" t="s">
        <v>13</v>
      </c>
      <c r="E4440">
        <v>42</v>
      </c>
      <c r="F4440">
        <v>60</v>
      </c>
      <c r="G4440" t="s">
        <v>4797</v>
      </c>
      <c r="H4440" t="s">
        <v>4804</v>
      </c>
      <c r="I4440">
        <v>13.99</v>
      </c>
      <c r="J4440">
        <v>1</v>
      </c>
      <c r="K4440">
        <v>1.4</v>
      </c>
      <c r="L4440">
        <v>0</v>
      </c>
      <c r="M4440" t="s">
        <v>4808</v>
      </c>
      <c r="N4440" t="s">
        <v>4900</v>
      </c>
      <c r="O4440" t="s">
        <v>4910</v>
      </c>
    </row>
    <row r="4441" spans="1:15" x14ac:dyDescent="0.35">
      <c r="A4441" t="s">
        <v>4378</v>
      </c>
      <c r="B4441">
        <v>37</v>
      </c>
      <c r="C4441" t="s">
        <v>4803</v>
      </c>
      <c r="D4441" t="s">
        <v>13</v>
      </c>
      <c r="E4441">
        <v>74</v>
      </c>
      <c r="F4441">
        <v>50</v>
      </c>
      <c r="G4441" t="s">
        <v>4798</v>
      </c>
      <c r="H4441" t="s">
        <v>4804</v>
      </c>
      <c r="I4441">
        <v>13.99</v>
      </c>
      <c r="J4441">
        <v>3</v>
      </c>
      <c r="K4441">
        <v>2.4700000000000002</v>
      </c>
      <c r="L4441">
        <v>1</v>
      </c>
      <c r="M4441" t="s">
        <v>4809</v>
      </c>
      <c r="N4441" t="s">
        <v>4899</v>
      </c>
      <c r="O4441" t="s">
        <v>4910</v>
      </c>
    </row>
    <row r="4442" spans="1:15" x14ac:dyDescent="0.35">
      <c r="A4442" t="s">
        <v>4379</v>
      </c>
      <c r="B4442">
        <v>55</v>
      </c>
      <c r="C4442" t="s">
        <v>4803</v>
      </c>
      <c r="D4442" t="s">
        <v>13</v>
      </c>
      <c r="E4442">
        <v>33</v>
      </c>
      <c r="F4442">
        <v>17</v>
      </c>
      <c r="G4442" t="s">
        <v>4797</v>
      </c>
      <c r="H4442" t="s">
        <v>4806</v>
      </c>
      <c r="I4442">
        <v>13.99</v>
      </c>
      <c r="J4442">
        <v>4</v>
      </c>
      <c r="K4442">
        <v>1.1000000000000001</v>
      </c>
      <c r="L4442">
        <v>0</v>
      </c>
      <c r="M4442" t="s">
        <v>4812</v>
      </c>
      <c r="N4442" t="s">
        <v>4900</v>
      </c>
      <c r="O4442" t="s">
        <v>4911</v>
      </c>
    </row>
    <row r="4443" spans="1:15" x14ac:dyDescent="0.35">
      <c r="A4443" t="s">
        <v>4380</v>
      </c>
      <c r="B4443">
        <v>36</v>
      </c>
      <c r="C4443" t="s">
        <v>4803</v>
      </c>
      <c r="D4443" t="s">
        <v>13</v>
      </c>
      <c r="E4443">
        <v>33</v>
      </c>
      <c r="F4443">
        <v>17</v>
      </c>
      <c r="G4443" t="s">
        <v>4797</v>
      </c>
      <c r="H4443" t="s">
        <v>4805</v>
      </c>
      <c r="I4443">
        <v>13.99</v>
      </c>
      <c r="J4443">
        <v>1</v>
      </c>
      <c r="K4443">
        <v>1.1000000000000001</v>
      </c>
      <c r="L4443">
        <v>0</v>
      </c>
      <c r="M4443" t="s">
        <v>4810</v>
      </c>
      <c r="N4443" t="s">
        <v>4900</v>
      </c>
      <c r="O4443" t="s">
        <v>4910</v>
      </c>
    </row>
    <row r="4444" spans="1:15" x14ac:dyDescent="0.35">
      <c r="A4444" t="s">
        <v>4381</v>
      </c>
      <c r="B4444">
        <v>36</v>
      </c>
      <c r="C4444" t="s">
        <v>4803</v>
      </c>
      <c r="D4444" t="s">
        <v>13</v>
      </c>
      <c r="E4444">
        <v>38</v>
      </c>
      <c r="F4444">
        <v>13</v>
      </c>
      <c r="G4444" t="s">
        <v>4797</v>
      </c>
      <c r="H4444" t="s">
        <v>4804</v>
      </c>
      <c r="I4444">
        <v>13.99</v>
      </c>
      <c r="J4444">
        <v>1</v>
      </c>
      <c r="K4444">
        <v>1.27</v>
      </c>
      <c r="L4444">
        <v>0</v>
      </c>
      <c r="M4444" t="s">
        <v>4812</v>
      </c>
      <c r="N4444" t="s">
        <v>4900</v>
      </c>
      <c r="O4444" t="s">
        <v>4910</v>
      </c>
    </row>
    <row r="4445" spans="1:15" x14ac:dyDescent="0.35">
      <c r="A4445" t="s">
        <v>4382</v>
      </c>
      <c r="B4445">
        <v>38</v>
      </c>
      <c r="C4445" t="s">
        <v>4803</v>
      </c>
      <c r="D4445" t="s">
        <v>13</v>
      </c>
      <c r="E4445">
        <v>65</v>
      </c>
      <c r="F4445">
        <v>9</v>
      </c>
      <c r="G4445" t="s">
        <v>4799</v>
      </c>
      <c r="H4445" t="s">
        <v>4804</v>
      </c>
      <c r="I4445">
        <v>13.99</v>
      </c>
      <c r="J4445">
        <v>3</v>
      </c>
      <c r="K4445">
        <v>2.17</v>
      </c>
      <c r="L4445">
        <v>0</v>
      </c>
      <c r="M4445" t="s">
        <v>4809</v>
      </c>
      <c r="N4445" t="s">
        <v>4900</v>
      </c>
      <c r="O4445" t="s">
        <v>4910</v>
      </c>
    </row>
    <row r="4446" spans="1:15" x14ac:dyDescent="0.35">
      <c r="A4446" t="s">
        <v>4383</v>
      </c>
      <c r="B4446">
        <v>64</v>
      </c>
      <c r="C4446" t="s">
        <v>4802</v>
      </c>
      <c r="D4446" t="s">
        <v>13</v>
      </c>
      <c r="E4446">
        <v>48</v>
      </c>
      <c r="F4446">
        <v>35</v>
      </c>
      <c r="G4446" t="s">
        <v>4797</v>
      </c>
      <c r="H4446" t="s">
        <v>4805</v>
      </c>
      <c r="I4446">
        <v>13.99</v>
      </c>
      <c r="J4446">
        <v>2</v>
      </c>
      <c r="K4446">
        <v>5</v>
      </c>
      <c r="L4446">
        <v>0</v>
      </c>
      <c r="M4446" t="s">
        <v>4809</v>
      </c>
      <c r="N4446" t="s">
        <v>4900</v>
      </c>
      <c r="O4446" t="s">
        <v>4911</v>
      </c>
    </row>
    <row r="4447" spans="1:15" x14ac:dyDescent="0.35">
      <c r="A4447" t="s">
        <v>4384</v>
      </c>
      <c r="B4447">
        <v>35</v>
      </c>
      <c r="C4447" t="s">
        <v>4803</v>
      </c>
      <c r="D4447" t="s">
        <v>14</v>
      </c>
      <c r="E4447">
        <v>31</v>
      </c>
      <c r="F4447">
        <v>56</v>
      </c>
      <c r="G4447" t="s">
        <v>4798</v>
      </c>
      <c r="H4447" t="s">
        <v>4806</v>
      </c>
      <c r="I4447">
        <v>8.99</v>
      </c>
      <c r="J4447">
        <v>1</v>
      </c>
      <c r="K4447">
        <v>1.03</v>
      </c>
      <c r="L4447">
        <v>0</v>
      </c>
      <c r="M4447" t="s">
        <v>4812</v>
      </c>
      <c r="N4447" t="s">
        <v>4900</v>
      </c>
      <c r="O4447" t="s">
        <v>4910</v>
      </c>
    </row>
    <row r="4448" spans="1:15" x14ac:dyDescent="0.35">
      <c r="A4448" t="s">
        <v>4385</v>
      </c>
      <c r="B4448">
        <v>41</v>
      </c>
      <c r="C4448" t="s">
        <v>4802</v>
      </c>
      <c r="D4448" t="s">
        <v>15</v>
      </c>
      <c r="E4448">
        <v>94</v>
      </c>
      <c r="F4448">
        <v>43</v>
      </c>
      <c r="G4448" t="s">
        <v>4799</v>
      </c>
      <c r="H4448" t="s">
        <v>4805</v>
      </c>
      <c r="I4448">
        <v>17.989999999999998</v>
      </c>
      <c r="J4448">
        <v>2</v>
      </c>
      <c r="K4448">
        <v>3.13</v>
      </c>
      <c r="L4448">
        <v>0</v>
      </c>
      <c r="M4448" t="s">
        <v>4809</v>
      </c>
      <c r="N4448" t="s">
        <v>4900</v>
      </c>
      <c r="O4448" t="s">
        <v>4910</v>
      </c>
    </row>
    <row r="4449" spans="1:15" x14ac:dyDescent="0.35">
      <c r="A4449" t="s">
        <v>4386</v>
      </c>
      <c r="B4449">
        <v>35</v>
      </c>
      <c r="C4449" t="s">
        <v>4802</v>
      </c>
      <c r="D4449" t="s">
        <v>13</v>
      </c>
      <c r="E4449">
        <v>66</v>
      </c>
      <c r="F4449">
        <v>29</v>
      </c>
      <c r="G4449" t="s">
        <v>4799</v>
      </c>
      <c r="H4449" t="s">
        <v>4807</v>
      </c>
      <c r="I4449">
        <v>13.99</v>
      </c>
      <c r="J4449">
        <v>2</v>
      </c>
      <c r="K4449">
        <v>2.2000000000000002</v>
      </c>
      <c r="L4449">
        <v>0</v>
      </c>
      <c r="M4449" t="s">
        <v>4808</v>
      </c>
      <c r="N4449" t="s">
        <v>4900</v>
      </c>
      <c r="O4449" t="s">
        <v>4910</v>
      </c>
    </row>
    <row r="4450" spans="1:15" x14ac:dyDescent="0.35">
      <c r="A4450" t="s">
        <v>4387</v>
      </c>
      <c r="B4450">
        <v>49</v>
      </c>
      <c r="C4450" t="s">
        <v>4803</v>
      </c>
      <c r="D4450" t="s">
        <v>13</v>
      </c>
      <c r="E4450">
        <v>62</v>
      </c>
      <c r="F4450">
        <v>5</v>
      </c>
      <c r="G4450" t="s">
        <v>4799</v>
      </c>
      <c r="H4450" t="s">
        <v>4805</v>
      </c>
      <c r="I4450">
        <v>13.99</v>
      </c>
      <c r="J4450">
        <v>2</v>
      </c>
      <c r="K4450">
        <v>2.0699999999999998</v>
      </c>
      <c r="L4450">
        <v>0</v>
      </c>
      <c r="M4450" t="s">
        <v>4808</v>
      </c>
      <c r="N4450" t="s">
        <v>4900</v>
      </c>
      <c r="O4450" t="s">
        <v>4910</v>
      </c>
    </row>
    <row r="4451" spans="1:15" x14ac:dyDescent="0.35">
      <c r="A4451" t="s">
        <v>4388</v>
      </c>
      <c r="B4451">
        <v>28</v>
      </c>
      <c r="C4451" t="s">
        <v>4802</v>
      </c>
      <c r="D4451" t="s">
        <v>15</v>
      </c>
      <c r="E4451">
        <v>58</v>
      </c>
      <c r="F4451">
        <v>43</v>
      </c>
      <c r="G4451" t="s">
        <v>4800</v>
      </c>
      <c r="H4451" t="s">
        <v>4805</v>
      </c>
      <c r="I4451">
        <v>17.989999999999998</v>
      </c>
      <c r="J4451">
        <v>4</v>
      </c>
      <c r="K4451">
        <v>1.93</v>
      </c>
      <c r="L4451">
        <v>0</v>
      </c>
      <c r="M4451" t="s">
        <v>4811</v>
      </c>
      <c r="N4451" t="s">
        <v>4900</v>
      </c>
      <c r="O4451" t="s">
        <v>4912</v>
      </c>
    </row>
    <row r="4452" spans="1:15" x14ac:dyDescent="0.35">
      <c r="A4452" t="s">
        <v>4389</v>
      </c>
      <c r="B4452">
        <v>21</v>
      </c>
      <c r="C4452" t="s">
        <v>4802</v>
      </c>
      <c r="D4452" t="s">
        <v>13</v>
      </c>
      <c r="E4452">
        <v>54</v>
      </c>
      <c r="F4452">
        <v>24</v>
      </c>
      <c r="G4452" t="s">
        <v>4799</v>
      </c>
      <c r="H4452" t="s">
        <v>4805</v>
      </c>
      <c r="I4452">
        <v>13.99</v>
      </c>
      <c r="J4452">
        <v>3</v>
      </c>
      <c r="K4452">
        <v>1.8</v>
      </c>
      <c r="L4452">
        <v>0</v>
      </c>
      <c r="M4452" t="s">
        <v>4809</v>
      </c>
      <c r="N4452" t="s">
        <v>4900</v>
      </c>
      <c r="O4452" t="s">
        <v>4912</v>
      </c>
    </row>
    <row r="4453" spans="1:15" x14ac:dyDescent="0.35">
      <c r="A4453" t="s">
        <v>4390</v>
      </c>
      <c r="B4453">
        <v>32</v>
      </c>
      <c r="C4453" t="s">
        <v>4802</v>
      </c>
      <c r="D4453" t="s">
        <v>13</v>
      </c>
      <c r="E4453">
        <v>33</v>
      </c>
      <c r="F4453">
        <v>4</v>
      </c>
      <c r="G4453" t="s">
        <v>4799</v>
      </c>
      <c r="H4453" t="s">
        <v>4806</v>
      </c>
      <c r="I4453">
        <v>13.99</v>
      </c>
      <c r="J4453">
        <v>4</v>
      </c>
      <c r="K4453">
        <v>1.1000000000000001</v>
      </c>
      <c r="L4453">
        <v>0</v>
      </c>
      <c r="M4453" t="s">
        <v>4809</v>
      </c>
      <c r="N4453" t="s">
        <v>4900</v>
      </c>
      <c r="O4453" t="s">
        <v>4912</v>
      </c>
    </row>
    <row r="4454" spans="1:15" x14ac:dyDescent="0.35">
      <c r="A4454" t="s">
        <v>4391</v>
      </c>
      <c r="B4454">
        <v>50</v>
      </c>
      <c r="C4454" t="s">
        <v>4802</v>
      </c>
      <c r="D4454" t="s">
        <v>13</v>
      </c>
      <c r="E4454">
        <v>53</v>
      </c>
      <c r="F4454">
        <v>22</v>
      </c>
      <c r="G4454" t="s">
        <v>4798</v>
      </c>
      <c r="H4454" t="s">
        <v>4804</v>
      </c>
      <c r="I4454">
        <v>13.99</v>
      </c>
      <c r="J4454">
        <v>2</v>
      </c>
      <c r="K4454">
        <v>1.77</v>
      </c>
      <c r="L4454">
        <v>0</v>
      </c>
      <c r="M4454" t="s">
        <v>4810</v>
      </c>
      <c r="N4454" t="s">
        <v>4900</v>
      </c>
      <c r="O4454" t="s">
        <v>4910</v>
      </c>
    </row>
    <row r="4455" spans="1:15" x14ac:dyDescent="0.35">
      <c r="A4455" t="s">
        <v>4392</v>
      </c>
      <c r="B4455">
        <v>56</v>
      </c>
      <c r="C4455" t="s">
        <v>4803</v>
      </c>
      <c r="D4455" t="s">
        <v>13</v>
      </c>
      <c r="E4455">
        <v>32</v>
      </c>
      <c r="F4455">
        <v>28</v>
      </c>
      <c r="G4455" t="s">
        <v>4797</v>
      </c>
      <c r="H4455" t="s">
        <v>4806</v>
      </c>
      <c r="I4455">
        <v>13.99</v>
      </c>
      <c r="J4455">
        <v>4</v>
      </c>
      <c r="K4455">
        <v>1.07</v>
      </c>
      <c r="L4455">
        <v>0</v>
      </c>
      <c r="M4455" t="s">
        <v>4812</v>
      </c>
      <c r="N4455" t="s">
        <v>4900</v>
      </c>
      <c r="O4455" t="s">
        <v>4911</v>
      </c>
    </row>
    <row r="4456" spans="1:15" x14ac:dyDescent="0.35">
      <c r="A4456" t="s">
        <v>4393</v>
      </c>
      <c r="B4456">
        <v>26</v>
      </c>
      <c r="C4456" t="s">
        <v>4803</v>
      </c>
      <c r="D4456" t="s">
        <v>15</v>
      </c>
      <c r="E4456">
        <v>82</v>
      </c>
      <c r="F4456">
        <v>33</v>
      </c>
      <c r="G4456" t="s">
        <v>4798</v>
      </c>
      <c r="H4456" t="s">
        <v>4804</v>
      </c>
      <c r="I4456">
        <v>17.989999999999998</v>
      </c>
      <c r="J4456">
        <v>5</v>
      </c>
      <c r="K4456">
        <v>2.73</v>
      </c>
      <c r="L4456">
        <v>0</v>
      </c>
      <c r="M4456" t="s">
        <v>4808</v>
      </c>
      <c r="N4456" t="s">
        <v>4900</v>
      </c>
      <c r="O4456" t="s">
        <v>4912</v>
      </c>
    </row>
    <row r="4457" spans="1:15" x14ac:dyDescent="0.35">
      <c r="A4457" t="s">
        <v>4394</v>
      </c>
      <c r="B4457">
        <v>29</v>
      </c>
      <c r="C4457" t="s">
        <v>4802</v>
      </c>
      <c r="D4457" t="s">
        <v>14</v>
      </c>
      <c r="E4457">
        <v>14</v>
      </c>
      <c r="F4457">
        <v>14</v>
      </c>
      <c r="G4457" t="s">
        <v>4798</v>
      </c>
      <c r="H4457" t="s">
        <v>4804</v>
      </c>
      <c r="I4457">
        <v>8.99</v>
      </c>
      <c r="J4457">
        <v>2</v>
      </c>
      <c r="K4457">
        <v>2.0299999999999998</v>
      </c>
      <c r="L4457">
        <v>0</v>
      </c>
      <c r="M4457" t="s">
        <v>4812</v>
      </c>
      <c r="N4457" t="s">
        <v>4900</v>
      </c>
      <c r="O4457" t="s">
        <v>4912</v>
      </c>
    </row>
    <row r="4458" spans="1:15" x14ac:dyDescent="0.35">
      <c r="A4458" t="s">
        <v>4395</v>
      </c>
      <c r="B4458">
        <v>61</v>
      </c>
      <c r="C4458" t="s">
        <v>4802</v>
      </c>
      <c r="D4458" t="s">
        <v>13</v>
      </c>
      <c r="E4458">
        <v>30</v>
      </c>
      <c r="F4458">
        <v>9</v>
      </c>
      <c r="G4458" t="s">
        <v>4798</v>
      </c>
      <c r="H4458" t="s">
        <v>4806</v>
      </c>
      <c r="I4458">
        <v>13.99</v>
      </c>
      <c r="J4458">
        <v>1</v>
      </c>
      <c r="K4458">
        <v>1</v>
      </c>
      <c r="L4458">
        <v>0</v>
      </c>
      <c r="M4458" t="s">
        <v>4808</v>
      </c>
      <c r="N4458" t="s">
        <v>4900</v>
      </c>
      <c r="O4458" t="s">
        <v>4911</v>
      </c>
    </row>
    <row r="4459" spans="1:15" x14ac:dyDescent="0.35">
      <c r="A4459" t="s">
        <v>4396</v>
      </c>
      <c r="B4459">
        <v>18</v>
      </c>
      <c r="C4459" t="s">
        <v>4803</v>
      </c>
      <c r="D4459" t="s">
        <v>15</v>
      </c>
      <c r="E4459">
        <v>102</v>
      </c>
      <c r="F4459">
        <v>34</v>
      </c>
      <c r="G4459" t="s">
        <v>4798</v>
      </c>
      <c r="H4459" t="s">
        <v>4805</v>
      </c>
      <c r="I4459">
        <v>17.989999999999998</v>
      </c>
      <c r="J4459">
        <v>3</v>
      </c>
      <c r="K4459">
        <v>3.4</v>
      </c>
      <c r="L4459">
        <v>0</v>
      </c>
      <c r="M4459" t="s">
        <v>4809</v>
      </c>
      <c r="N4459" t="s">
        <v>4900</v>
      </c>
      <c r="O4459" t="s">
        <v>4912</v>
      </c>
    </row>
    <row r="4460" spans="1:15" x14ac:dyDescent="0.35">
      <c r="A4460" t="s">
        <v>4397</v>
      </c>
      <c r="B4460">
        <v>26</v>
      </c>
      <c r="C4460" t="s">
        <v>4803</v>
      </c>
      <c r="D4460" t="s">
        <v>13</v>
      </c>
      <c r="E4460">
        <v>67</v>
      </c>
      <c r="F4460">
        <v>45</v>
      </c>
      <c r="G4460" t="s">
        <v>4797</v>
      </c>
      <c r="H4460" t="s">
        <v>4804</v>
      </c>
      <c r="I4460">
        <v>13.99</v>
      </c>
      <c r="J4460">
        <v>3</v>
      </c>
      <c r="K4460">
        <v>2.0299999999999998</v>
      </c>
      <c r="L4460">
        <v>0</v>
      </c>
      <c r="M4460" t="s">
        <v>4810</v>
      </c>
      <c r="N4460" t="s">
        <v>4900</v>
      </c>
      <c r="O4460" t="s">
        <v>4912</v>
      </c>
    </row>
    <row r="4461" spans="1:15" x14ac:dyDescent="0.35">
      <c r="A4461" t="s">
        <v>4398</v>
      </c>
      <c r="B4461">
        <v>44</v>
      </c>
      <c r="C4461" t="s">
        <v>4803</v>
      </c>
      <c r="D4461" t="s">
        <v>14</v>
      </c>
      <c r="E4461">
        <v>44</v>
      </c>
      <c r="F4461">
        <v>41</v>
      </c>
      <c r="G4461" t="s">
        <v>4797</v>
      </c>
      <c r="H4461" t="s">
        <v>4804</v>
      </c>
      <c r="I4461">
        <v>8.99</v>
      </c>
      <c r="J4461">
        <v>1</v>
      </c>
      <c r="K4461">
        <v>1.47</v>
      </c>
      <c r="L4461">
        <v>0</v>
      </c>
      <c r="M4461" t="s">
        <v>4808</v>
      </c>
      <c r="N4461" t="s">
        <v>4900</v>
      </c>
      <c r="O4461" t="s">
        <v>4910</v>
      </c>
    </row>
    <row r="4462" spans="1:15" x14ac:dyDescent="0.35">
      <c r="A4462" t="s">
        <v>4399</v>
      </c>
      <c r="B4462">
        <v>30</v>
      </c>
      <c r="C4462" t="s">
        <v>4802</v>
      </c>
      <c r="D4462" t="s">
        <v>15</v>
      </c>
      <c r="E4462">
        <v>120</v>
      </c>
      <c r="F4462">
        <v>36</v>
      </c>
      <c r="G4462" t="s">
        <v>4798</v>
      </c>
      <c r="H4462" t="s">
        <v>4805</v>
      </c>
      <c r="I4462">
        <v>17.989999999999998</v>
      </c>
      <c r="J4462">
        <v>2</v>
      </c>
      <c r="K4462">
        <v>4</v>
      </c>
      <c r="L4462">
        <v>0</v>
      </c>
      <c r="M4462" t="s">
        <v>4811</v>
      </c>
      <c r="N4462" t="s">
        <v>4900</v>
      </c>
      <c r="O4462" t="s">
        <v>4912</v>
      </c>
    </row>
    <row r="4463" spans="1:15" x14ac:dyDescent="0.35">
      <c r="A4463" t="s">
        <v>4400</v>
      </c>
      <c r="B4463">
        <v>27</v>
      </c>
      <c r="C4463" t="s">
        <v>4803</v>
      </c>
      <c r="D4463" t="s">
        <v>13</v>
      </c>
      <c r="E4463">
        <v>35</v>
      </c>
      <c r="F4463">
        <v>20</v>
      </c>
      <c r="G4463" t="s">
        <v>4797</v>
      </c>
      <c r="H4463" t="s">
        <v>4804</v>
      </c>
      <c r="I4463">
        <v>13.99</v>
      </c>
      <c r="J4463">
        <v>3</v>
      </c>
      <c r="K4463">
        <v>1.17</v>
      </c>
      <c r="L4463">
        <v>0</v>
      </c>
      <c r="M4463" t="s">
        <v>4810</v>
      </c>
      <c r="N4463" t="s">
        <v>4900</v>
      </c>
      <c r="O4463" t="s">
        <v>4912</v>
      </c>
    </row>
    <row r="4464" spans="1:15" x14ac:dyDescent="0.35">
      <c r="A4464" t="s">
        <v>4401</v>
      </c>
      <c r="B4464">
        <v>62</v>
      </c>
      <c r="C4464" t="s">
        <v>4803</v>
      </c>
      <c r="D4464" t="s">
        <v>15</v>
      </c>
      <c r="E4464">
        <v>60</v>
      </c>
      <c r="F4464">
        <v>999</v>
      </c>
      <c r="G4464" t="s">
        <v>4798</v>
      </c>
      <c r="H4464" t="s">
        <v>4804</v>
      </c>
      <c r="I4464">
        <v>17.989999999999998</v>
      </c>
      <c r="J4464">
        <v>3</v>
      </c>
      <c r="K4464">
        <v>2</v>
      </c>
      <c r="L4464">
        <v>0</v>
      </c>
      <c r="M4464" t="s">
        <v>4809</v>
      </c>
      <c r="N4464" t="s">
        <v>4900</v>
      </c>
      <c r="O4464" t="s">
        <v>4911</v>
      </c>
    </row>
    <row r="4465" spans="1:15" x14ac:dyDescent="0.35">
      <c r="A4465" t="s">
        <v>4402</v>
      </c>
      <c r="B4465">
        <v>18</v>
      </c>
      <c r="C4465" t="s">
        <v>4803</v>
      </c>
      <c r="D4465" t="s">
        <v>13</v>
      </c>
      <c r="E4465">
        <v>63</v>
      </c>
      <c r="F4465">
        <v>9</v>
      </c>
      <c r="G4465" t="s">
        <v>4799</v>
      </c>
      <c r="H4465" t="s">
        <v>4805</v>
      </c>
      <c r="I4465">
        <v>13.99</v>
      </c>
      <c r="J4465">
        <v>1</v>
      </c>
      <c r="K4465">
        <v>2.0299999999999998</v>
      </c>
      <c r="L4465">
        <v>0</v>
      </c>
      <c r="M4465" t="s">
        <v>4808</v>
      </c>
      <c r="N4465" t="s">
        <v>4900</v>
      </c>
      <c r="O4465" t="s">
        <v>4912</v>
      </c>
    </row>
    <row r="4466" spans="1:15" x14ac:dyDescent="0.35">
      <c r="A4466" t="s">
        <v>4403</v>
      </c>
      <c r="B4466">
        <v>60</v>
      </c>
      <c r="C4466" t="s">
        <v>4803</v>
      </c>
      <c r="D4466" t="s">
        <v>13</v>
      </c>
      <c r="E4466">
        <v>72</v>
      </c>
      <c r="F4466">
        <v>35</v>
      </c>
      <c r="G4466" t="s">
        <v>4799</v>
      </c>
      <c r="H4466" t="s">
        <v>4806</v>
      </c>
      <c r="I4466">
        <v>13.99</v>
      </c>
      <c r="J4466">
        <v>2</v>
      </c>
      <c r="K4466">
        <v>2.4</v>
      </c>
      <c r="L4466">
        <v>0</v>
      </c>
      <c r="M4466" t="s">
        <v>4810</v>
      </c>
      <c r="N4466" t="s">
        <v>4900</v>
      </c>
      <c r="O4466" t="s">
        <v>4911</v>
      </c>
    </row>
    <row r="4467" spans="1:15" x14ac:dyDescent="0.35">
      <c r="A4467" t="s">
        <v>4404</v>
      </c>
      <c r="B4467">
        <v>62</v>
      </c>
      <c r="C4467" t="s">
        <v>4803</v>
      </c>
      <c r="D4467" t="s">
        <v>13</v>
      </c>
      <c r="E4467">
        <v>62</v>
      </c>
      <c r="F4467">
        <v>31</v>
      </c>
      <c r="G4467" t="s">
        <v>4798</v>
      </c>
      <c r="H4467" t="s">
        <v>4806</v>
      </c>
      <c r="I4467">
        <v>13.99</v>
      </c>
      <c r="J4467">
        <v>1</v>
      </c>
      <c r="K4467">
        <v>2.0699999999999998</v>
      </c>
      <c r="L4467">
        <v>0</v>
      </c>
      <c r="M4467" t="s">
        <v>4811</v>
      </c>
      <c r="N4467" t="s">
        <v>4900</v>
      </c>
      <c r="O4467" t="s">
        <v>4911</v>
      </c>
    </row>
    <row r="4468" spans="1:15" x14ac:dyDescent="0.35">
      <c r="A4468" t="s">
        <v>4405</v>
      </c>
      <c r="B4468">
        <v>39</v>
      </c>
      <c r="C4468" t="s">
        <v>4802</v>
      </c>
      <c r="D4468" t="s">
        <v>15</v>
      </c>
      <c r="E4468">
        <v>64</v>
      </c>
      <c r="F4468">
        <v>15</v>
      </c>
      <c r="G4468" t="s">
        <v>4798</v>
      </c>
      <c r="H4468" t="s">
        <v>4805</v>
      </c>
      <c r="I4468">
        <v>17.989999999999998</v>
      </c>
      <c r="J4468">
        <v>5</v>
      </c>
      <c r="K4468">
        <v>2.13</v>
      </c>
      <c r="L4468">
        <v>0</v>
      </c>
      <c r="M4468" t="s">
        <v>4810</v>
      </c>
      <c r="N4468" t="s">
        <v>4900</v>
      </c>
      <c r="O4468" t="s">
        <v>4910</v>
      </c>
    </row>
    <row r="4469" spans="1:15" x14ac:dyDescent="0.35">
      <c r="A4469" t="s">
        <v>4406</v>
      </c>
      <c r="B4469">
        <v>30</v>
      </c>
      <c r="C4469" t="s">
        <v>4802</v>
      </c>
      <c r="D4469" t="s">
        <v>13</v>
      </c>
      <c r="E4469">
        <v>47</v>
      </c>
      <c r="F4469">
        <v>27</v>
      </c>
      <c r="G4469" t="s">
        <v>4798</v>
      </c>
      <c r="H4469" t="s">
        <v>4804</v>
      </c>
      <c r="I4469">
        <v>13.99</v>
      </c>
      <c r="J4469">
        <v>1</v>
      </c>
      <c r="K4469">
        <v>1.57</v>
      </c>
      <c r="L4469">
        <v>0</v>
      </c>
      <c r="M4469" t="s">
        <v>4808</v>
      </c>
      <c r="N4469" t="s">
        <v>4900</v>
      </c>
      <c r="O4469" t="s">
        <v>4912</v>
      </c>
    </row>
    <row r="4470" spans="1:15" x14ac:dyDescent="0.35">
      <c r="A4470" t="s">
        <v>4407</v>
      </c>
      <c r="B4470">
        <v>50</v>
      </c>
      <c r="C4470" t="s">
        <v>4802</v>
      </c>
      <c r="D4470" t="s">
        <v>13</v>
      </c>
      <c r="E4470">
        <v>41</v>
      </c>
      <c r="F4470">
        <v>0</v>
      </c>
      <c r="G4470" t="s">
        <v>4799</v>
      </c>
      <c r="H4470" t="s">
        <v>4805</v>
      </c>
      <c r="I4470">
        <v>13.99</v>
      </c>
      <c r="J4470">
        <v>3</v>
      </c>
      <c r="K4470">
        <v>5</v>
      </c>
      <c r="L4470">
        <v>0</v>
      </c>
      <c r="M4470" t="s">
        <v>4808</v>
      </c>
      <c r="N4470" t="s">
        <v>4900</v>
      </c>
      <c r="O4470" t="s">
        <v>4910</v>
      </c>
    </row>
    <row r="4471" spans="1:15" x14ac:dyDescent="0.35">
      <c r="A4471" t="s">
        <v>4408</v>
      </c>
      <c r="B4471">
        <v>42</v>
      </c>
      <c r="C4471" t="s">
        <v>4803</v>
      </c>
      <c r="D4471" t="s">
        <v>13</v>
      </c>
      <c r="E4471">
        <v>73</v>
      </c>
      <c r="F4471">
        <v>17</v>
      </c>
      <c r="G4471" t="s">
        <v>4797</v>
      </c>
      <c r="H4471" t="s">
        <v>4804</v>
      </c>
      <c r="I4471">
        <v>13.99</v>
      </c>
      <c r="J4471">
        <v>3</v>
      </c>
      <c r="K4471">
        <v>2.4300000000000002</v>
      </c>
      <c r="L4471">
        <v>0</v>
      </c>
      <c r="M4471" t="s">
        <v>4808</v>
      </c>
      <c r="N4471" t="s">
        <v>4900</v>
      </c>
      <c r="O4471" t="s">
        <v>4910</v>
      </c>
    </row>
    <row r="4472" spans="1:15" x14ac:dyDescent="0.35">
      <c r="A4472" t="s">
        <v>4409</v>
      </c>
      <c r="B4472">
        <v>38</v>
      </c>
      <c r="C4472" t="s">
        <v>4803</v>
      </c>
      <c r="D4472" t="s">
        <v>15</v>
      </c>
      <c r="E4472">
        <v>89</v>
      </c>
      <c r="F4472">
        <v>29</v>
      </c>
      <c r="G4472" t="s">
        <v>4799</v>
      </c>
      <c r="H4472" t="s">
        <v>4806</v>
      </c>
      <c r="I4472">
        <v>17.989999999999998</v>
      </c>
      <c r="J4472">
        <v>2</v>
      </c>
      <c r="K4472">
        <v>2.97</v>
      </c>
      <c r="L4472">
        <v>0</v>
      </c>
      <c r="M4472" t="s">
        <v>4810</v>
      </c>
      <c r="N4472" t="s">
        <v>4900</v>
      </c>
      <c r="O4472" t="s">
        <v>4910</v>
      </c>
    </row>
    <row r="4473" spans="1:15" x14ac:dyDescent="0.35">
      <c r="A4473" t="s">
        <v>4410</v>
      </c>
      <c r="B4473">
        <v>49</v>
      </c>
      <c r="C4473" t="s">
        <v>4802</v>
      </c>
      <c r="D4473" t="s">
        <v>13</v>
      </c>
      <c r="E4473">
        <v>71</v>
      </c>
      <c r="F4473">
        <v>4</v>
      </c>
      <c r="G4473" t="s">
        <v>4798</v>
      </c>
      <c r="H4473" t="s">
        <v>4806</v>
      </c>
      <c r="I4473">
        <v>13.99</v>
      </c>
      <c r="J4473">
        <v>2</v>
      </c>
      <c r="K4473">
        <v>2.37</v>
      </c>
      <c r="L4473">
        <v>0</v>
      </c>
      <c r="M4473" t="s">
        <v>4811</v>
      </c>
      <c r="N4473" t="s">
        <v>4900</v>
      </c>
      <c r="O4473" t="s">
        <v>4910</v>
      </c>
    </row>
    <row r="4474" spans="1:15" x14ac:dyDescent="0.35">
      <c r="A4474" t="s">
        <v>4411</v>
      </c>
      <c r="B4474">
        <v>65</v>
      </c>
      <c r="C4474" t="s">
        <v>4803</v>
      </c>
      <c r="D4474" t="s">
        <v>13</v>
      </c>
      <c r="E4474">
        <v>76</v>
      </c>
      <c r="F4474">
        <v>2</v>
      </c>
      <c r="G4474" t="s">
        <v>4799</v>
      </c>
      <c r="H4474" t="s">
        <v>4805</v>
      </c>
      <c r="I4474">
        <v>13.99</v>
      </c>
      <c r="J4474">
        <v>3</v>
      </c>
      <c r="K4474">
        <v>2.5299999999999998</v>
      </c>
      <c r="L4474">
        <v>0</v>
      </c>
      <c r="M4474" t="s">
        <v>4809</v>
      </c>
      <c r="N4474" t="s">
        <v>4900</v>
      </c>
      <c r="O4474" t="s">
        <v>4911</v>
      </c>
    </row>
    <row r="4475" spans="1:15" x14ac:dyDescent="0.35">
      <c r="A4475" t="s">
        <v>4412</v>
      </c>
      <c r="B4475">
        <v>20</v>
      </c>
      <c r="C4475" t="s">
        <v>4803</v>
      </c>
      <c r="D4475" t="s">
        <v>13</v>
      </c>
      <c r="E4475">
        <v>68</v>
      </c>
      <c r="F4475">
        <v>27</v>
      </c>
      <c r="G4475" t="s">
        <v>4797</v>
      </c>
      <c r="H4475" t="s">
        <v>4805</v>
      </c>
      <c r="I4475">
        <v>13.99</v>
      </c>
      <c r="J4475">
        <v>1</v>
      </c>
      <c r="K4475">
        <v>2.27</v>
      </c>
      <c r="L4475">
        <v>0</v>
      </c>
      <c r="M4475" t="s">
        <v>4811</v>
      </c>
      <c r="N4475" t="s">
        <v>4900</v>
      </c>
      <c r="O4475" t="s">
        <v>4912</v>
      </c>
    </row>
    <row r="4476" spans="1:15" x14ac:dyDescent="0.35">
      <c r="A4476" t="s">
        <v>4413</v>
      </c>
      <c r="B4476">
        <v>49</v>
      </c>
      <c r="C4476" t="s">
        <v>4803</v>
      </c>
      <c r="D4476" t="s">
        <v>13</v>
      </c>
      <c r="E4476">
        <v>62</v>
      </c>
      <c r="F4476">
        <v>55</v>
      </c>
      <c r="G4476" t="s">
        <v>4799</v>
      </c>
      <c r="H4476" t="s">
        <v>4806</v>
      </c>
      <c r="I4476">
        <v>13.99</v>
      </c>
      <c r="J4476">
        <v>2</v>
      </c>
      <c r="K4476">
        <v>2.0699999999999998</v>
      </c>
      <c r="L4476">
        <v>0</v>
      </c>
      <c r="M4476" t="s">
        <v>4808</v>
      </c>
      <c r="N4476" t="s">
        <v>4900</v>
      </c>
      <c r="O4476" t="s">
        <v>4910</v>
      </c>
    </row>
    <row r="4477" spans="1:15" x14ac:dyDescent="0.35">
      <c r="A4477" t="s">
        <v>4414</v>
      </c>
      <c r="B4477">
        <v>40</v>
      </c>
      <c r="C4477" t="s">
        <v>4802</v>
      </c>
      <c r="D4477" t="s">
        <v>15</v>
      </c>
      <c r="E4477">
        <v>97</v>
      </c>
      <c r="F4477">
        <v>16</v>
      </c>
      <c r="G4477" t="s">
        <v>4799</v>
      </c>
      <c r="H4477" t="s">
        <v>4804</v>
      </c>
      <c r="I4477">
        <v>17.989999999999998</v>
      </c>
      <c r="J4477">
        <v>2</v>
      </c>
      <c r="K4477">
        <v>3.23</v>
      </c>
      <c r="L4477">
        <v>1</v>
      </c>
      <c r="M4477" t="s">
        <v>4809</v>
      </c>
      <c r="N4477" t="s">
        <v>4899</v>
      </c>
      <c r="O4477" t="s">
        <v>4910</v>
      </c>
    </row>
    <row r="4478" spans="1:15" x14ac:dyDescent="0.35">
      <c r="A4478" t="s">
        <v>4415</v>
      </c>
      <c r="B4478">
        <v>28</v>
      </c>
      <c r="C4478" t="s">
        <v>4803</v>
      </c>
      <c r="D4478" t="s">
        <v>15</v>
      </c>
      <c r="E4478">
        <v>117</v>
      </c>
      <c r="F4478">
        <v>51</v>
      </c>
      <c r="G4478" t="s">
        <v>4799</v>
      </c>
      <c r="H4478" t="s">
        <v>4806</v>
      </c>
      <c r="I4478">
        <v>17.989999999999998</v>
      </c>
      <c r="J4478">
        <v>4</v>
      </c>
      <c r="K4478">
        <v>3.9</v>
      </c>
      <c r="L4478">
        <v>0</v>
      </c>
      <c r="M4478" t="s">
        <v>4810</v>
      </c>
      <c r="N4478" t="s">
        <v>4900</v>
      </c>
      <c r="O4478" t="s">
        <v>4912</v>
      </c>
    </row>
    <row r="4479" spans="1:15" x14ac:dyDescent="0.35">
      <c r="A4479" t="s">
        <v>4416</v>
      </c>
      <c r="B4479">
        <v>57</v>
      </c>
      <c r="C4479" t="s">
        <v>4802</v>
      </c>
      <c r="D4479" t="s">
        <v>13</v>
      </c>
      <c r="E4479">
        <v>60</v>
      </c>
      <c r="F4479">
        <v>35</v>
      </c>
      <c r="G4479" t="s">
        <v>4799</v>
      </c>
      <c r="H4479" t="s">
        <v>4806</v>
      </c>
      <c r="I4479">
        <v>13.99</v>
      </c>
      <c r="J4479">
        <v>2</v>
      </c>
      <c r="K4479">
        <v>2</v>
      </c>
      <c r="L4479">
        <v>0</v>
      </c>
      <c r="M4479" t="s">
        <v>4810</v>
      </c>
      <c r="N4479" t="s">
        <v>4900</v>
      </c>
      <c r="O4479" t="s">
        <v>4911</v>
      </c>
    </row>
    <row r="4480" spans="1:15" x14ac:dyDescent="0.35">
      <c r="A4480" t="s">
        <v>4417</v>
      </c>
      <c r="B4480">
        <v>30</v>
      </c>
      <c r="C4480" t="s">
        <v>4802</v>
      </c>
      <c r="D4480" t="s">
        <v>13</v>
      </c>
      <c r="E4480">
        <v>35</v>
      </c>
      <c r="F4480">
        <v>56</v>
      </c>
      <c r="G4480" t="s">
        <v>4797</v>
      </c>
      <c r="H4480" t="s">
        <v>4804</v>
      </c>
      <c r="I4480">
        <v>13.99</v>
      </c>
      <c r="J4480">
        <v>3</v>
      </c>
      <c r="K4480">
        <v>1.17</v>
      </c>
      <c r="L4480">
        <v>0</v>
      </c>
      <c r="M4480" t="s">
        <v>4812</v>
      </c>
      <c r="N4480" t="s">
        <v>4900</v>
      </c>
      <c r="O4480" t="s">
        <v>4912</v>
      </c>
    </row>
    <row r="4481" spans="1:15" x14ac:dyDescent="0.35">
      <c r="A4481" t="s">
        <v>4418</v>
      </c>
      <c r="B4481">
        <v>33</v>
      </c>
      <c r="C4481" t="s">
        <v>4802</v>
      </c>
      <c r="D4481" t="s">
        <v>13</v>
      </c>
      <c r="E4481">
        <v>35</v>
      </c>
      <c r="F4481">
        <v>59</v>
      </c>
      <c r="G4481" t="s">
        <v>4798</v>
      </c>
      <c r="H4481" t="s">
        <v>4804</v>
      </c>
      <c r="I4481">
        <v>13.99</v>
      </c>
      <c r="J4481">
        <v>3</v>
      </c>
      <c r="K4481">
        <v>1.17</v>
      </c>
      <c r="L4481">
        <v>0</v>
      </c>
      <c r="M4481" t="s">
        <v>4810</v>
      </c>
      <c r="N4481" t="s">
        <v>4900</v>
      </c>
      <c r="O4481" t="s">
        <v>4912</v>
      </c>
    </row>
    <row r="4482" spans="1:15" x14ac:dyDescent="0.35">
      <c r="A4482" t="s">
        <v>4419</v>
      </c>
      <c r="B4482">
        <v>64</v>
      </c>
      <c r="C4482" t="s">
        <v>4803</v>
      </c>
      <c r="D4482" t="s">
        <v>13</v>
      </c>
      <c r="E4482">
        <v>42</v>
      </c>
      <c r="F4482">
        <v>21</v>
      </c>
      <c r="G4482" t="s">
        <v>4798</v>
      </c>
      <c r="H4482" t="s">
        <v>4805</v>
      </c>
      <c r="I4482">
        <v>13.99</v>
      </c>
      <c r="J4482">
        <v>4</v>
      </c>
      <c r="K4482">
        <v>1.4</v>
      </c>
      <c r="L4482">
        <v>0</v>
      </c>
      <c r="M4482" t="s">
        <v>4811</v>
      </c>
      <c r="N4482" t="s">
        <v>4900</v>
      </c>
      <c r="O4482" t="s">
        <v>4911</v>
      </c>
    </row>
    <row r="4483" spans="1:15" x14ac:dyDescent="0.35">
      <c r="A4483" t="s">
        <v>4420</v>
      </c>
      <c r="B4483">
        <v>64</v>
      </c>
      <c r="C4483" t="s">
        <v>4803</v>
      </c>
      <c r="D4483" t="s">
        <v>15</v>
      </c>
      <c r="E4483">
        <v>61</v>
      </c>
      <c r="F4483">
        <v>25</v>
      </c>
      <c r="G4483" t="s">
        <v>4800</v>
      </c>
      <c r="H4483" t="s">
        <v>4804</v>
      </c>
      <c r="I4483">
        <v>17.989999999999998</v>
      </c>
      <c r="J4483">
        <v>2</v>
      </c>
      <c r="K4483">
        <v>2.0299999999999998</v>
      </c>
      <c r="L4483">
        <v>1</v>
      </c>
      <c r="M4483" t="s">
        <v>4811</v>
      </c>
      <c r="N4483" t="s">
        <v>4899</v>
      </c>
      <c r="O4483" t="s">
        <v>4911</v>
      </c>
    </row>
    <row r="4484" spans="1:15" x14ac:dyDescent="0.35">
      <c r="A4484" t="s">
        <v>4421</v>
      </c>
      <c r="B4484">
        <v>58</v>
      </c>
      <c r="C4484" t="s">
        <v>4803</v>
      </c>
      <c r="D4484" t="s">
        <v>13</v>
      </c>
      <c r="E4484">
        <v>68</v>
      </c>
      <c r="F4484">
        <v>20</v>
      </c>
      <c r="G4484" t="s">
        <v>4799</v>
      </c>
      <c r="H4484" t="s">
        <v>4805</v>
      </c>
      <c r="I4484">
        <v>13.99</v>
      </c>
      <c r="J4484">
        <v>3</v>
      </c>
      <c r="K4484">
        <v>2.27</v>
      </c>
      <c r="L4484">
        <v>0</v>
      </c>
      <c r="M4484" t="s">
        <v>4809</v>
      </c>
      <c r="N4484" t="s">
        <v>4900</v>
      </c>
      <c r="O4484" t="s">
        <v>4911</v>
      </c>
    </row>
    <row r="4485" spans="1:15" x14ac:dyDescent="0.35">
      <c r="A4485" t="s">
        <v>4422</v>
      </c>
      <c r="B4485">
        <v>29</v>
      </c>
      <c r="C4485" t="s">
        <v>4802</v>
      </c>
      <c r="D4485" t="s">
        <v>15</v>
      </c>
      <c r="E4485">
        <v>91</v>
      </c>
      <c r="F4485">
        <v>44</v>
      </c>
      <c r="G4485" t="s">
        <v>4797</v>
      </c>
      <c r="H4485" t="s">
        <v>4804</v>
      </c>
      <c r="I4485">
        <v>17.989999999999998</v>
      </c>
      <c r="J4485">
        <v>2</v>
      </c>
      <c r="K4485">
        <v>3.03</v>
      </c>
      <c r="L4485">
        <v>0</v>
      </c>
      <c r="M4485" t="s">
        <v>4808</v>
      </c>
      <c r="N4485" t="s">
        <v>4900</v>
      </c>
      <c r="O4485" t="s">
        <v>4912</v>
      </c>
    </row>
    <row r="4486" spans="1:15" x14ac:dyDescent="0.35">
      <c r="A4486" t="s">
        <v>4423</v>
      </c>
      <c r="B4486">
        <v>62</v>
      </c>
      <c r="C4486" t="s">
        <v>4802</v>
      </c>
      <c r="D4486" t="s">
        <v>13</v>
      </c>
      <c r="E4486">
        <v>37</v>
      </c>
      <c r="F4486">
        <v>60</v>
      </c>
      <c r="G4486" t="s">
        <v>4797</v>
      </c>
      <c r="H4486" t="s">
        <v>4805</v>
      </c>
      <c r="I4486">
        <v>13.99</v>
      </c>
      <c r="J4486">
        <v>2</v>
      </c>
      <c r="K4486">
        <v>1.23</v>
      </c>
      <c r="L4486">
        <v>0</v>
      </c>
      <c r="M4486" t="s">
        <v>4809</v>
      </c>
      <c r="N4486" t="s">
        <v>4900</v>
      </c>
      <c r="O4486" t="s">
        <v>4911</v>
      </c>
    </row>
    <row r="4487" spans="1:15" x14ac:dyDescent="0.35">
      <c r="A4487" t="s">
        <v>4424</v>
      </c>
      <c r="B4487">
        <v>26</v>
      </c>
      <c r="C4487" t="s">
        <v>4802</v>
      </c>
      <c r="D4487" t="s">
        <v>15</v>
      </c>
      <c r="E4487">
        <v>94</v>
      </c>
      <c r="F4487">
        <v>13</v>
      </c>
      <c r="G4487" t="s">
        <v>4798</v>
      </c>
      <c r="H4487" t="s">
        <v>4806</v>
      </c>
      <c r="I4487">
        <v>17.989999999999998</v>
      </c>
      <c r="J4487">
        <v>4</v>
      </c>
      <c r="K4487">
        <v>3.13</v>
      </c>
      <c r="L4487">
        <v>0</v>
      </c>
      <c r="M4487" t="s">
        <v>4809</v>
      </c>
      <c r="N4487" t="s">
        <v>4900</v>
      </c>
      <c r="O4487" t="s">
        <v>4912</v>
      </c>
    </row>
    <row r="4488" spans="1:15" x14ac:dyDescent="0.35">
      <c r="A4488" t="s">
        <v>4425</v>
      </c>
      <c r="B4488">
        <v>52</v>
      </c>
      <c r="C4488" t="s">
        <v>4803</v>
      </c>
      <c r="D4488" t="s">
        <v>13</v>
      </c>
      <c r="E4488">
        <v>73</v>
      </c>
      <c r="F4488">
        <v>2</v>
      </c>
      <c r="G4488" t="s">
        <v>4799</v>
      </c>
      <c r="H4488" t="s">
        <v>4804</v>
      </c>
      <c r="I4488">
        <v>13.99</v>
      </c>
      <c r="J4488">
        <v>1</v>
      </c>
      <c r="K4488">
        <v>2.4300000000000002</v>
      </c>
      <c r="L4488">
        <v>0</v>
      </c>
      <c r="M4488" t="s">
        <v>4808</v>
      </c>
      <c r="N4488" t="s">
        <v>4900</v>
      </c>
      <c r="O4488" t="s">
        <v>4910</v>
      </c>
    </row>
    <row r="4489" spans="1:15" x14ac:dyDescent="0.35">
      <c r="A4489" t="s">
        <v>4426</v>
      </c>
      <c r="B4489">
        <v>36</v>
      </c>
      <c r="C4489" t="s">
        <v>4802</v>
      </c>
      <c r="D4489" t="s">
        <v>15</v>
      </c>
      <c r="E4489">
        <v>106</v>
      </c>
      <c r="F4489">
        <v>44</v>
      </c>
      <c r="G4489" t="s">
        <v>4799</v>
      </c>
      <c r="H4489" t="s">
        <v>4804</v>
      </c>
      <c r="I4489">
        <v>17.989999999999998</v>
      </c>
      <c r="J4489">
        <v>5</v>
      </c>
      <c r="K4489">
        <v>3.53</v>
      </c>
      <c r="L4489">
        <v>0</v>
      </c>
      <c r="M4489" t="s">
        <v>4812</v>
      </c>
      <c r="N4489" t="s">
        <v>4900</v>
      </c>
      <c r="O4489" t="s">
        <v>4910</v>
      </c>
    </row>
    <row r="4490" spans="1:15" x14ac:dyDescent="0.35">
      <c r="A4490" t="s">
        <v>4427</v>
      </c>
      <c r="B4490">
        <v>36</v>
      </c>
      <c r="C4490" t="s">
        <v>4802</v>
      </c>
      <c r="D4490" t="s">
        <v>13</v>
      </c>
      <c r="E4490">
        <v>70</v>
      </c>
      <c r="F4490">
        <v>27</v>
      </c>
      <c r="G4490" t="s">
        <v>4798</v>
      </c>
      <c r="H4490" t="s">
        <v>4805</v>
      </c>
      <c r="I4490">
        <v>13.99</v>
      </c>
      <c r="J4490">
        <v>2</v>
      </c>
      <c r="K4490">
        <v>2.33</v>
      </c>
      <c r="L4490">
        <v>0</v>
      </c>
      <c r="M4490" t="s">
        <v>4812</v>
      </c>
      <c r="N4490" t="s">
        <v>4900</v>
      </c>
      <c r="O4490" t="s">
        <v>4910</v>
      </c>
    </row>
    <row r="4491" spans="1:15" x14ac:dyDescent="0.35">
      <c r="A4491" t="s">
        <v>4428</v>
      </c>
      <c r="B4491">
        <v>32</v>
      </c>
      <c r="C4491" t="s">
        <v>4802</v>
      </c>
      <c r="D4491" t="s">
        <v>13</v>
      </c>
      <c r="E4491">
        <v>36</v>
      </c>
      <c r="F4491">
        <v>58</v>
      </c>
      <c r="G4491" t="s">
        <v>4797</v>
      </c>
      <c r="H4491" t="s">
        <v>4804</v>
      </c>
      <c r="I4491">
        <v>13.99</v>
      </c>
      <c r="J4491">
        <v>2</v>
      </c>
      <c r="K4491">
        <v>1.2</v>
      </c>
      <c r="L4491">
        <v>0</v>
      </c>
      <c r="M4491" t="s">
        <v>4808</v>
      </c>
      <c r="N4491" t="s">
        <v>4900</v>
      </c>
      <c r="O4491" t="s">
        <v>4912</v>
      </c>
    </row>
    <row r="4492" spans="1:15" x14ac:dyDescent="0.35">
      <c r="A4492" t="s">
        <v>4429</v>
      </c>
      <c r="B4492">
        <v>22</v>
      </c>
      <c r="C4492" t="s">
        <v>4803</v>
      </c>
      <c r="D4492" t="s">
        <v>13</v>
      </c>
      <c r="E4492">
        <v>32</v>
      </c>
      <c r="F4492">
        <v>21</v>
      </c>
      <c r="G4492" t="s">
        <v>4798</v>
      </c>
      <c r="H4492" t="s">
        <v>4804</v>
      </c>
      <c r="I4492">
        <v>13.99</v>
      </c>
      <c r="J4492">
        <v>1</v>
      </c>
      <c r="K4492">
        <v>1.07</v>
      </c>
      <c r="L4492">
        <v>1</v>
      </c>
      <c r="M4492" t="s">
        <v>4812</v>
      </c>
      <c r="N4492" t="s">
        <v>4899</v>
      </c>
      <c r="O4492" t="s">
        <v>4912</v>
      </c>
    </row>
    <row r="4493" spans="1:15" x14ac:dyDescent="0.35">
      <c r="A4493" t="s">
        <v>4430</v>
      </c>
      <c r="B4493">
        <v>35</v>
      </c>
      <c r="C4493" t="s">
        <v>4803</v>
      </c>
      <c r="D4493" t="s">
        <v>13</v>
      </c>
      <c r="E4493">
        <v>31</v>
      </c>
      <c r="F4493">
        <v>38</v>
      </c>
      <c r="G4493" t="s">
        <v>4798</v>
      </c>
      <c r="H4493" t="s">
        <v>4804</v>
      </c>
      <c r="I4493">
        <v>13.99</v>
      </c>
      <c r="J4493">
        <v>2</v>
      </c>
      <c r="K4493">
        <v>1.03</v>
      </c>
      <c r="L4493">
        <v>1</v>
      </c>
      <c r="M4493" t="s">
        <v>4808</v>
      </c>
      <c r="N4493" t="s">
        <v>4899</v>
      </c>
      <c r="O4493" t="s">
        <v>4910</v>
      </c>
    </row>
    <row r="4494" spans="1:15" x14ac:dyDescent="0.35">
      <c r="A4494" t="s">
        <v>4851</v>
      </c>
      <c r="B4494">
        <v>58</v>
      </c>
      <c r="C4494" t="s">
        <v>4803</v>
      </c>
      <c r="D4494" t="s">
        <v>13</v>
      </c>
      <c r="E4494">
        <v>30</v>
      </c>
      <c r="F4494">
        <v>55</v>
      </c>
      <c r="G4494" t="s">
        <v>4797</v>
      </c>
      <c r="H4494" t="s">
        <v>4806</v>
      </c>
      <c r="I4494">
        <v>13.99</v>
      </c>
      <c r="J4494">
        <v>4</v>
      </c>
      <c r="K4494">
        <v>5</v>
      </c>
      <c r="L4494">
        <v>1</v>
      </c>
      <c r="M4494" t="s">
        <v>4808</v>
      </c>
      <c r="N4494" t="s">
        <v>4899</v>
      </c>
      <c r="O4494" t="s">
        <v>4911</v>
      </c>
    </row>
    <row r="4495" spans="1:15" x14ac:dyDescent="0.35">
      <c r="A4495" t="s">
        <v>4431</v>
      </c>
      <c r="B4495">
        <v>53</v>
      </c>
      <c r="C4495" t="s">
        <v>4802</v>
      </c>
      <c r="D4495" t="s">
        <v>13</v>
      </c>
      <c r="E4495">
        <v>58</v>
      </c>
      <c r="F4495">
        <v>48</v>
      </c>
      <c r="G4495" t="s">
        <v>4797</v>
      </c>
      <c r="H4495" t="s">
        <v>4804</v>
      </c>
      <c r="I4495">
        <v>13.99</v>
      </c>
      <c r="J4495">
        <v>1</v>
      </c>
      <c r="K4495">
        <v>1.93</v>
      </c>
      <c r="L4495">
        <v>0</v>
      </c>
      <c r="M4495" t="s">
        <v>4808</v>
      </c>
      <c r="N4495" t="s">
        <v>4900</v>
      </c>
      <c r="O4495" t="s">
        <v>4910</v>
      </c>
    </row>
    <row r="4496" spans="1:15" x14ac:dyDescent="0.35">
      <c r="A4496" t="s">
        <v>4432</v>
      </c>
      <c r="B4496">
        <v>28</v>
      </c>
      <c r="C4496" t="s">
        <v>4803</v>
      </c>
      <c r="D4496" t="s">
        <v>13</v>
      </c>
      <c r="E4496">
        <v>40</v>
      </c>
      <c r="F4496">
        <v>21</v>
      </c>
      <c r="G4496" t="s">
        <v>4798</v>
      </c>
      <c r="H4496" t="s">
        <v>4804</v>
      </c>
      <c r="I4496">
        <v>13.99</v>
      </c>
      <c r="J4496">
        <v>2</v>
      </c>
      <c r="K4496">
        <v>1.33</v>
      </c>
      <c r="L4496">
        <v>0</v>
      </c>
      <c r="M4496" t="s">
        <v>4812</v>
      </c>
      <c r="N4496" t="s">
        <v>4900</v>
      </c>
      <c r="O4496" t="s">
        <v>4912</v>
      </c>
    </row>
    <row r="4497" spans="1:15" x14ac:dyDescent="0.35">
      <c r="A4497" t="s">
        <v>4433</v>
      </c>
      <c r="B4497">
        <v>53</v>
      </c>
      <c r="C4497" t="s">
        <v>4802</v>
      </c>
      <c r="D4497" t="s">
        <v>13</v>
      </c>
      <c r="E4497">
        <v>41</v>
      </c>
      <c r="F4497">
        <v>52</v>
      </c>
      <c r="G4497" t="s">
        <v>4798</v>
      </c>
      <c r="H4497" t="s">
        <v>4805</v>
      </c>
      <c r="I4497">
        <v>13.99</v>
      </c>
      <c r="J4497">
        <v>1</v>
      </c>
      <c r="K4497">
        <v>2.0299999999999998</v>
      </c>
      <c r="L4497">
        <v>0</v>
      </c>
      <c r="M4497" t="s">
        <v>4810</v>
      </c>
      <c r="N4497" t="s">
        <v>4900</v>
      </c>
      <c r="O4497" t="s">
        <v>4910</v>
      </c>
    </row>
    <row r="4498" spans="1:15" x14ac:dyDescent="0.35">
      <c r="A4498" t="s">
        <v>4434</v>
      </c>
      <c r="B4498">
        <v>54</v>
      </c>
      <c r="C4498" t="s">
        <v>4802</v>
      </c>
      <c r="D4498" t="s">
        <v>13</v>
      </c>
      <c r="E4498">
        <v>74</v>
      </c>
      <c r="F4498">
        <v>48</v>
      </c>
      <c r="G4498" t="s">
        <v>4797</v>
      </c>
      <c r="H4498" t="s">
        <v>4805</v>
      </c>
      <c r="I4498">
        <v>13.99</v>
      </c>
      <c r="J4498">
        <v>4</v>
      </c>
      <c r="K4498">
        <v>2.4700000000000002</v>
      </c>
      <c r="L4498">
        <v>1</v>
      </c>
      <c r="M4498" t="s">
        <v>4812</v>
      </c>
      <c r="N4498" t="s">
        <v>4899</v>
      </c>
      <c r="O4498" t="s">
        <v>4910</v>
      </c>
    </row>
    <row r="4499" spans="1:15" x14ac:dyDescent="0.35">
      <c r="A4499" t="s">
        <v>4435</v>
      </c>
      <c r="B4499">
        <v>65</v>
      </c>
      <c r="C4499" t="s">
        <v>4803</v>
      </c>
      <c r="D4499" t="s">
        <v>13</v>
      </c>
      <c r="E4499">
        <v>58</v>
      </c>
      <c r="F4499">
        <v>6</v>
      </c>
      <c r="G4499" t="s">
        <v>4799</v>
      </c>
      <c r="H4499" t="s">
        <v>4805</v>
      </c>
      <c r="I4499">
        <v>13.99</v>
      </c>
      <c r="J4499">
        <v>3</v>
      </c>
      <c r="K4499">
        <v>1.93</v>
      </c>
      <c r="L4499">
        <v>0</v>
      </c>
      <c r="M4499" t="s">
        <v>4811</v>
      </c>
      <c r="N4499" t="s">
        <v>4900</v>
      </c>
      <c r="O4499" t="s">
        <v>4911</v>
      </c>
    </row>
    <row r="4500" spans="1:15" x14ac:dyDescent="0.35">
      <c r="A4500" t="s">
        <v>4436</v>
      </c>
      <c r="B4500">
        <v>24</v>
      </c>
      <c r="C4500" t="s">
        <v>4802</v>
      </c>
      <c r="D4500" t="s">
        <v>13</v>
      </c>
      <c r="E4500">
        <v>64</v>
      </c>
      <c r="F4500">
        <v>9</v>
      </c>
      <c r="G4500" t="s">
        <v>4798</v>
      </c>
      <c r="H4500" t="s">
        <v>4805</v>
      </c>
      <c r="I4500">
        <v>13.99</v>
      </c>
      <c r="J4500">
        <v>1</v>
      </c>
      <c r="K4500">
        <v>2.13</v>
      </c>
      <c r="L4500">
        <v>0</v>
      </c>
      <c r="M4500" t="s">
        <v>4812</v>
      </c>
      <c r="N4500" t="s">
        <v>4900</v>
      </c>
      <c r="O4500" t="s">
        <v>4912</v>
      </c>
    </row>
    <row r="4501" spans="1:15" x14ac:dyDescent="0.35">
      <c r="A4501" t="s">
        <v>4437</v>
      </c>
      <c r="B4501">
        <v>52</v>
      </c>
      <c r="C4501" t="s">
        <v>4803</v>
      </c>
      <c r="D4501" t="s">
        <v>13</v>
      </c>
      <c r="E4501">
        <v>43</v>
      </c>
      <c r="F4501">
        <v>60</v>
      </c>
      <c r="G4501" t="s">
        <v>4799</v>
      </c>
      <c r="H4501" t="s">
        <v>4805</v>
      </c>
      <c r="I4501">
        <v>13.99</v>
      </c>
      <c r="J4501">
        <v>1</v>
      </c>
      <c r="K4501">
        <v>1.43</v>
      </c>
      <c r="L4501">
        <v>0</v>
      </c>
      <c r="M4501" t="s">
        <v>4808</v>
      </c>
      <c r="N4501" t="s">
        <v>4900</v>
      </c>
      <c r="O4501" t="s">
        <v>4910</v>
      </c>
    </row>
    <row r="4502" spans="1:15" x14ac:dyDescent="0.35">
      <c r="A4502" t="s">
        <v>4438</v>
      </c>
      <c r="B4502">
        <v>56</v>
      </c>
      <c r="C4502" t="s">
        <v>4802</v>
      </c>
      <c r="D4502" t="s">
        <v>15</v>
      </c>
      <c r="E4502">
        <v>58</v>
      </c>
      <c r="F4502">
        <v>12</v>
      </c>
      <c r="G4502" t="s">
        <v>4798</v>
      </c>
      <c r="H4502" t="s">
        <v>4804</v>
      </c>
      <c r="I4502">
        <v>17.989999999999998</v>
      </c>
      <c r="J4502">
        <v>2</v>
      </c>
      <c r="K4502">
        <v>1.93</v>
      </c>
      <c r="L4502">
        <v>0</v>
      </c>
      <c r="M4502" t="s">
        <v>4812</v>
      </c>
      <c r="N4502" t="s">
        <v>4900</v>
      </c>
      <c r="O4502" t="s">
        <v>4911</v>
      </c>
    </row>
    <row r="4503" spans="1:15" x14ac:dyDescent="0.35">
      <c r="A4503" t="s">
        <v>4439</v>
      </c>
      <c r="B4503">
        <v>24</v>
      </c>
      <c r="C4503" t="s">
        <v>4802</v>
      </c>
      <c r="D4503" t="s">
        <v>13</v>
      </c>
      <c r="E4503">
        <v>54</v>
      </c>
      <c r="F4503">
        <v>19</v>
      </c>
      <c r="G4503" t="s">
        <v>4798</v>
      </c>
      <c r="H4503" t="s">
        <v>4804</v>
      </c>
      <c r="I4503">
        <v>13.99</v>
      </c>
      <c r="J4503">
        <v>1</v>
      </c>
      <c r="K4503">
        <v>1.8</v>
      </c>
      <c r="L4503">
        <v>0</v>
      </c>
      <c r="M4503" t="s">
        <v>4812</v>
      </c>
      <c r="N4503" t="s">
        <v>4900</v>
      </c>
      <c r="O4503" t="s">
        <v>4912</v>
      </c>
    </row>
    <row r="4504" spans="1:15" x14ac:dyDescent="0.35">
      <c r="A4504" t="s">
        <v>4440</v>
      </c>
      <c r="B4504">
        <v>38</v>
      </c>
      <c r="C4504" t="s">
        <v>4802</v>
      </c>
      <c r="D4504" t="s">
        <v>15</v>
      </c>
      <c r="E4504">
        <v>115</v>
      </c>
      <c r="F4504">
        <v>48</v>
      </c>
      <c r="G4504" t="s">
        <v>4799</v>
      </c>
      <c r="H4504" t="s">
        <v>4806</v>
      </c>
      <c r="I4504">
        <v>17.989999999999998</v>
      </c>
      <c r="J4504">
        <v>5</v>
      </c>
      <c r="K4504">
        <v>3.83</v>
      </c>
      <c r="L4504">
        <v>1</v>
      </c>
      <c r="M4504" t="s">
        <v>4810</v>
      </c>
      <c r="N4504" t="s">
        <v>4899</v>
      </c>
      <c r="O4504" t="s">
        <v>4910</v>
      </c>
    </row>
    <row r="4505" spans="1:15" x14ac:dyDescent="0.35">
      <c r="A4505" t="s">
        <v>4441</v>
      </c>
      <c r="B4505">
        <v>26</v>
      </c>
      <c r="C4505" t="s">
        <v>4803</v>
      </c>
      <c r="D4505" t="s">
        <v>13</v>
      </c>
      <c r="E4505">
        <v>57</v>
      </c>
      <c r="F4505">
        <v>56</v>
      </c>
      <c r="G4505" t="s">
        <v>4798</v>
      </c>
      <c r="H4505" t="s">
        <v>4804</v>
      </c>
      <c r="I4505">
        <v>13.99</v>
      </c>
      <c r="J4505">
        <v>2</v>
      </c>
      <c r="K4505">
        <v>1.9</v>
      </c>
      <c r="L4505">
        <v>0</v>
      </c>
      <c r="M4505" t="s">
        <v>4811</v>
      </c>
      <c r="N4505" t="s">
        <v>4900</v>
      </c>
      <c r="O4505" t="s">
        <v>4912</v>
      </c>
    </row>
    <row r="4506" spans="1:15" x14ac:dyDescent="0.35">
      <c r="A4506" t="s">
        <v>4442</v>
      </c>
      <c r="B4506">
        <v>51</v>
      </c>
      <c r="C4506" t="s">
        <v>4803</v>
      </c>
      <c r="D4506" t="s">
        <v>15</v>
      </c>
      <c r="E4506">
        <v>52</v>
      </c>
      <c r="F4506">
        <v>9</v>
      </c>
      <c r="G4506" t="s">
        <v>4799</v>
      </c>
      <c r="H4506" t="s">
        <v>4804</v>
      </c>
      <c r="I4506">
        <v>17.989999999999998</v>
      </c>
      <c r="J4506">
        <v>4</v>
      </c>
      <c r="K4506">
        <v>1.73</v>
      </c>
      <c r="L4506">
        <v>0</v>
      </c>
      <c r="M4506" t="s">
        <v>4809</v>
      </c>
      <c r="N4506" t="s">
        <v>4900</v>
      </c>
      <c r="O4506" t="s">
        <v>4910</v>
      </c>
    </row>
    <row r="4507" spans="1:15" x14ac:dyDescent="0.35">
      <c r="A4507" t="s">
        <v>4443</v>
      </c>
      <c r="B4507">
        <v>21</v>
      </c>
      <c r="C4507" t="s">
        <v>4802</v>
      </c>
      <c r="D4507" t="s">
        <v>13</v>
      </c>
      <c r="E4507">
        <v>67</v>
      </c>
      <c r="F4507">
        <v>25</v>
      </c>
      <c r="G4507" t="s">
        <v>4798</v>
      </c>
      <c r="H4507" t="s">
        <v>4806</v>
      </c>
      <c r="I4507">
        <v>13.99</v>
      </c>
      <c r="J4507">
        <v>2</v>
      </c>
      <c r="K4507">
        <v>2.23</v>
      </c>
      <c r="L4507">
        <v>0</v>
      </c>
      <c r="M4507" t="s">
        <v>4810</v>
      </c>
      <c r="N4507" t="s">
        <v>4900</v>
      </c>
      <c r="O4507" t="s">
        <v>4912</v>
      </c>
    </row>
    <row r="4508" spans="1:15" x14ac:dyDescent="0.35">
      <c r="A4508" t="s">
        <v>4444</v>
      </c>
      <c r="B4508">
        <v>65</v>
      </c>
      <c r="C4508" t="s">
        <v>4802</v>
      </c>
      <c r="D4508" t="s">
        <v>13</v>
      </c>
      <c r="E4508">
        <v>39</v>
      </c>
      <c r="F4508">
        <v>50</v>
      </c>
      <c r="G4508" t="s">
        <v>4799</v>
      </c>
      <c r="H4508" t="s">
        <v>4804</v>
      </c>
      <c r="I4508">
        <v>13.99</v>
      </c>
      <c r="J4508">
        <v>4</v>
      </c>
      <c r="K4508">
        <v>1.3</v>
      </c>
      <c r="L4508">
        <v>0</v>
      </c>
      <c r="M4508" t="s">
        <v>4809</v>
      </c>
      <c r="N4508" t="s">
        <v>4900</v>
      </c>
      <c r="O4508" t="s">
        <v>4911</v>
      </c>
    </row>
    <row r="4509" spans="1:15" x14ac:dyDescent="0.35">
      <c r="A4509" t="s">
        <v>4445</v>
      </c>
      <c r="B4509">
        <v>32</v>
      </c>
      <c r="C4509" t="s">
        <v>4803</v>
      </c>
      <c r="D4509" t="s">
        <v>15</v>
      </c>
      <c r="E4509">
        <v>80</v>
      </c>
      <c r="F4509">
        <v>2</v>
      </c>
      <c r="G4509" t="s">
        <v>4797</v>
      </c>
      <c r="H4509" t="s">
        <v>4806</v>
      </c>
      <c r="I4509">
        <v>17.989999999999998</v>
      </c>
      <c r="J4509">
        <v>2</v>
      </c>
      <c r="K4509">
        <v>2.0299999999999998</v>
      </c>
      <c r="L4509">
        <v>0</v>
      </c>
      <c r="M4509" t="s">
        <v>4812</v>
      </c>
      <c r="N4509" t="s">
        <v>4900</v>
      </c>
      <c r="O4509" t="s">
        <v>4912</v>
      </c>
    </row>
    <row r="4510" spans="1:15" x14ac:dyDescent="0.35">
      <c r="A4510" t="s">
        <v>4446</v>
      </c>
      <c r="B4510">
        <v>20</v>
      </c>
      <c r="C4510" t="s">
        <v>4802</v>
      </c>
      <c r="D4510" t="s">
        <v>15</v>
      </c>
      <c r="E4510">
        <v>114</v>
      </c>
      <c r="F4510">
        <v>42</v>
      </c>
      <c r="G4510" t="s">
        <v>4798</v>
      </c>
      <c r="H4510" t="s">
        <v>4805</v>
      </c>
      <c r="I4510">
        <v>17.989999999999998</v>
      </c>
      <c r="J4510">
        <v>4</v>
      </c>
      <c r="K4510">
        <v>3.8</v>
      </c>
      <c r="L4510">
        <v>0</v>
      </c>
      <c r="M4510" t="s">
        <v>4808</v>
      </c>
      <c r="N4510" t="s">
        <v>4900</v>
      </c>
      <c r="O4510" t="s">
        <v>4912</v>
      </c>
    </row>
    <row r="4511" spans="1:15" x14ac:dyDescent="0.35">
      <c r="A4511" t="s">
        <v>4447</v>
      </c>
      <c r="B4511">
        <v>32</v>
      </c>
      <c r="C4511" t="s">
        <v>4803</v>
      </c>
      <c r="D4511" t="s">
        <v>15</v>
      </c>
      <c r="E4511">
        <v>71</v>
      </c>
      <c r="F4511">
        <v>2</v>
      </c>
      <c r="G4511" t="s">
        <v>4798</v>
      </c>
      <c r="H4511" t="s">
        <v>4807</v>
      </c>
      <c r="I4511">
        <v>17.989999999999998</v>
      </c>
      <c r="J4511">
        <v>3</v>
      </c>
      <c r="K4511">
        <v>2.37</v>
      </c>
      <c r="L4511">
        <v>0</v>
      </c>
      <c r="M4511" t="s">
        <v>4811</v>
      </c>
      <c r="N4511" t="s">
        <v>4900</v>
      </c>
      <c r="O4511" t="s">
        <v>4912</v>
      </c>
    </row>
    <row r="4512" spans="1:15" x14ac:dyDescent="0.35">
      <c r="A4512" t="s">
        <v>4448</v>
      </c>
      <c r="B4512">
        <v>33</v>
      </c>
      <c r="C4512" t="s">
        <v>4803</v>
      </c>
      <c r="D4512" t="s">
        <v>13</v>
      </c>
      <c r="E4512">
        <v>73</v>
      </c>
      <c r="F4512">
        <v>27</v>
      </c>
      <c r="G4512" t="s">
        <v>4799</v>
      </c>
      <c r="H4512" t="s">
        <v>4805</v>
      </c>
      <c r="I4512">
        <v>13.99</v>
      </c>
      <c r="J4512">
        <v>3</v>
      </c>
      <c r="K4512">
        <v>2.4300000000000002</v>
      </c>
      <c r="L4512">
        <v>0</v>
      </c>
      <c r="M4512" t="s">
        <v>4809</v>
      </c>
      <c r="N4512" t="s">
        <v>4900</v>
      </c>
      <c r="O4512" t="s">
        <v>4912</v>
      </c>
    </row>
    <row r="4513" spans="1:15" x14ac:dyDescent="0.35">
      <c r="A4513" t="s">
        <v>4449</v>
      </c>
      <c r="B4513">
        <v>46</v>
      </c>
      <c r="C4513" t="s">
        <v>4803</v>
      </c>
      <c r="D4513" t="s">
        <v>15</v>
      </c>
      <c r="E4513">
        <v>62</v>
      </c>
      <c r="F4513">
        <v>5</v>
      </c>
      <c r="G4513" t="s">
        <v>4798</v>
      </c>
      <c r="H4513" t="s">
        <v>4804</v>
      </c>
      <c r="I4513">
        <v>17.989999999999998</v>
      </c>
      <c r="J4513">
        <v>4</v>
      </c>
      <c r="K4513">
        <v>2.0699999999999998</v>
      </c>
      <c r="L4513">
        <v>0</v>
      </c>
      <c r="M4513" t="s">
        <v>4809</v>
      </c>
      <c r="N4513" t="s">
        <v>4900</v>
      </c>
      <c r="O4513" t="s">
        <v>4910</v>
      </c>
    </row>
    <row r="4514" spans="1:15" x14ac:dyDescent="0.35">
      <c r="A4514" t="s">
        <v>4450</v>
      </c>
      <c r="B4514">
        <v>64</v>
      </c>
      <c r="C4514" t="s">
        <v>4803</v>
      </c>
      <c r="D4514" t="s">
        <v>13</v>
      </c>
      <c r="E4514">
        <v>53</v>
      </c>
      <c r="F4514">
        <v>31</v>
      </c>
      <c r="G4514" t="s">
        <v>4798</v>
      </c>
      <c r="H4514" t="s">
        <v>4805</v>
      </c>
      <c r="I4514">
        <v>13.99</v>
      </c>
      <c r="J4514">
        <v>3</v>
      </c>
      <c r="K4514">
        <v>1.77</v>
      </c>
      <c r="L4514">
        <v>1</v>
      </c>
      <c r="M4514" t="s">
        <v>4809</v>
      </c>
      <c r="N4514" t="s">
        <v>4899</v>
      </c>
      <c r="O4514" t="s">
        <v>4911</v>
      </c>
    </row>
    <row r="4515" spans="1:15" x14ac:dyDescent="0.35">
      <c r="A4515" t="s">
        <v>4852</v>
      </c>
      <c r="B4515">
        <v>20</v>
      </c>
      <c r="C4515" t="s">
        <v>4803</v>
      </c>
      <c r="D4515" t="s">
        <v>13</v>
      </c>
      <c r="E4515">
        <v>54</v>
      </c>
      <c r="F4515">
        <v>18</v>
      </c>
      <c r="G4515" t="s">
        <v>4798</v>
      </c>
      <c r="H4515" t="s">
        <v>4807</v>
      </c>
      <c r="I4515">
        <v>13.99</v>
      </c>
      <c r="J4515">
        <v>2</v>
      </c>
      <c r="K4515">
        <v>1.8</v>
      </c>
      <c r="L4515">
        <v>0</v>
      </c>
      <c r="M4515" t="s">
        <v>4812</v>
      </c>
      <c r="N4515" t="s">
        <v>4900</v>
      </c>
      <c r="O4515" t="s">
        <v>4912</v>
      </c>
    </row>
    <row r="4516" spans="1:15" x14ac:dyDescent="0.35">
      <c r="A4516" t="s">
        <v>4451</v>
      </c>
      <c r="B4516">
        <v>18</v>
      </c>
      <c r="C4516" t="s">
        <v>4803</v>
      </c>
      <c r="D4516" t="s">
        <v>13</v>
      </c>
      <c r="E4516">
        <v>59</v>
      </c>
      <c r="F4516">
        <v>26</v>
      </c>
      <c r="G4516" t="s">
        <v>4799</v>
      </c>
      <c r="H4516" t="s">
        <v>4806</v>
      </c>
      <c r="I4516">
        <v>13.99</v>
      </c>
      <c r="J4516">
        <v>2</v>
      </c>
      <c r="K4516">
        <v>2.0299999999999998</v>
      </c>
      <c r="L4516">
        <v>0</v>
      </c>
      <c r="M4516" t="s">
        <v>4812</v>
      </c>
      <c r="N4516" t="s">
        <v>4900</v>
      </c>
      <c r="O4516" t="s">
        <v>4912</v>
      </c>
    </row>
    <row r="4517" spans="1:15" x14ac:dyDescent="0.35">
      <c r="A4517" t="s">
        <v>4853</v>
      </c>
      <c r="B4517">
        <v>34</v>
      </c>
      <c r="C4517" t="s">
        <v>4802</v>
      </c>
      <c r="D4517" t="s">
        <v>13</v>
      </c>
      <c r="E4517">
        <v>45</v>
      </c>
      <c r="F4517">
        <v>30</v>
      </c>
      <c r="G4517" t="s">
        <v>4799</v>
      </c>
      <c r="H4517" t="s">
        <v>4806</v>
      </c>
      <c r="I4517">
        <v>13.99</v>
      </c>
      <c r="J4517">
        <v>3</v>
      </c>
      <c r="K4517">
        <v>1.5</v>
      </c>
      <c r="L4517">
        <v>0</v>
      </c>
      <c r="M4517" t="s">
        <v>4810</v>
      </c>
      <c r="N4517" t="s">
        <v>4900</v>
      </c>
      <c r="O4517" t="s">
        <v>4912</v>
      </c>
    </row>
    <row r="4518" spans="1:15" x14ac:dyDescent="0.35">
      <c r="A4518" t="s">
        <v>4452</v>
      </c>
      <c r="B4518">
        <v>23</v>
      </c>
      <c r="C4518" t="s">
        <v>4802</v>
      </c>
      <c r="D4518" t="s">
        <v>15</v>
      </c>
      <c r="E4518">
        <v>56</v>
      </c>
      <c r="F4518">
        <v>46</v>
      </c>
      <c r="G4518" t="s">
        <v>4797</v>
      </c>
      <c r="H4518" t="s">
        <v>4805</v>
      </c>
      <c r="I4518">
        <v>17.989999999999998</v>
      </c>
      <c r="J4518">
        <v>5</v>
      </c>
      <c r="K4518">
        <v>1.87</v>
      </c>
      <c r="L4518">
        <v>0</v>
      </c>
      <c r="M4518" t="s">
        <v>4810</v>
      </c>
      <c r="N4518" t="s">
        <v>4900</v>
      </c>
      <c r="O4518" t="s">
        <v>4912</v>
      </c>
    </row>
    <row r="4519" spans="1:15" x14ac:dyDescent="0.35">
      <c r="A4519" t="s">
        <v>4453</v>
      </c>
      <c r="B4519">
        <v>25</v>
      </c>
      <c r="C4519" t="s">
        <v>4802</v>
      </c>
      <c r="D4519" t="s">
        <v>13</v>
      </c>
      <c r="E4519">
        <v>61</v>
      </c>
      <c r="F4519">
        <v>52</v>
      </c>
      <c r="G4519" t="s">
        <v>4799</v>
      </c>
      <c r="H4519" t="s">
        <v>4805</v>
      </c>
      <c r="I4519">
        <v>13.99</v>
      </c>
      <c r="J4519">
        <v>1</v>
      </c>
      <c r="K4519">
        <v>2.0299999999999998</v>
      </c>
      <c r="L4519">
        <v>1</v>
      </c>
      <c r="M4519" t="s">
        <v>4809</v>
      </c>
      <c r="N4519" t="s">
        <v>4899</v>
      </c>
      <c r="O4519" t="s">
        <v>4912</v>
      </c>
    </row>
    <row r="4520" spans="1:15" x14ac:dyDescent="0.35">
      <c r="A4520" t="s">
        <v>4454</v>
      </c>
      <c r="B4520">
        <v>57</v>
      </c>
      <c r="C4520" t="s">
        <v>4802</v>
      </c>
      <c r="D4520" t="s">
        <v>13</v>
      </c>
      <c r="E4520">
        <v>68</v>
      </c>
      <c r="F4520">
        <v>59</v>
      </c>
      <c r="G4520" t="s">
        <v>4799</v>
      </c>
      <c r="H4520" t="s">
        <v>4806</v>
      </c>
      <c r="I4520">
        <v>13.99</v>
      </c>
      <c r="J4520">
        <v>3</v>
      </c>
      <c r="K4520">
        <v>2.27</v>
      </c>
      <c r="L4520">
        <v>1</v>
      </c>
      <c r="M4520" t="s">
        <v>4809</v>
      </c>
      <c r="N4520" t="s">
        <v>4899</v>
      </c>
      <c r="O4520" t="s">
        <v>4911</v>
      </c>
    </row>
    <row r="4521" spans="1:15" x14ac:dyDescent="0.35">
      <c r="A4521" t="s">
        <v>4455</v>
      </c>
      <c r="B4521">
        <v>52</v>
      </c>
      <c r="C4521" t="s">
        <v>4802</v>
      </c>
      <c r="D4521" t="s">
        <v>15</v>
      </c>
      <c r="E4521">
        <v>112</v>
      </c>
      <c r="F4521">
        <v>44</v>
      </c>
      <c r="G4521" t="s">
        <v>4797</v>
      </c>
      <c r="H4521" t="s">
        <v>4805</v>
      </c>
      <c r="I4521">
        <v>17.989999999999998</v>
      </c>
      <c r="J4521">
        <v>3</v>
      </c>
      <c r="K4521">
        <v>3.73</v>
      </c>
      <c r="L4521">
        <v>0</v>
      </c>
      <c r="M4521" t="s">
        <v>4812</v>
      </c>
      <c r="N4521" t="s">
        <v>4900</v>
      </c>
      <c r="O4521" t="s">
        <v>4910</v>
      </c>
    </row>
    <row r="4522" spans="1:15" x14ac:dyDescent="0.35">
      <c r="A4522" t="s">
        <v>4456</v>
      </c>
      <c r="B4522">
        <v>36</v>
      </c>
      <c r="C4522" t="s">
        <v>4803</v>
      </c>
      <c r="D4522" t="s">
        <v>13</v>
      </c>
      <c r="E4522">
        <v>78</v>
      </c>
      <c r="F4522">
        <v>43</v>
      </c>
      <c r="G4522" t="s">
        <v>4799</v>
      </c>
      <c r="H4522" t="s">
        <v>4805</v>
      </c>
      <c r="I4522">
        <v>13.99</v>
      </c>
      <c r="J4522">
        <v>2</v>
      </c>
      <c r="K4522">
        <v>2.6</v>
      </c>
      <c r="L4522">
        <v>0</v>
      </c>
      <c r="M4522" t="s">
        <v>4812</v>
      </c>
      <c r="N4522" t="s">
        <v>4900</v>
      </c>
      <c r="O4522" t="s">
        <v>4910</v>
      </c>
    </row>
    <row r="4523" spans="1:15" x14ac:dyDescent="0.35">
      <c r="A4523" t="s">
        <v>4457</v>
      </c>
      <c r="B4523">
        <v>64</v>
      </c>
      <c r="C4523" t="s">
        <v>4803</v>
      </c>
      <c r="D4523" t="s">
        <v>13</v>
      </c>
      <c r="E4523">
        <v>67</v>
      </c>
      <c r="F4523">
        <v>44</v>
      </c>
      <c r="G4523" t="s">
        <v>4797</v>
      </c>
      <c r="H4523" t="s">
        <v>4805</v>
      </c>
      <c r="I4523">
        <v>13.99</v>
      </c>
      <c r="J4523">
        <v>3</v>
      </c>
      <c r="K4523">
        <v>2.23</v>
      </c>
      <c r="L4523">
        <v>0</v>
      </c>
      <c r="M4523" t="s">
        <v>4812</v>
      </c>
      <c r="N4523" t="s">
        <v>4900</v>
      </c>
      <c r="O4523" t="s">
        <v>4911</v>
      </c>
    </row>
    <row r="4524" spans="1:15" x14ac:dyDescent="0.35">
      <c r="A4524" t="s">
        <v>4458</v>
      </c>
      <c r="B4524">
        <v>51</v>
      </c>
      <c r="C4524" t="s">
        <v>4802</v>
      </c>
      <c r="D4524" t="s">
        <v>13</v>
      </c>
      <c r="E4524">
        <v>47</v>
      </c>
      <c r="F4524">
        <v>43</v>
      </c>
      <c r="G4524" t="s">
        <v>4798</v>
      </c>
      <c r="H4524" t="s">
        <v>4805</v>
      </c>
      <c r="I4524">
        <v>13.99</v>
      </c>
      <c r="J4524">
        <v>3</v>
      </c>
      <c r="K4524">
        <v>1.57</v>
      </c>
      <c r="L4524">
        <v>0</v>
      </c>
      <c r="M4524" t="s">
        <v>4812</v>
      </c>
      <c r="N4524" t="s">
        <v>4900</v>
      </c>
      <c r="O4524" t="s">
        <v>4910</v>
      </c>
    </row>
    <row r="4525" spans="1:15" x14ac:dyDescent="0.35">
      <c r="A4525" t="s">
        <v>4459</v>
      </c>
      <c r="B4525">
        <v>47</v>
      </c>
      <c r="C4525" t="s">
        <v>4803</v>
      </c>
      <c r="D4525" t="s">
        <v>14</v>
      </c>
      <c r="E4525">
        <v>23</v>
      </c>
      <c r="F4525">
        <v>47</v>
      </c>
      <c r="G4525" t="s">
        <v>4798</v>
      </c>
      <c r="H4525" t="s">
        <v>4806</v>
      </c>
      <c r="I4525">
        <v>8.99</v>
      </c>
      <c r="J4525">
        <v>1</v>
      </c>
      <c r="K4525">
        <v>0.77</v>
      </c>
      <c r="L4525">
        <v>0</v>
      </c>
      <c r="M4525" t="s">
        <v>4811</v>
      </c>
      <c r="N4525" t="s">
        <v>4900</v>
      </c>
      <c r="O4525" t="s">
        <v>4910</v>
      </c>
    </row>
    <row r="4526" spans="1:15" x14ac:dyDescent="0.35">
      <c r="A4526" t="s">
        <v>4460</v>
      </c>
      <c r="B4526">
        <v>63</v>
      </c>
      <c r="C4526" t="s">
        <v>4803</v>
      </c>
      <c r="D4526" t="s">
        <v>13</v>
      </c>
      <c r="E4526">
        <v>45</v>
      </c>
      <c r="F4526">
        <v>39</v>
      </c>
      <c r="G4526" t="s">
        <v>4798</v>
      </c>
      <c r="H4526" t="s">
        <v>4806</v>
      </c>
      <c r="I4526">
        <v>13.99</v>
      </c>
      <c r="J4526">
        <v>1</v>
      </c>
      <c r="K4526">
        <v>1.5</v>
      </c>
      <c r="L4526">
        <v>0</v>
      </c>
      <c r="M4526" t="s">
        <v>4811</v>
      </c>
      <c r="N4526" t="s">
        <v>4900</v>
      </c>
      <c r="O4526" t="s">
        <v>4911</v>
      </c>
    </row>
    <row r="4527" spans="1:15" x14ac:dyDescent="0.35">
      <c r="A4527" t="s">
        <v>4461</v>
      </c>
      <c r="B4527">
        <v>39</v>
      </c>
      <c r="C4527" t="s">
        <v>4802</v>
      </c>
      <c r="D4527" t="s">
        <v>13</v>
      </c>
      <c r="E4527">
        <v>42</v>
      </c>
      <c r="F4527">
        <v>48</v>
      </c>
      <c r="G4527" t="s">
        <v>4797</v>
      </c>
      <c r="H4527" t="s">
        <v>4806</v>
      </c>
      <c r="I4527">
        <v>13.99</v>
      </c>
      <c r="J4527">
        <v>3</v>
      </c>
      <c r="K4527">
        <v>1.4</v>
      </c>
      <c r="L4527">
        <v>0</v>
      </c>
      <c r="M4527" t="s">
        <v>4811</v>
      </c>
      <c r="N4527" t="s">
        <v>4900</v>
      </c>
      <c r="O4527" t="s">
        <v>4910</v>
      </c>
    </row>
    <row r="4528" spans="1:15" x14ac:dyDescent="0.35">
      <c r="A4528" t="s">
        <v>4462</v>
      </c>
      <c r="B4528">
        <v>45</v>
      </c>
      <c r="C4528" t="s">
        <v>4803</v>
      </c>
      <c r="D4528" t="s">
        <v>13</v>
      </c>
      <c r="E4528">
        <v>45</v>
      </c>
      <c r="F4528">
        <v>18</v>
      </c>
      <c r="G4528" t="s">
        <v>4797</v>
      </c>
      <c r="H4528" t="s">
        <v>4807</v>
      </c>
      <c r="I4528">
        <v>13.99</v>
      </c>
      <c r="J4528">
        <v>4</v>
      </c>
      <c r="K4528">
        <v>1.5</v>
      </c>
      <c r="L4528">
        <v>0</v>
      </c>
      <c r="M4528" t="s">
        <v>4808</v>
      </c>
      <c r="N4528" t="s">
        <v>4900</v>
      </c>
      <c r="O4528" t="s">
        <v>4910</v>
      </c>
    </row>
    <row r="4529" spans="1:15" x14ac:dyDescent="0.35">
      <c r="A4529" t="s">
        <v>4463</v>
      </c>
      <c r="B4529">
        <v>60</v>
      </c>
      <c r="C4529" t="s">
        <v>4803</v>
      </c>
      <c r="D4529" t="s">
        <v>13</v>
      </c>
      <c r="E4529">
        <v>53</v>
      </c>
      <c r="F4529">
        <v>20</v>
      </c>
      <c r="G4529" t="s">
        <v>4799</v>
      </c>
      <c r="H4529" t="s">
        <v>4804</v>
      </c>
      <c r="I4529">
        <v>13.99</v>
      </c>
      <c r="J4529">
        <v>4</v>
      </c>
      <c r="K4529">
        <v>1.77</v>
      </c>
      <c r="L4529">
        <v>0</v>
      </c>
      <c r="M4529" t="s">
        <v>4809</v>
      </c>
      <c r="N4529" t="s">
        <v>4900</v>
      </c>
      <c r="O4529" t="s">
        <v>4911</v>
      </c>
    </row>
    <row r="4530" spans="1:15" x14ac:dyDescent="0.35">
      <c r="A4530" t="s">
        <v>4464</v>
      </c>
      <c r="B4530">
        <v>25</v>
      </c>
      <c r="C4530" t="s">
        <v>4803</v>
      </c>
      <c r="D4530" t="s">
        <v>15</v>
      </c>
      <c r="E4530">
        <v>76</v>
      </c>
      <c r="F4530">
        <v>45</v>
      </c>
      <c r="G4530" t="s">
        <v>4799</v>
      </c>
      <c r="H4530" t="s">
        <v>4805</v>
      </c>
      <c r="I4530">
        <v>17.989999999999998</v>
      </c>
      <c r="J4530">
        <v>3</v>
      </c>
      <c r="K4530">
        <v>2.5299999999999998</v>
      </c>
      <c r="L4530">
        <v>1</v>
      </c>
      <c r="M4530" t="s">
        <v>4810</v>
      </c>
      <c r="N4530" t="s">
        <v>4899</v>
      </c>
      <c r="O4530" t="s">
        <v>4912</v>
      </c>
    </row>
    <row r="4531" spans="1:15" x14ac:dyDescent="0.35">
      <c r="A4531" t="s">
        <v>4465</v>
      </c>
      <c r="B4531">
        <v>39</v>
      </c>
      <c r="C4531" t="s">
        <v>4802</v>
      </c>
      <c r="D4531" t="s">
        <v>13</v>
      </c>
      <c r="E4531">
        <v>61</v>
      </c>
      <c r="F4531">
        <v>9</v>
      </c>
      <c r="G4531" t="s">
        <v>4799</v>
      </c>
      <c r="H4531" t="s">
        <v>4804</v>
      </c>
      <c r="I4531">
        <v>13.99</v>
      </c>
      <c r="J4531">
        <v>2</v>
      </c>
      <c r="K4531">
        <v>2.0299999999999998</v>
      </c>
      <c r="L4531">
        <v>0</v>
      </c>
      <c r="M4531" t="s">
        <v>4812</v>
      </c>
      <c r="N4531" t="s">
        <v>4900</v>
      </c>
      <c r="O4531" t="s">
        <v>4910</v>
      </c>
    </row>
    <row r="4532" spans="1:15" x14ac:dyDescent="0.35">
      <c r="A4532" t="s">
        <v>4466</v>
      </c>
      <c r="B4532">
        <v>46</v>
      </c>
      <c r="C4532" t="s">
        <v>4803</v>
      </c>
      <c r="D4532" t="s">
        <v>13</v>
      </c>
      <c r="E4532">
        <v>31</v>
      </c>
      <c r="F4532">
        <v>44</v>
      </c>
      <c r="G4532" t="s">
        <v>4800</v>
      </c>
      <c r="H4532" t="s">
        <v>4804</v>
      </c>
      <c r="I4532">
        <v>13.99</v>
      </c>
      <c r="J4532">
        <v>4</v>
      </c>
      <c r="K4532">
        <v>1.03</v>
      </c>
      <c r="L4532">
        <v>0</v>
      </c>
      <c r="M4532" t="s">
        <v>4810</v>
      </c>
      <c r="N4532" t="s">
        <v>4900</v>
      </c>
      <c r="O4532" t="s">
        <v>4910</v>
      </c>
    </row>
    <row r="4533" spans="1:15" x14ac:dyDescent="0.35">
      <c r="A4533" t="s">
        <v>4467</v>
      </c>
      <c r="B4533">
        <v>21</v>
      </c>
      <c r="C4533" t="s">
        <v>4803</v>
      </c>
      <c r="D4533" t="s">
        <v>13</v>
      </c>
      <c r="E4533">
        <v>32</v>
      </c>
      <c r="F4533">
        <v>46</v>
      </c>
      <c r="G4533" t="s">
        <v>4797</v>
      </c>
      <c r="H4533" t="s">
        <v>4805</v>
      </c>
      <c r="I4533">
        <v>13.99</v>
      </c>
      <c r="J4533">
        <v>3</v>
      </c>
      <c r="K4533">
        <v>1.07</v>
      </c>
      <c r="L4533">
        <v>0</v>
      </c>
      <c r="M4533" t="s">
        <v>4808</v>
      </c>
      <c r="N4533" t="s">
        <v>4900</v>
      </c>
      <c r="O4533" t="s">
        <v>4912</v>
      </c>
    </row>
    <row r="4534" spans="1:15" x14ac:dyDescent="0.35">
      <c r="A4534" t="s">
        <v>4468</v>
      </c>
      <c r="B4534">
        <v>33</v>
      </c>
      <c r="C4534" t="s">
        <v>4803</v>
      </c>
      <c r="D4534" t="s">
        <v>13</v>
      </c>
      <c r="E4534">
        <v>44</v>
      </c>
      <c r="F4534">
        <v>53</v>
      </c>
      <c r="G4534" t="s">
        <v>4798</v>
      </c>
      <c r="H4534" t="s">
        <v>4806</v>
      </c>
      <c r="I4534">
        <v>13.99</v>
      </c>
      <c r="J4534">
        <v>2</v>
      </c>
      <c r="K4534">
        <v>1.47</v>
      </c>
      <c r="L4534">
        <v>1</v>
      </c>
      <c r="M4534" t="s">
        <v>4811</v>
      </c>
      <c r="N4534" t="s">
        <v>4899</v>
      </c>
      <c r="O4534" t="s">
        <v>4912</v>
      </c>
    </row>
    <row r="4535" spans="1:15" x14ac:dyDescent="0.35">
      <c r="A4535" t="s">
        <v>4469</v>
      </c>
      <c r="B4535">
        <v>65</v>
      </c>
      <c r="C4535" t="s">
        <v>4803</v>
      </c>
      <c r="D4535" t="s">
        <v>13</v>
      </c>
      <c r="E4535">
        <v>77</v>
      </c>
      <c r="F4535">
        <v>32</v>
      </c>
      <c r="G4535" t="s">
        <v>4797</v>
      </c>
      <c r="H4535" t="s">
        <v>4804</v>
      </c>
      <c r="I4535">
        <v>13.99</v>
      </c>
      <c r="J4535">
        <v>3</v>
      </c>
      <c r="K4535">
        <v>2.57</v>
      </c>
      <c r="L4535">
        <v>0</v>
      </c>
      <c r="M4535" t="s">
        <v>4812</v>
      </c>
      <c r="N4535" t="s">
        <v>4900</v>
      </c>
      <c r="O4535" t="s">
        <v>4911</v>
      </c>
    </row>
    <row r="4536" spans="1:15" x14ac:dyDescent="0.35">
      <c r="A4536" t="s">
        <v>4470</v>
      </c>
      <c r="B4536">
        <v>37</v>
      </c>
      <c r="C4536" t="s">
        <v>4803</v>
      </c>
      <c r="D4536" t="s">
        <v>15</v>
      </c>
      <c r="E4536">
        <v>74</v>
      </c>
      <c r="F4536">
        <v>29</v>
      </c>
      <c r="G4536" t="s">
        <v>4799</v>
      </c>
      <c r="H4536" t="s">
        <v>4804</v>
      </c>
      <c r="I4536">
        <v>17.989999999999998</v>
      </c>
      <c r="J4536">
        <v>3</v>
      </c>
      <c r="K4536">
        <v>2.4700000000000002</v>
      </c>
      <c r="L4536">
        <v>0</v>
      </c>
      <c r="M4536" t="s">
        <v>4809</v>
      </c>
      <c r="N4536" t="s">
        <v>4900</v>
      </c>
      <c r="O4536" t="s">
        <v>4910</v>
      </c>
    </row>
    <row r="4537" spans="1:15" x14ac:dyDescent="0.35">
      <c r="A4537" t="s">
        <v>4471</v>
      </c>
      <c r="B4537">
        <v>53</v>
      </c>
      <c r="C4537" t="s">
        <v>4802</v>
      </c>
      <c r="D4537" t="s">
        <v>15</v>
      </c>
      <c r="E4537">
        <v>107</v>
      </c>
      <c r="F4537">
        <v>37</v>
      </c>
      <c r="G4537" t="s">
        <v>4801</v>
      </c>
      <c r="H4537" t="s">
        <v>4805</v>
      </c>
      <c r="I4537">
        <v>17.989999999999998</v>
      </c>
      <c r="J4537">
        <v>5</v>
      </c>
      <c r="K4537">
        <v>3.57</v>
      </c>
      <c r="L4537">
        <v>0</v>
      </c>
      <c r="M4537" t="s">
        <v>4809</v>
      </c>
      <c r="N4537" t="s">
        <v>4900</v>
      </c>
      <c r="O4537" t="s">
        <v>4910</v>
      </c>
    </row>
    <row r="4538" spans="1:15" x14ac:dyDescent="0.35">
      <c r="A4538" t="s">
        <v>4472</v>
      </c>
      <c r="B4538">
        <v>41</v>
      </c>
      <c r="C4538" t="s">
        <v>4802</v>
      </c>
      <c r="D4538" t="s">
        <v>13</v>
      </c>
      <c r="E4538">
        <v>40</v>
      </c>
      <c r="F4538">
        <v>11</v>
      </c>
      <c r="G4538" t="s">
        <v>4797</v>
      </c>
      <c r="H4538" t="s">
        <v>4805</v>
      </c>
      <c r="I4538">
        <v>13.99</v>
      </c>
      <c r="J4538">
        <v>1</v>
      </c>
      <c r="K4538">
        <v>1.33</v>
      </c>
      <c r="L4538">
        <v>0</v>
      </c>
      <c r="M4538" t="s">
        <v>4808</v>
      </c>
      <c r="N4538" t="s">
        <v>4900</v>
      </c>
      <c r="O4538" t="s">
        <v>4910</v>
      </c>
    </row>
    <row r="4539" spans="1:15" x14ac:dyDescent="0.35">
      <c r="A4539" t="s">
        <v>4473</v>
      </c>
      <c r="B4539">
        <v>52</v>
      </c>
      <c r="C4539" t="s">
        <v>4803</v>
      </c>
      <c r="D4539" t="s">
        <v>14</v>
      </c>
      <c r="E4539">
        <v>48</v>
      </c>
      <c r="F4539">
        <v>34</v>
      </c>
      <c r="G4539" t="s">
        <v>4797</v>
      </c>
      <c r="H4539" t="s">
        <v>4805</v>
      </c>
      <c r="I4539">
        <v>8.99</v>
      </c>
      <c r="J4539">
        <v>2</v>
      </c>
      <c r="K4539">
        <v>1.6</v>
      </c>
      <c r="L4539">
        <v>1</v>
      </c>
      <c r="M4539" t="s">
        <v>4812</v>
      </c>
      <c r="N4539" t="s">
        <v>4899</v>
      </c>
      <c r="O4539" t="s">
        <v>4910</v>
      </c>
    </row>
    <row r="4540" spans="1:15" x14ac:dyDescent="0.35">
      <c r="A4540" t="s">
        <v>4474</v>
      </c>
      <c r="B4540">
        <v>24</v>
      </c>
      <c r="C4540" t="s">
        <v>4802</v>
      </c>
      <c r="D4540" t="s">
        <v>13</v>
      </c>
      <c r="E4540">
        <v>79</v>
      </c>
      <c r="F4540">
        <v>999</v>
      </c>
      <c r="G4540" t="s">
        <v>4798</v>
      </c>
      <c r="H4540" t="s">
        <v>4807</v>
      </c>
      <c r="I4540">
        <v>13.99</v>
      </c>
      <c r="J4540">
        <v>2</v>
      </c>
      <c r="K4540">
        <v>2.63</v>
      </c>
      <c r="L4540">
        <v>0</v>
      </c>
      <c r="M4540" t="s">
        <v>4812</v>
      </c>
      <c r="N4540" t="s">
        <v>4900</v>
      </c>
      <c r="O4540" t="s">
        <v>4912</v>
      </c>
    </row>
    <row r="4541" spans="1:15" x14ac:dyDescent="0.35">
      <c r="A4541" t="s">
        <v>4475</v>
      </c>
      <c r="B4541">
        <v>46</v>
      </c>
      <c r="C4541" t="s">
        <v>4803</v>
      </c>
      <c r="D4541" t="s">
        <v>15</v>
      </c>
      <c r="E4541">
        <v>58</v>
      </c>
      <c r="F4541">
        <v>45</v>
      </c>
      <c r="G4541" t="s">
        <v>4798</v>
      </c>
      <c r="H4541" t="s">
        <v>4805</v>
      </c>
      <c r="I4541">
        <v>17.989999999999998</v>
      </c>
      <c r="J4541">
        <v>5</v>
      </c>
      <c r="K4541">
        <v>1.93</v>
      </c>
      <c r="L4541">
        <v>0</v>
      </c>
      <c r="M4541" t="s">
        <v>4810</v>
      </c>
      <c r="N4541" t="s">
        <v>4900</v>
      </c>
      <c r="O4541" t="s">
        <v>4910</v>
      </c>
    </row>
    <row r="4542" spans="1:15" x14ac:dyDescent="0.35">
      <c r="A4542" t="s">
        <v>4476</v>
      </c>
      <c r="B4542">
        <v>27</v>
      </c>
      <c r="C4542" t="s">
        <v>4803</v>
      </c>
      <c r="D4542" t="s">
        <v>13</v>
      </c>
      <c r="E4542">
        <v>46</v>
      </c>
      <c r="F4542">
        <v>16</v>
      </c>
      <c r="G4542" t="s">
        <v>4800</v>
      </c>
      <c r="H4542" t="s">
        <v>4805</v>
      </c>
      <c r="I4542">
        <v>13.99</v>
      </c>
      <c r="J4542">
        <v>2</v>
      </c>
      <c r="K4542">
        <v>1.53</v>
      </c>
      <c r="L4542">
        <v>0</v>
      </c>
      <c r="M4542" t="s">
        <v>4811</v>
      </c>
      <c r="N4542" t="s">
        <v>4900</v>
      </c>
      <c r="O4542" t="s">
        <v>4912</v>
      </c>
    </row>
    <row r="4543" spans="1:15" x14ac:dyDescent="0.35">
      <c r="A4543" t="s">
        <v>4477</v>
      </c>
      <c r="B4543">
        <v>38</v>
      </c>
      <c r="C4543" t="s">
        <v>4802</v>
      </c>
      <c r="D4543" t="s">
        <v>13</v>
      </c>
      <c r="E4543">
        <v>56</v>
      </c>
      <c r="F4543">
        <v>17</v>
      </c>
      <c r="G4543" t="s">
        <v>4799</v>
      </c>
      <c r="H4543" t="s">
        <v>4805</v>
      </c>
      <c r="I4543">
        <v>13.99</v>
      </c>
      <c r="J4543">
        <v>2</v>
      </c>
      <c r="K4543">
        <v>1.87</v>
      </c>
      <c r="L4543">
        <v>0</v>
      </c>
      <c r="M4543" t="s">
        <v>4811</v>
      </c>
      <c r="N4543" t="s">
        <v>4900</v>
      </c>
      <c r="O4543" t="s">
        <v>4910</v>
      </c>
    </row>
    <row r="4544" spans="1:15" x14ac:dyDescent="0.35">
      <c r="A4544" t="s">
        <v>4478</v>
      </c>
      <c r="B4544">
        <v>29</v>
      </c>
      <c r="C4544" t="s">
        <v>4803</v>
      </c>
      <c r="D4544" t="s">
        <v>13</v>
      </c>
      <c r="E4544">
        <v>58</v>
      </c>
      <c r="F4544">
        <v>25</v>
      </c>
      <c r="G4544" t="s">
        <v>4800</v>
      </c>
      <c r="H4544" t="s">
        <v>4805</v>
      </c>
      <c r="I4544">
        <v>13.99</v>
      </c>
      <c r="J4544">
        <v>2</v>
      </c>
      <c r="K4544">
        <v>1.93</v>
      </c>
      <c r="L4544">
        <v>0</v>
      </c>
      <c r="M4544" t="s">
        <v>4809</v>
      </c>
      <c r="N4544" t="s">
        <v>4900</v>
      </c>
      <c r="O4544" t="s">
        <v>4912</v>
      </c>
    </row>
    <row r="4545" spans="1:15" x14ac:dyDescent="0.35">
      <c r="A4545" t="s">
        <v>4479</v>
      </c>
      <c r="B4545">
        <v>46</v>
      </c>
      <c r="C4545" t="s">
        <v>4802</v>
      </c>
      <c r="D4545" t="s">
        <v>13</v>
      </c>
      <c r="E4545">
        <v>40</v>
      </c>
      <c r="F4545">
        <v>54</v>
      </c>
      <c r="G4545" t="s">
        <v>4798</v>
      </c>
      <c r="H4545" t="s">
        <v>4805</v>
      </c>
      <c r="I4545">
        <v>13.99</v>
      </c>
      <c r="J4545">
        <v>2</v>
      </c>
      <c r="K4545">
        <v>1.33</v>
      </c>
      <c r="L4545">
        <v>0</v>
      </c>
      <c r="M4545" t="s">
        <v>4812</v>
      </c>
      <c r="N4545" t="s">
        <v>4900</v>
      </c>
      <c r="O4545" t="s">
        <v>4910</v>
      </c>
    </row>
    <row r="4546" spans="1:15" x14ac:dyDescent="0.35">
      <c r="A4546" t="s">
        <v>4480</v>
      </c>
      <c r="B4546">
        <v>33</v>
      </c>
      <c r="C4546" t="s">
        <v>4803</v>
      </c>
      <c r="D4546" t="s">
        <v>15</v>
      </c>
      <c r="E4546">
        <v>102</v>
      </c>
      <c r="F4546">
        <v>3</v>
      </c>
      <c r="G4546" t="s">
        <v>4798</v>
      </c>
      <c r="H4546" t="s">
        <v>4805</v>
      </c>
      <c r="I4546">
        <v>17.989999999999998</v>
      </c>
      <c r="J4546">
        <v>5</v>
      </c>
      <c r="K4546">
        <v>3.4</v>
      </c>
      <c r="L4546">
        <v>1</v>
      </c>
      <c r="M4546" t="s">
        <v>4810</v>
      </c>
      <c r="N4546" t="s">
        <v>4899</v>
      </c>
      <c r="O4546" t="s">
        <v>4912</v>
      </c>
    </row>
    <row r="4547" spans="1:15" x14ac:dyDescent="0.35">
      <c r="A4547" t="s">
        <v>4481</v>
      </c>
      <c r="B4547">
        <v>21</v>
      </c>
      <c r="C4547" t="s">
        <v>4803</v>
      </c>
      <c r="D4547" t="s">
        <v>15</v>
      </c>
      <c r="E4547">
        <v>99</v>
      </c>
      <c r="F4547">
        <v>10</v>
      </c>
      <c r="G4547" t="s">
        <v>4799</v>
      </c>
      <c r="H4547" t="s">
        <v>4805</v>
      </c>
      <c r="I4547">
        <v>17.989999999999998</v>
      </c>
      <c r="J4547">
        <v>5</v>
      </c>
      <c r="K4547">
        <v>3.3</v>
      </c>
      <c r="L4547">
        <v>0</v>
      </c>
      <c r="M4547" t="s">
        <v>4809</v>
      </c>
      <c r="N4547" t="s">
        <v>4900</v>
      </c>
      <c r="O4547" t="s">
        <v>4912</v>
      </c>
    </row>
    <row r="4548" spans="1:15" x14ac:dyDescent="0.35">
      <c r="A4548" t="s">
        <v>4482</v>
      </c>
      <c r="B4548">
        <v>60</v>
      </c>
      <c r="C4548" t="s">
        <v>4803</v>
      </c>
      <c r="D4548" t="s">
        <v>13</v>
      </c>
      <c r="E4548">
        <v>67</v>
      </c>
      <c r="F4548">
        <v>45</v>
      </c>
      <c r="G4548" t="s">
        <v>4797</v>
      </c>
      <c r="H4548" t="s">
        <v>4805</v>
      </c>
      <c r="I4548">
        <v>13.99</v>
      </c>
      <c r="J4548">
        <v>1</v>
      </c>
      <c r="K4548">
        <v>2.23</v>
      </c>
      <c r="L4548">
        <v>0</v>
      </c>
      <c r="M4548" t="s">
        <v>4812</v>
      </c>
      <c r="N4548" t="s">
        <v>4900</v>
      </c>
      <c r="O4548" t="s">
        <v>4911</v>
      </c>
    </row>
    <row r="4549" spans="1:15" x14ac:dyDescent="0.35">
      <c r="A4549" t="s">
        <v>4483</v>
      </c>
      <c r="B4549">
        <v>39</v>
      </c>
      <c r="C4549" t="s">
        <v>4802</v>
      </c>
      <c r="D4549" t="s">
        <v>15</v>
      </c>
      <c r="E4549">
        <v>117</v>
      </c>
      <c r="F4549">
        <v>31</v>
      </c>
      <c r="G4549" t="s">
        <v>4799</v>
      </c>
      <c r="H4549" t="s">
        <v>4804</v>
      </c>
      <c r="I4549">
        <v>17.989999999999998</v>
      </c>
      <c r="J4549">
        <v>4</v>
      </c>
      <c r="K4549">
        <v>3.9</v>
      </c>
      <c r="L4549">
        <v>1</v>
      </c>
      <c r="M4549" t="s">
        <v>4811</v>
      </c>
      <c r="N4549" t="s">
        <v>4899</v>
      </c>
      <c r="O4549" t="s">
        <v>4910</v>
      </c>
    </row>
    <row r="4550" spans="1:15" x14ac:dyDescent="0.35">
      <c r="A4550" t="s">
        <v>4484</v>
      </c>
      <c r="B4550">
        <v>43</v>
      </c>
      <c r="C4550" t="s">
        <v>4803</v>
      </c>
      <c r="D4550" t="s">
        <v>13</v>
      </c>
      <c r="E4550">
        <v>56</v>
      </c>
      <c r="F4550">
        <v>37</v>
      </c>
      <c r="G4550" t="s">
        <v>4797</v>
      </c>
      <c r="H4550" t="s">
        <v>4805</v>
      </c>
      <c r="I4550">
        <v>13.99</v>
      </c>
      <c r="J4550">
        <v>2</v>
      </c>
      <c r="K4550">
        <v>1.87</v>
      </c>
      <c r="L4550">
        <v>0</v>
      </c>
      <c r="M4550" t="s">
        <v>4809</v>
      </c>
      <c r="N4550" t="s">
        <v>4900</v>
      </c>
      <c r="O4550" t="s">
        <v>4910</v>
      </c>
    </row>
    <row r="4551" spans="1:15" x14ac:dyDescent="0.35">
      <c r="A4551" t="s">
        <v>4485</v>
      </c>
      <c r="B4551">
        <v>29</v>
      </c>
      <c r="C4551" t="s">
        <v>4803</v>
      </c>
      <c r="D4551" t="s">
        <v>13</v>
      </c>
      <c r="E4551">
        <v>46</v>
      </c>
      <c r="F4551">
        <v>50</v>
      </c>
      <c r="G4551" t="s">
        <v>4798</v>
      </c>
      <c r="H4551" t="s">
        <v>4804</v>
      </c>
      <c r="I4551">
        <v>13.99</v>
      </c>
      <c r="J4551">
        <v>2</v>
      </c>
      <c r="K4551">
        <v>1.53</v>
      </c>
      <c r="L4551">
        <v>1</v>
      </c>
      <c r="M4551" t="s">
        <v>4810</v>
      </c>
      <c r="N4551" t="s">
        <v>4899</v>
      </c>
      <c r="O4551" t="s">
        <v>4912</v>
      </c>
    </row>
    <row r="4552" spans="1:15" x14ac:dyDescent="0.35">
      <c r="A4552" t="s">
        <v>4486</v>
      </c>
      <c r="B4552">
        <v>45</v>
      </c>
      <c r="C4552" t="s">
        <v>4803</v>
      </c>
      <c r="D4552" t="s">
        <v>14</v>
      </c>
      <c r="E4552">
        <v>72</v>
      </c>
      <c r="F4552">
        <v>29</v>
      </c>
      <c r="G4552" t="s">
        <v>4797</v>
      </c>
      <c r="H4552" t="s">
        <v>4805</v>
      </c>
      <c r="I4552">
        <v>8.99</v>
      </c>
      <c r="J4552">
        <v>4</v>
      </c>
      <c r="K4552">
        <v>2.4</v>
      </c>
      <c r="L4552">
        <v>0</v>
      </c>
      <c r="M4552" t="s">
        <v>4812</v>
      </c>
      <c r="N4552" t="s">
        <v>4900</v>
      </c>
      <c r="O4552" t="s">
        <v>4910</v>
      </c>
    </row>
    <row r="4553" spans="1:15" x14ac:dyDescent="0.35">
      <c r="A4553" t="s">
        <v>4487</v>
      </c>
      <c r="B4553">
        <v>19</v>
      </c>
      <c r="C4553" t="s">
        <v>4803</v>
      </c>
      <c r="D4553" t="s">
        <v>13</v>
      </c>
      <c r="E4553">
        <v>62</v>
      </c>
      <c r="F4553">
        <v>22</v>
      </c>
      <c r="G4553" t="s">
        <v>4797</v>
      </c>
      <c r="H4553" t="s">
        <v>4804</v>
      </c>
      <c r="I4553">
        <v>13.99</v>
      </c>
      <c r="J4553">
        <v>3</v>
      </c>
      <c r="K4553">
        <v>2.0699999999999998</v>
      </c>
      <c r="L4553">
        <v>0</v>
      </c>
      <c r="M4553" t="s">
        <v>4808</v>
      </c>
      <c r="N4553" t="s">
        <v>4900</v>
      </c>
      <c r="O4553" t="s">
        <v>4912</v>
      </c>
    </row>
    <row r="4554" spans="1:15" x14ac:dyDescent="0.35">
      <c r="A4554" t="s">
        <v>4488</v>
      </c>
      <c r="B4554">
        <v>32</v>
      </c>
      <c r="C4554" t="s">
        <v>4802</v>
      </c>
      <c r="D4554" t="s">
        <v>15</v>
      </c>
      <c r="E4554">
        <v>61</v>
      </c>
      <c r="F4554">
        <v>10</v>
      </c>
      <c r="G4554" t="s">
        <v>4797</v>
      </c>
      <c r="H4554" t="s">
        <v>4805</v>
      </c>
      <c r="I4554">
        <v>17.989999999999998</v>
      </c>
      <c r="J4554">
        <v>3</v>
      </c>
      <c r="K4554">
        <v>2.0299999999999998</v>
      </c>
      <c r="L4554">
        <v>0</v>
      </c>
      <c r="M4554" t="s">
        <v>4811</v>
      </c>
      <c r="N4554" t="s">
        <v>4900</v>
      </c>
      <c r="O4554" t="s">
        <v>4912</v>
      </c>
    </row>
    <row r="4555" spans="1:15" x14ac:dyDescent="0.35">
      <c r="A4555" t="s">
        <v>4489</v>
      </c>
      <c r="B4555">
        <v>56</v>
      </c>
      <c r="C4555" t="s">
        <v>4802</v>
      </c>
      <c r="D4555" t="s">
        <v>15</v>
      </c>
      <c r="E4555">
        <v>92</v>
      </c>
      <c r="F4555">
        <v>27</v>
      </c>
      <c r="G4555" t="s">
        <v>4798</v>
      </c>
      <c r="H4555" t="s">
        <v>4806</v>
      </c>
      <c r="I4555">
        <v>17.989999999999998</v>
      </c>
      <c r="J4555">
        <v>4</v>
      </c>
      <c r="K4555">
        <v>3.07</v>
      </c>
      <c r="L4555">
        <v>0</v>
      </c>
      <c r="M4555" t="s">
        <v>4812</v>
      </c>
      <c r="N4555" t="s">
        <v>4900</v>
      </c>
      <c r="O4555" t="s">
        <v>4911</v>
      </c>
    </row>
    <row r="4556" spans="1:15" x14ac:dyDescent="0.35">
      <c r="A4556" t="s">
        <v>4490</v>
      </c>
      <c r="B4556">
        <v>37</v>
      </c>
      <c r="C4556" t="s">
        <v>4803</v>
      </c>
      <c r="D4556" t="s">
        <v>15</v>
      </c>
      <c r="E4556">
        <v>85</v>
      </c>
      <c r="F4556">
        <v>26</v>
      </c>
      <c r="G4556" t="s">
        <v>4798</v>
      </c>
      <c r="H4556" t="s">
        <v>4804</v>
      </c>
      <c r="I4556">
        <v>17.989999999999998</v>
      </c>
      <c r="J4556">
        <v>3</v>
      </c>
      <c r="K4556">
        <v>2.83</v>
      </c>
      <c r="L4556">
        <v>0</v>
      </c>
      <c r="M4556" t="s">
        <v>4810</v>
      </c>
      <c r="N4556" t="s">
        <v>4900</v>
      </c>
      <c r="O4556" t="s">
        <v>4910</v>
      </c>
    </row>
    <row r="4557" spans="1:15" x14ac:dyDescent="0.35">
      <c r="A4557" t="s">
        <v>4491</v>
      </c>
      <c r="B4557">
        <v>42</v>
      </c>
      <c r="C4557" t="s">
        <v>4803</v>
      </c>
      <c r="D4557" t="s">
        <v>15</v>
      </c>
      <c r="E4557">
        <v>60</v>
      </c>
      <c r="F4557">
        <v>9</v>
      </c>
      <c r="G4557" t="s">
        <v>4798</v>
      </c>
      <c r="H4557" t="s">
        <v>4804</v>
      </c>
      <c r="I4557">
        <v>17.989999999999998</v>
      </c>
      <c r="J4557">
        <v>3</v>
      </c>
      <c r="K4557">
        <v>2</v>
      </c>
      <c r="L4557">
        <v>0</v>
      </c>
      <c r="M4557" t="s">
        <v>4811</v>
      </c>
      <c r="N4557" t="s">
        <v>4900</v>
      </c>
      <c r="O4557" t="s">
        <v>4910</v>
      </c>
    </row>
    <row r="4558" spans="1:15" x14ac:dyDescent="0.35">
      <c r="A4558" t="s">
        <v>4492</v>
      </c>
      <c r="B4558">
        <v>34</v>
      </c>
      <c r="C4558" t="s">
        <v>4803</v>
      </c>
      <c r="D4558" t="s">
        <v>13</v>
      </c>
      <c r="E4558">
        <v>74</v>
      </c>
      <c r="F4558">
        <v>29</v>
      </c>
      <c r="G4558" t="s">
        <v>4797</v>
      </c>
      <c r="H4558" t="s">
        <v>4805</v>
      </c>
      <c r="I4558">
        <v>13.99</v>
      </c>
      <c r="J4558">
        <v>2</v>
      </c>
      <c r="K4558">
        <v>2.4700000000000002</v>
      </c>
      <c r="L4558">
        <v>0</v>
      </c>
      <c r="M4558" t="s">
        <v>4812</v>
      </c>
      <c r="N4558" t="s">
        <v>4900</v>
      </c>
      <c r="O4558" t="s">
        <v>4912</v>
      </c>
    </row>
    <row r="4559" spans="1:15" x14ac:dyDescent="0.35">
      <c r="A4559" t="s">
        <v>4493</v>
      </c>
      <c r="B4559">
        <v>30</v>
      </c>
      <c r="C4559" t="s">
        <v>4802</v>
      </c>
      <c r="D4559" t="s">
        <v>13</v>
      </c>
      <c r="E4559">
        <v>66</v>
      </c>
      <c r="F4559">
        <v>59</v>
      </c>
      <c r="G4559" t="s">
        <v>4798</v>
      </c>
      <c r="H4559" t="s">
        <v>4804</v>
      </c>
      <c r="I4559">
        <v>13.99</v>
      </c>
      <c r="J4559">
        <v>1</v>
      </c>
      <c r="K4559">
        <v>2.2000000000000002</v>
      </c>
      <c r="L4559">
        <v>0</v>
      </c>
      <c r="M4559" t="s">
        <v>4811</v>
      </c>
      <c r="N4559" t="s">
        <v>4900</v>
      </c>
      <c r="O4559" t="s">
        <v>4912</v>
      </c>
    </row>
    <row r="4560" spans="1:15" x14ac:dyDescent="0.35">
      <c r="A4560" t="s">
        <v>4494</v>
      </c>
      <c r="B4560">
        <v>49</v>
      </c>
      <c r="C4560" t="s">
        <v>4803</v>
      </c>
      <c r="D4560" t="s">
        <v>15</v>
      </c>
      <c r="E4560">
        <v>120</v>
      </c>
      <c r="F4560">
        <v>34</v>
      </c>
      <c r="G4560" t="s">
        <v>4799</v>
      </c>
      <c r="H4560" t="s">
        <v>4806</v>
      </c>
      <c r="I4560">
        <v>17.989999999999998</v>
      </c>
      <c r="J4560">
        <v>3</v>
      </c>
      <c r="K4560">
        <v>2.0299999999999998</v>
      </c>
      <c r="L4560">
        <v>0</v>
      </c>
      <c r="M4560" t="s">
        <v>4812</v>
      </c>
      <c r="N4560" t="s">
        <v>4900</v>
      </c>
      <c r="O4560" t="s">
        <v>4910</v>
      </c>
    </row>
    <row r="4561" spans="1:15" x14ac:dyDescent="0.35">
      <c r="A4561" t="s">
        <v>4495</v>
      </c>
      <c r="B4561">
        <v>56</v>
      </c>
      <c r="C4561" t="s">
        <v>4802</v>
      </c>
      <c r="D4561" t="s">
        <v>13</v>
      </c>
      <c r="E4561">
        <v>72</v>
      </c>
      <c r="F4561">
        <v>50</v>
      </c>
      <c r="G4561" t="s">
        <v>4798</v>
      </c>
      <c r="H4561" t="s">
        <v>4807</v>
      </c>
      <c r="I4561">
        <v>13.99</v>
      </c>
      <c r="J4561">
        <v>3</v>
      </c>
      <c r="K4561">
        <v>2.4</v>
      </c>
      <c r="L4561">
        <v>0</v>
      </c>
      <c r="M4561" t="s">
        <v>4808</v>
      </c>
      <c r="N4561" t="s">
        <v>4900</v>
      </c>
      <c r="O4561" t="s">
        <v>4911</v>
      </c>
    </row>
    <row r="4562" spans="1:15" x14ac:dyDescent="0.35">
      <c r="A4562" t="s">
        <v>4496</v>
      </c>
      <c r="B4562">
        <v>44</v>
      </c>
      <c r="C4562" t="s">
        <v>4802</v>
      </c>
      <c r="D4562" t="s">
        <v>13</v>
      </c>
      <c r="E4562">
        <v>58</v>
      </c>
      <c r="F4562">
        <v>30</v>
      </c>
      <c r="G4562" t="s">
        <v>4798</v>
      </c>
      <c r="H4562" t="s">
        <v>4805</v>
      </c>
      <c r="I4562">
        <v>13.99</v>
      </c>
      <c r="J4562">
        <v>3</v>
      </c>
      <c r="K4562">
        <v>1.93</v>
      </c>
      <c r="L4562">
        <v>0</v>
      </c>
      <c r="M4562" t="s">
        <v>4810</v>
      </c>
      <c r="N4562" t="s">
        <v>4900</v>
      </c>
      <c r="O4562" t="s">
        <v>4910</v>
      </c>
    </row>
    <row r="4563" spans="1:15" x14ac:dyDescent="0.35">
      <c r="A4563" t="s">
        <v>4497</v>
      </c>
      <c r="B4563">
        <v>62</v>
      </c>
      <c r="C4563" t="s">
        <v>4803</v>
      </c>
      <c r="D4563" t="s">
        <v>15</v>
      </c>
      <c r="E4563">
        <v>90</v>
      </c>
      <c r="F4563">
        <v>58</v>
      </c>
      <c r="G4563" t="s">
        <v>4798</v>
      </c>
      <c r="H4563" t="s">
        <v>4804</v>
      </c>
      <c r="I4563">
        <v>17.989999999999998</v>
      </c>
      <c r="J4563">
        <v>5</v>
      </c>
      <c r="K4563">
        <v>3</v>
      </c>
      <c r="L4563">
        <v>0</v>
      </c>
      <c r="M4563" t="s">
        <v>4811</v>
      </c>
      <c r="N4563" t="s">
        <v>4900</v>
      </c>
      <c r="O4563" t="s">
        <v>4911</v>
      </c>
    </row>
    <row r="4564" spans="1:15" x14ac:dyDescent="0.35">
      <c r="A4564" t="s">
        <v>4498</v>
      </c>
      <c r="B4564">
        <v>51</v>
      </c>
      <c r="C4564" t="s">
        <v>4803</v>
      </c>
      <c r="D4564" t="s">
        <v>13</v>
      </c>
      <c r="E4564">
        <v>78</v>
      </c>
      <c r="F4564">
        <v>43</v>
      </c>
      <c r="G4564" t="s">
        <v>4798</v>
      </c>
      <c r="H4564" t="s">
        <v>4805</v>
      </c>
      <c r="I4564">
        <v>13.99</v>
      </c>
      <c r="J4564">
        <v>1</v>
      </c>
      <c r="K4564">
        <v>2.6</v>
      </c>
      <c r="L4564">
        <v>0</v>
      </c>
      <c r="M4564" t="s">
        <v>4810</v>
      </c>
      <c r="N4564" t="s">
        <v>4900</v>
      </c>
      <c r="O4564" t="s">
        <v>4910</v>
      </c>
    </row>
    <row r="4565" spans="1:15" x14ac:dyDescent="0.35">
      <c r="A4565" t="s">
        <v>4499</v>
      </c>
      <c r="B4565">
        <v>56</v>
      </c>
      <c r="C4565" t="s">
        <v>4802</v>
      </c>
      <c r="D4565" t="s">
        <v>13</v>
      </c>
      <c r="E4565">
        <v>68</v>
      </c>
      <c r="F4565">
        <v>11</v>
      </c>
      <c r="G4565" t="s">
        <v>4797</v>
      </c>
      <c r="H4565" t="s">
        <v>4805</v>
      </c>
      <c r="I4565">
        <v>13.99</v>
      </c>
      <c r="J4565">
        <v>2</v>
      </c>
      <c r="K4565">
        <v>2.27</v>
      </c>
      <c r="L4565">
        <v>0</v>
      </c>
      <c r="M4565" t="s">
        <v>4810</v>
      </c>
      <c r="N4565" t="s">
        <v>4900</v>
      </c>
      <c r="O4565" t="s">
        <v>4911</v>
      </c>
    </row>
    <row r="4566" spans="1:15" x14ac:dyDescent="0.35">
      <c r="A4566" t="s">
        <v>4500</v>
      </c>
      <c r="B4566">
        <v>47</v>
      </c>
      <c r="C4566" t="s">
        <v>4802</v>
      </c>
      <c r="D4566" t="s">
        <v>13</v>
      </c>
      <c r="E4566">
        <v>71</v>
      </c>
      <c r="F4566">
        <v>5</v>
      </c>
      <c r="G4566" t="s">
        <v>4798</v>
      </c>
      <c r="H4566" t="s">
        <v>4804</v>
      </c>
      <c r="I4566">
        <v>13.99</v>
      </c>
      <c r="J4566">
        <v>1</v>
      </c>
      <c r="K4566">
        <v>2.37</v>
      </c>
      <c r="L4566">
        <v>0</v>
      </c>
      <c r="M4566" t="s">
        <v>4811</v>
      </c>
      <c r="N4566" t="s">
        <v>4900</v>
      </c>
      <c r="O4566" t="s">
        <v>4910</v>
      </c>
    </row>
    <row r="4567" spans="1:15" x14ac:dyDescent="0.35">
      <c r="A4567" t="s">
        <v>4501</v>
      </c>
      <c r="B4567">
        <v>40</v>
      </c>
      <c r="C4567" t="s">
        <v>4802</v>
      </c>
      <c r="D4567" t="s">
        <v>13</v>
      </c>
      <c r="E4567">
        <v>54</v>
      </c>
      <c r="F4567">
        <v>36</v>
      </c>
      <c r="G4567" t="s">
        <v>4801</v>
      </c>
      <c r="H4567" t="s">
        <v>4805</v>
      </c>
      <c r="I4567">
        <v>13.99</v>
      </c>
      <c r="J4567">
        <v>3</v>
      </c>
      <c r="K4567">
        <v>1.8</v>
      </c>
      <c r="L4567">
        <v>0</v>
      </c>
      <c r="M4567" t="s">
        <v>4812</v>
      </c>
      <c r="N4567" t="s">
        <v>4900</v>
      </c>
      <c r="O4567" t="s">
        <v>4910</v>
      </c>
    </row>
    <row r="4568" spans="1:15" x14ac:dyDescent="0.35">
      <c r="A4568" t="s">
        <v>4502</v>
      </c>
      <c r="B4568">
        <v>53</v>
      </c>
      <c r="C4568" t="s">
        <v>4802</v>
      </c>
      <c r="D4568" t="s">
        <v>13</v>
      </c>
      <c r="E4568">
        <v>79</v>
      </c>
      <c r="F4568">
        <v>46</v>
      </c>
      <c r="G4568" t="s">
        <v>4797</v>
      </c>
      <c r="H4568" t="s">
        <v>4805</v>
      </c>
      <c r="I4568">
        <v>13.99</v>
      </c>
      <c r="J4568">
        <v>4</v>
      </c>
      <c r="K4568">
        <v>2.63</v>
      </c>
      <c r="L4568">
        <v>0</v>
      </c>
      <c r="M4568" t="s">
        <v>4809</v>
      </c>
      <c r="N4568" t="s">
        <v>4900</v>
      </c>
      <c r="O4568" t="s">
        <v>4910</v>
      </c>
    </row>
    <row r="4569" spans="1:15" x14ac:dyDescent="0.35">
      <c r="A4569" t="s">
        <v>4503</v>
      </c>
      <c r="B4569">
        <v>31</v>
      </c>
      <c r="C4569" t="s">
        <v>4802</v>
      </c>
      <c r="D4569" t="s">
        <v>15</v>
      </c>
      <c r="E4569">
        <v>77</v>
      </c>
      <c r="F4569">
        <v>25</v>
      </c>
      <c r="G4569" t="s">
        <v>4797</v>
      </c>
      <c r="H4569" t="s">
        <v>4804</v>
      </c>
      <c r="I4569">
        <v>17.989999999999998</v>
      </c>
      <c r="J4569">
        <v>4</v>
      </c>
      <c r="K4569">
        <v>2.57</v>
      </c>
      <c r="L4569">
        <v>0</v>
      </c>
      <c r="M4569" t="s">
        <v>4810</v>
      </c>
      <c r="N4569" t="s">
        <v>4900</v>
      </c>
      <c r="O4569" t="s">
        <v>4912</v>
      </c>
    </row>
    <row r="4570" spans="1:15" x14ac:dyDescent="0.35">
      <c r="A4570" t="s">
        <v>4504</v>
      </c>
      <c r="B4570">
        <v>62</v>
      </c>
      <c r="C4570" t="s">
        <v>4802</v>
      </c>
      <c r="D4570" t="s">
        <v>15</v>
      </c>
      <c r="E4570">
        <v>63</v>
      </c>
      <c r="F4570">
        <v>43</v>
      </c>
      <c r="G4570" t="s">
        <v>4797</v>
      </c>
      <c r="H4570" t="s">
        <v>4806</v>
      </c>
      <c r="I4570">
        <v>17.989999999999998</v>
      </c>
      <c r="J4570">
        <v>2</v>
      </c>
      <c r="K4570">
        <v>2.1</v>
      </c>
      <c r="L4570">
        <v>1</v>
      </c>
      <c r="M4570" t="s">
        <v>4809</v>
      </c>
      <c r="N4570" t="s">
        <v>4899</v>
      </c>
      <c r="O4570" t="s">
        <v>4911</v>
      </c>
    </row>
    <row r="4571" spans="1:15" x14ac:dyDescent="0.35">
      <c r="A4571" t="s">
        <v>4505</v>
      </c>
      <c r="B4571">
        <v>39</v>
      </c>
      <c r="C4571" t="s">
        <v>4803</v>
      </c>
      <c r="D4571" t="s">
        <v>13</v>
      </c>
      <c r="E4571">
        <v>32</v>
      </c>
      <c r="F4571">
        <v>45</v>
      </c>
      <c r="G4571" t="s">
        <v>4800</v>
      </c>
      <c r="H4571" t="s">
        <v>4805</v>
      </c>
      <c r="I4571">
        <v>13.99</v>
      </c>
      <c r="J4571">
        <v>3</v>
      </c>
      <c r="K4571">
        <v>1.07</v>
      </c>
      <c r="L4571">
        <v>0</v>
      </c>
      <c r="M4571" t="s">
        <v>4810</v>
      </c>
      <c r="N4571" t="s">
        <v>4900</v>
      </c>
      <c r="O4571" t="s">
        <v>4910</v>
      </c>
    </row>
    <row r="4572" spans="1:15" x14ac:dyDescent="0.35">
      <c r="A4572" t="s">
        <v>4506</v>
      </c>
      <c r="B4572">
        <v>25</v>
      </c>
      <c r="C4572" t="s">
        <v>4803</v>
      </c>
      <c r="D4572" t="s">
        <v>13</v>
      </c>
      <c r="E4572">
        <v>75</v>
      </c>
      <c r="F4572">
        <v>57</v>
      </c>
      <c r="G4572" t="s">
        <v>4798</v>
      </c>
      <c r="H4572" t="s">
        <v>4804</v>
      </c>
      <c r="I4572">
        <v>13.99</v>
      </c>
      <c r="J4572">
        <v>4</v>
      </c>
      <c r="K4572">
        <v>2.5</v>
      </c>
      <c r="L4572">
        <v>0</v>
      </c>
      <c r="M4572" t="s">
        <v>4810</v>
      </c>
      <c r="N4572" t="s">
        <v>4900</v>
      </c>
      <c r="O4572" t="s">
        <v>4912</v>
      </c>
    </row>
    <row r="4573" spans="1:15" x14ac:dyDescent="0.35">
      <c r="A4573" t="s">
        <v>4507</v>
      </c>
      <c r="B4573">
        <v>23</v>
      </c>
      <c r="C4573" t="s">
        <v>4803</v>
      </c>
      <c r="D4573" t="s">
        <v>13</v>
      </c>
      <c r="E4573">
        <v>76</v>
      </c>
      <c r="F4573">
        <v>16</v>
      </c>
      <c r="G4573" t="s">
        <v>4800</v>
      </c>
      <c r="H4573" t="s">
        <v>4805</v>
      </c>
      <c r="I4573">
        <v>13.99</v>
      </c>
      <c r="J4573">
        <v>2</v>
      </c>
      <c r="K4573">
        <v>2.5299999999999998</v>
      </c>
      <c r="L4573">
        <v>0</v>
      </c>
      <c r="M4573" t="s">
        <v>4812</v>
      </c>
      <c r="N4573" t="s">
        <v>4900</v>
      </c>
      <c r="O4573" t="s">
        <v>4912</v>
      </c>
    </row>
    <row r="4574" spans="1:15" x14ac:dyDescent="0.35">
      <c r="A4574" t="s">
        <v>4508</v>
      </c>
      <c r="B4574">
        <v>19</v>
      </c>
      <c r="C4574" t="s">
        <v>4803</v>
      </c>
      <c r="D4574" t="s">
        <v>15</v>
      </c>
      <c r="E4574">
        <v>67</v>
      </c>
      <c r="F4574">
        <v>12</v>
      </c>
      <c r="G4574" t="s">
        <v>4798</v>
      </c>
      <c r="H4574" t="s">
        <v>4804</v>
      </c>
      <c r="I4574">
        <v>17.989999999999998</v>
      </c>
      <c r="J4574">
        <v>5</v>
      </c>
      <c r="K4574">
        <v>2.23</v>
      </c>
      <c r="L4574">
        <v>0</v>
      </c>
      <c r="M4574" t="s">
        <v>4812</v>
      </c>
      <c r="N4574" t="s">
        <v>4900</v>
      </c>
      <c r="O4574" t="s">
        <v>4912</v>
      </c>
    </row>
    <row r="4575" spans="1:15" x14ac:dyDescent="0.35">
      <c r="A4575" t="s">
        <v>4509</v>
      </c>
      <c r="B4575">
        <v>63</v>
      </c>
      <c r="C4575" t="s">
        <v>4803</v>
      </c>
      <c r="D4575" t="s">
        <v>13</v>
      </c>
      <c r="E4575">
        <v>69</v>
      </c>
      <c r="F4575">
        <v>10</v>
      </c>
      <c r="G4575" t="s">
        <v>4798</v>
      </c>
      <c r="H4575" t="s">
        <v>4805</v>
      </c>
      <c r="I4575">
        <v>13.99</v>
      </c>
      <c r="J4575">
        <v>1</v>
      </c>
      <c r="K4575">
        <v>2.2999999999999998</v>
      </c>
      <c r="L4575">
        <v>0</v>
      </c>
      <c r="M4575" t="s">
        <v>4811</v>
      </c>
      <c r="N4575" t="s">
        <v>4900</v>
      </c>
      <c r="O4575" t="s">
        <v>4911</v>
      </c>
    </row>
    <row r="4576" spans="1:15" x14ac:dyDescent="0.35">
      <c r="A4576" t="s">
        <v>4510</v>
      </c>
      <c r="B4576">
        <v>50</v>
      </c>
      <c r="C4576" t="s">
        <v>4802</v>
      </c>
      <c r="D4576" t="s">
        <v>13</v>
      </c>
      <c r="E4576">
        <v>37</v>
      </c>
      <c r="F4576">
        <v>2</v>
      </c>
      <c r="G4576" t="s">
        <v>4799</v>
      </c>
      <c r="H4576" t="s">
        <v>4806</v>
      </c>
      <c r="I4576">
        <v>13.99</v>
      </c>
      <c r="J4576">
        <v>3</v>
      </c>
      <c r="K4576">
        <v>1.23</v>
      </c>
      <c r="L4576">
        <v>0</v>
      </c>
      <c r="M4576" t="s">
        <v>4811</v>
      </c>
      <c r="N4576" t="s">
        <v>4900</v>
      </c>
      <c r="O4576" t="s">
        <v>4910</v>
      </c>
    </row>
    <row r="4577" spans="1:15" x14ac:dyDescent="0.35">
      <c r="A4577" t="s">
        <v>4511</v>
      </c>
      <c r="B4577">
        <v>44</v>
      </c>
      <c r="C4577" t="s">
        <v>4803</v>
      </c>
      <c r="D4577" t="s">
        <v>14</v>
      </c>
      <c r="E4577">
        <v>14</v>
      </c>
      <c r="F4577">
        <v>33</v>
      </c>
      <c r="G4577" t="s">
        <v>4797</v>
      </c>
      <c r="H4577" t="s">
        <v>4805</v>
      </c>
      <c r="I4577">
        <v>8.99</v>
      </c>
      <c r="J4577">
        <v>1</v>
      </c>
      <c r="K4577">
        <v>0.47</v>
      </c>
      <c r="L4577">
        <v>1</v>
      </c>
      <c r="M4577" t="s">
        <v>4811</v>
      </c>
      <c r="N4577" t="s">
        <v>4899</v>
      </c>
      <c r="O4577" t="s">
        <v>4910</v>
      </c>
    </row>
    <row r="4578" spans="1:15" x14ac:dyDescent="0.35">
      <c r="A4578" t="s">
        <v>4512</v>
      </c>
      <c r="B4578">
        <v>43</v>
      </c>
      <c r="C4578" t="s">
        <v>4803</v>
      </c>
      <c r="D4578" t="s">
        <v>13</v>
      </c>
      <c r="E4578">
        <v>56</v>
      </c>
      <c r="F4578">
        <v>2</v>
      </c>
      <c r="G4578" t="s">
        <v>4800</v>
      </c>
      <c r="H4578" t="s">
        <v>4805</v>
      </c>
      <c r="I4578">
        <v>13.99</v>
      </c>
      <c r="J4578">
        <v>4</v>
      </c>
      <c r="K4578">
        <v>1.87</v>
      </c>
      <c r="L4578">
        <v>0</v>
      </c>
      <c r="M4578" t="s">
        <v>4812</v>
      </c>
      <c r="N4578" t="s">
        <v>4900</v>
      </c>
      <c r="O4578" t="s">
        <v>4910</v>
      </c>
    </row>
    <row r="4579" spans="1:15" x14ac:dyDescent="0.35">
      <c r="A4579" t="s">
        <v>4513</v>
      </c>
      <c r="B4579">
        <v>24</v>
      </c>
      <c r="C4579" t="s">
        <v>4802</v>
      </c>
      <c r="D4579" t="s">
        <v>13</v>
      </c>
      <c r="E4579">
        <v>50</v>
      </c>
      <c r="F4579">
        <v>38</v>
      </c>
      <c r="G4579" t="s">
        <v>4800</v>
      </c>
      <c r="H4579" t="s">
        <v>4804</v>
      </c>
      <c r="I4579">
        <v>13.99</v>
      </c>
      <c r="J4579">
        <v>4</v>
      </c>
      <c r="K4579">
        <v>1.67</v>
      </c>
      <c r="L4579">
        <v>0</v>
      </c>
      <c r="M4579" t="s">
        <v>4811</v>
      </c>
      <c r="N4579" t="s">
        <v>4900</v>
      </c>
      <c r="O4579" t="s">
        <v>4912</v>
      </c>
    </row>
    <row r="4580" spans="1:15" x14ac:dyDescent="0.35">
      <c r="A4580" t="s">
        <v>4514</v>
      </c>
      <c r="B4580">
        <v>33</v>
      </c>
      <c r="C4580" t="s">
        <v>4803</v>
      </c>
      <c r="D4580" t="s">
        <v>15</v>
      </c>
      <c r="E4580">
        <v>116</v>
      </c>
      <c r="F4580">
        <v>33</v>
      </c>
      <c r="G4580" t="s">
        <v>4798</v>
      </c>
      <c r="H4580" t="s">
        <v>4806</v>
      </c>
      <c r="I4580">
        <v>17.989999999999998</v>
      </c>
      <c r="J4580">
        <v>5</v>
      </c>
      <c r="K4580">
        <v>3.87</v>
      </c>
      <c r="L4580">
        <v>1</v>
      </c>
      <c r="M4580" t="s">
        <v>4812</v>
      </c>
      <c r="N4580" t="s">
        <v>4899</v>
      </c>
      <c r="O4580" t="s">
        <v>4912</v>
      </c>
    </row>
    <row r="4581" spans="1:15" x14ac:dyDescent="0.35">
      <c r="A4581" t="s">
        <v>4515</v>
      </c>
      <c r="B4581">
        <v>41</v>
      </c>
      <c r="C4581" t="s">
        <v>4803</v>
      </c>
      <c r="D4581" t="s">
        <v>13</v>
      </c>
      <c r="E4581">
        <v>49</v>
      </c>
      <c r="F4581">
        <v>999</v>
      </c>
      <c r="G4581" t="s">
        <v>4798</v>
      </c>
      <c r="H4581" t="s">
        <v>4805</v>
      </c>
      <c r="I4581">
        <v>13.99</v>
      </c>
      <c r="J4581">
        <v>4</v>
      </c>
      <c r="K4581">
        <v>1.63</v>
      </c>
      <c r="L4581">
        <v>0</v>
      </c>
      <c r="M4581" t="s">
        <v>4810</v>
      </c>
      <c r="N4581" t="s">
        <v>4900</v>
      </c>
      <c r="O4581" t="s">
        <v>4910</v>
      </c>
    </row>
    <row r="4582" spans="1:15" x14ac:dyDescent="0.35">
      <c r="A4582" t="s">
        <v>4516</v>
      </c>
      <c r="B4582">
        <v>31</v>
      </c>
      <c r="C4582" t="s">
        <v>4803</v>
      </c>
      <c r="D4582" t="s">
        <v>15</v>
      </c>
      <c r="E4582">
        <v>54</v>
      </c>
      <c r="F4582">
        <v>16</v>
      </c>
      <c r="G4582" t="s">
        <v>4798</v>
      </c>
      <c r="H4582" t="s">
        <v>4804</v>
      </c>
      <c r="I4582">
        <v>17.989999999999998</v>
      </c>
      <c r="J4582">
        <v>4</v>
      </c>
      <c r="K4582">
        <v>1.8</v>
      </c>
      <c r="L4582">
        <v>0</v>
      </c>
      <c r="M4582" t="s">
        <v>4812</v>
      </c>
      <c r="N4582" t="s">
        <v>4900</v>
      </c>
      <c r="O4582" t="s">
        <v>4912</v>
      </c>
    </row>
    <row r="4583" spans="1:15" x14ac:dyDescent="0.35">
      <c r="A4583" t="s">
        <v>4517</v>
      </c>
      <c r="B4583">
        <v>41</v>
      </c>
      <c r="C4583" t="s">
        <v>4803</v>
      </c>
      <c r="D4583" t="s">
        <v>15</v>
      </c>
      <c r="E4583">
        <v>88</v>
      </c>
      <c r="F4583">
        <v>45</v>
      </c>
      <c r="G4583" t="s">
        <v>4797</v>
      </c>
      <c r="H4583" t="s">
        <v>4805</v>
      </c>
      <c r="I4583">
        <v>17.989999999999998</v>
      </c>
      <c r="J4583">
        <v>3</v>
      </c>
      <c r="K4583">
        <v>2.93</v>
      </c>
      <c r="L4583">
        <v>0</v>
      </c>
      <c r="M4583" t="s">
        <v>4809</v>
      </c>
      <c r="N4583" t="s">
        <v>4900</v>
      </c>
      <c r="O4583" t="s">
        <v>4910</v>
      </c>
    </row>
    <row r="4584" spans="1:15" x14ac:dyDescent="0.35">
      <c r="A4584" t="s">
        <v>4518</v>
      </c>
      <c r="B4584">
        <v>63</v>
      </c>
      <c r="C4584" t="s">
        <v>4803</v>
      </c>
      <c r="D4584" t="s">
        <v>14</v>
      </c>
      <c r="E4584">
        <v>60</v>
      </c>
      <c r="F4584">
        <v>42</v>
      </c>
      <c r="G4584" t="s">
        <v>4801</v>
      </c>
      <c r="H4584" t="s">
        <v>4806</v>
      </c>
      <c r="I4584">
        <v>8.99</v>
      </c>
      <c r="J4584">
        <v>3</v>
      </c>
      <c r="K4584">
        <v>2</v>
      </c>
      <c r="L4584">
        <v>0</v>
      </c>
      <c r="M4584" t="s">
        <v>4811</v>
      </c>
      <c r="N4584" t="s">
        <v>4900</v>
      </c>
      <c r="O4584" t="s">
        <v>4911</v>
      </c>
    </row>
    <row r="4585" spans="1:15" x14ac:dyDescent="0.35">
      <c r="A4585" t="s">
        <v>4519</v>
      </c>
      <c r="B4585">
        <v>49</v>
      </c>
      <c r="C4585" t="s">
        <v>4802</v>
      </c>
      <c r="D4585" t="s">
        <v>13</v>
      </c>
      <c r="E4585">
        <v>39</v>
      </c>
      <c r="F4585">
        <v>21</v>
      </c>
      <c r="G4585" t="s">
        <v>4797</v>
      </c>
      <c r="H4585" t="s">
        <v>4805</v>
      </c>
      <c r="I4585">
        <v>13.99</v>
      </c>
      <c r="J4585">
        <v>1</v>
      </c>
      <c r="K4585">
        <v>1.3</v>
      </c>
      <c r="L4585">
        <v>0</v>
      </c>
      <c r="M4585" t="s">
        <v>4810</v>
      </c>
      <c r="N4585" t="s">
        <v>4900</v>
      </c>
      <c r="O4585" t="s">
        <v>4910</v>
      </c>
    </row>
    <row r="4586" spans="1:15" x14ac:dyDescent="0.35">
      <c r="A4586" t="s">
        <v>4520</v>
      </c>
      <c r="B4586">
        <v>51</v>
      </c>
      <c r="C4586" t="s">
        <v>4803</v>
      </c>
      <c r="D4586" t="s">
        <v>13</v>
      </c>
      <c r="E4586">
        <v>53</v>
      </c>
      <c r="F4586">
        <v>60</v>
      </c>
      <c r="G4586" t="s">
        <v>4798</v>
      </c>
      <c r="H4586" t="s">
        <v>4804</v>
      </c>
      <c r="I4586">
        <v>13.99</v>
      </c>
      <c r="J4586">
        <v>4</v>
      </c>
      <c r="K4586">
        <v>1.77</v>
      </c>
      <c r="L4586">
        <v>1</v>
      </c>
      <c r="M4586" t="s">
        <v>4808</v>
      </c>
      <c r="N4586" t="s">
        <v>4899</v>
      </c>
      <c r="O4586" t="s">
        <v>4910</v>
      </c>
    </row>
    <row r="4587" spans="1:15" x14ac:dyDescent="0.35">
      <c r="A4587" t="s">
        <v>4521</v>
      </c>
      <c r="B4587">
        <v>55</v>
      </c>
      <c r="C4587" t="s">
        <v>4803</v>
      </c>
      <c r="D4587" t="s">
        <v>15</v>
      </c>
      <c r="E4587">
        <v>68</v>
      </c>
      <c r="F4587">
        <v>50</v>
      </c>
      <c r="G4587" t="s">
        <v>4798</v>
      </c>
      <c r="H4587" t="s">
        <v>4804</v>
      </c>
      <c r="I4587">
        <v>17.989999999999998</v>
      </c>
      <c r="J4587">
        <v>2</v>
      </c>
      <c r="K4587">
        <v>2.27</v>
      </c>
      <c r="L4587">
        <v>0</v>
      </c>
      <c r="M4587" t="s">
        <v>4811</v>
      </c>
      <c r="N4587" t="s">
        <v>4900</v>
      </c>
      <c r="O4587" t="s">
        <v>4911</v>
      </c>
    </row>
    <row r="4588" spans="1:15" x14ac:dyDescent="0.35">
      <c r="A4588" t="s">
        <v>4522</v>
      </c>
      <c r="B4588">
        <v>46</v>
      </c>
      <c r="C4588" t="s">
        <v>4802</v>
      </c>
      <c r="D4588" t="s">
        <v>15</v>
      </c>
      <c r="E4588">
        <v>73</v>
      </c>
      <c r="F4588">
        <v>1</v>
      </c>
      <c r="G4588" t="s">
        <v>4798</v>
      </c>
      <c r="H4588" t="s">
        <v>4806</v>
      </c>
      <c r="I4588">
        <v>17.989999999999998</v>
      </c>
      <c r="J4588">
        <v>2</v>
      </c>
      <c r="K4588">
        <v>2.4300000000000002</v>
      </c>
      <c r="L4588">
        <v>0</v>
      </c>
      <c r="M4588" t="s">
        <v>4810</v>
      </c>
      <c r="N4588" t="s">
        <v>4900</v>
      </c>
      <c r="O4588" t="s">
        <v>4910</v>
      </c>
    </row>
    <row r="4589" spans="1:15" x14ac:dyDescent="0.35">
      <c r="A4589" t="s">
        <v>4523</v>
      </c>
      <c r="B4589">
        <v>27</v>
      </c>
      <c r="C4589" t="s">
        <v>4802</v>
      </c>
      <c r="D4589" t="s">
        <v>15</v>
      </c>
      <c r="E4589">
        <v>110</v>
      </c>
      <c r="F4589">
        <v>7</v>
      </c>
      <c r="G4589" t="s">
        <v>4798</v>
      </c>
      <c r="H4589" t="s">
        <v>4805</v>
      </c>
      <c r="I4589">
        <v>17.989999999999998</v>
      </c>
      <c r="J4589">
        <v>5</v>
      </c>
      <c r="K4589">
        <v>3.67</v>
      </c>
      <c r="L4589">
        <v>0</v>
      </c>
      <c r="M4589" t="s">
        <v>4810</v>
      </c>
      <c r="N4589" t="s">
        <v>4900</v>
      </c>
      <c r="O4589" t="s">
        <v>4912</v>
      </c>
    </row>
    <row r="4590" spans="1:15" x14ac:dyDescent="0.35">
      <c r="A4590" t="s">
        <v>4524</v>
      </c>
      <c r="B4590">
        <v>65</v>
      </c>
      <c r="C4590" t="s">
        <v>4803</v>
      </c>
      <c r="D4590" t="s">
        <v>13</v>
      </c>
      <c r="E4590">
        <v>42</v>
      </c>
      <c r="F4590">
        <v>999</v>
      </c>
      <c r="G4590" t="s">
        <v>4797</v>
      </c>
      <c r="H4590" t="s">
        <v>4805</v>
      </c>
      <c r="I4590">
        <v>13.99</v>
      </c>
      <c r="J4590">
        <v>2</v>
      </c>
      <c r="K4590">
        <v>1.4</v>
      </c>
      <c r="L4590">
        <v>0</v>
      </c>
      <c r="M4590" t="s">
        <v>4810</v>
      </c>
      <c r="N4590" t="s">
        <v>4900</v>
      </c>
      <c r="O4590" t="s">
        <v>4911</v>
      </c>
    </row>
    <row r="4591" spans="1:15" x14ac:dyDescent="0.35">
      <c r="A4591" t="s">
        <v>4525</v>
      </c>
      <c r="B4591">
        <v>62</v>
      </c>
      <c r="C4591" t="s">
        <v>4802</v>
      </c>
      <c r="D4591" t="s">
        <v>13</v>
      </c>
      <c r="E4591">
        <v>66</v>
      </c>
      <c r="F4591">
        <v>29</v>
      </c>
      <c r="G4591" t="s">
        <v>4798</v>
      </c>
      <c r="H4591" t="s">
        <v>4805</v>
      </c>
      <c r="I4591">
        <v>13.99</v>
      </c>
      <c r="J4591">
        <v>3</v>
      </c>
      <c r="K4591">
        <v>2.2000000000000002</v>
      </c>
      <c r="L4591">
        <v>0</v>
      </c>
      <c r="M4591" t="s">
        <v>4811</v>
      </c>
      <c r="N4591" t="s">
        <v>4900</v>
      </c>
      <c r="O4591" t="s">
        <v>4911</v>
      </c>
    </row>
    <row r="4592" spans="1:15" x14ac:dyDescent="0.35">
      <c r="A4592" t="s">
        <v>4526</v>
      </c>
      <c r="B4592">
        <v>19</v>
      </c>
      <c r="C4592" t="s">
        <v>4802</v>
      </c>
      <c r="D4592" t="s">
        <v>13</v>
      </c>
      <c r="E4592">
        <v>43</v>
      </c>
      <c r="F4592">
        <v>48</v>
      </c>
      <c r="G4592" t="s">
        <v>4797</v>
      </c>
      <c r="H4592" t="s">
        <v>4805</v>
      </c>
      <c r="I4592">
        <v>13.99</v>
      </c>
      <c r="J4592">
        <v>1</v>
      </c>
      <c r="K4592">
        <v>2.0299999999999998</v>
      </c>
      <c r="L4592">
        <v>0</v>
      </c>
      <c r="M4592" t="s">
        <v>4808</v>
      </c>
      <c r="N4592" t="s">
        <v>4900</v>
      </c>
      <c r="O4592" t="s">
        <v>4912</v>
      </c>
    </row>
    <row r="4593" spans="1:15" x14ac:dyDescent="0.35">
      <c r="A4593" t="s">
        <v>4527</v>
      </c>
      <c r="B4593">
        <v>19</v>
      </c>
      <c r="C4593" t="s">
        <v>4803</v>
      </c>
      <c r="D4593" t="s">
        <v>14</v>
      </c>
      <c r="E4593">
        <v>52</v>
      </c>
      <c r="F4593">
        <v>59</v>
      </c>
      <c r="G4593" t="s">
        <v>4799</v>
      </c>
      <c r="H4593" t="s">
        <v>4804</v>
      </c>
      <c r="I4593">
        <v>8.99</v>
      </c>
      <c r="J4593">
        <v>1</v>
      </c>
      <c r="K4593">
        <v>1.73</v>
      </c>
      <c r="L4593">
        <v>0</v>
      </c>
      <c r="M4593" t="s">
        <v>4811</v>
      </c>
      <c r="N4593" t="s">
        <v>4900</v>
      </c>
      <c r="O4593" t="s">
        <v>4912</v>
      </c>
    </row>
    <row r="4594" spans="1:15" x14ac:dyDescent="0.35">
      <c r="A4594" t="s">
        <v>4528</v>
      </c>
      <c r="B4594">
        <v>31</v>
      </c>
      <c r="C4594" t="s">
        <v>4802</v>
      </c>
      <c r="D4594" t="s">
        <v>13</v>
      </c>
      <c r="E4594">
        <v>70</v>
      </c>
      <c r="F4594">
        <v>26</v>
      </c>
      <c r="G4594" t="s">
        <v>4798</v>
      </c>
      <c r="H4594" t="s">
        <v>4805</v>
      </c>
      <c r="I4594">
        <v>13.99</v>
      </c>
      <c r="J4594">
        <v>2</v>
      </c>
      <c r="K4594">
        <v>2.33</v>
      </c>
      <c r="L4594">
        <v>1</v>
      </c>
      <c r="M4594" t="s">
        <v>4812</v>
      </c>
      <c r="N4594" t="s">
        <v>4899</v>
      </c>
      <c r="O4594" t="s">
        <v>4912</v>
      </c>
    </row>
    <row r="4595" spans="1:15" x14ac:dyDescent="0.35">
      <c r="A4595" t="s">
        <v>4529</v>
      </c>
      <c r="B4595">
        <v>59</v>
      </c>
      <c r="C4595" t="s">
        <v>4803</v>
      </c>
      <c r="D4595" t="s">
        <v>13</v>
      </c>
      <c r="E4595">
        <v>38</v>
      </c>
      <c r="F4595">
        <v>15</v>
      </c>
      <c r="G4595" t="s">
        <v>4797</v>
      </c>
      <c r="H4595" t="s">
        <v>4804</v>
      </c>
      <c r="I4595">
        <v>13.99</v>
      </c>
      <c r="J4595">
        <v>2</v>
      </c>
      <c r="K4595">
        <v>1.27</v>
      </c>
      <c r="L4595">
        <v>0</v>
      </c>
      <c r="M4595" t="s">
        <v>4812</v>
      </c>
      <c r="N4595" t="s">
        <v>4900</v>
      </c>
      <c r="O4595" t="s">
        <v>4911</v>
      </c>
    </row>
    <row r="4596" spans="1:15" x14ac:dyDescent="0.35">
      <c r="A4596" t="s">
        <v>4530</v>
      </c>
      <c r="B4596">
        <v>44</v>
      </c>
      <c r="C4596" t="s">
        <v>4802</v>
      </c>
      <c r="D4596" t="s">
        <v>15</v>
      </c>
      <c r="E4596">
        <v>52</v>
      </c>
      <c r="F4596">
        <v>53</v>
      </c>
      <c r="G4596" t="s">
        <v>4799</v>
      </c>
      <c r="H4596" t="s">
        <v>4805</v>
      </c>
      <c r="I4596">
        <v>17.989999999999998</v>
      </c>
      <c r="J4596">
        <v>2</v>
      </c>
      <c r="K4596">
        <v>2.0299999999999998</v>
      </c>
      <c r="L4596">
        <v>0</v>
      </c>
      <c r="M4596" t="s">
        <v>4812</v>
      </c>
      <c r="N4596" t="s">
        <v>4900</v>
      </c>
      <c r="O4596" t="s">
        <v>4910</v>
      </c>
    </row>
    <row r="4597" spans="1:15" x14ac:dyDescent="0.35">
      <c r="A4597" t="s">
        <v>4531</v>
      </c>
      <c r="B4597">
        <v>20</v>
      </c>
      <c r="C4597" t="s">
        <v>4803</v>
      </c>
      <c r="D4597" t="s">
        <v>13</v>
      </c>
      <c r="E4597">
        <v>64</v>
      </c>
      <c r="F4597">
        <v>37</v>
      </c>
      <c r="G4597" t="s">
        <v>4797</v>
      </c>
      <c r="H4597" t="s">
        <v>4804</v>
      </c>
      <c r="I4597">
        <v>13.99</v>
      </c>
      <c r="J4597">
        <v>2</v>
      </c>
      <c r="K4597">
        <v>2.13</v>
      </c>
      <c r="L4597">
        <v>0</v>
      </c>
      <c r="M4597" t="s">
        <v>4812</v>
      </c>
      <c r="N4597" t="s">
        <v>4900</v>
      </c>
      <c r="O4597" t="s">
        <v>4912</v>
      </c>
    </row>
    <row r="4598" spans="1:15" x14ac:dyDescent="0.35">
      <c r="A4598" t="s">
        <v>4532</v>
      </c>
      <c r="B4598">
        <v>32</v>
      </c>
      <c r="C4598" t="s">
        <v>4803</v>
      </c>
      <c r="D4598" t="s">
        <v>15</v>
      </c>
      <c r="E4598">
        <v>65</v>
      </c>
      <c r="F4598">
        <v>26</v>
      </c>
      <c r="G4598" t="s">
        <v>4797</v>
      </c>
      <c r="H4598" t="s">
        <v>4805</v>
      </c>
      <c r="I4598">
        <v>17.989999999999998</v>
      </c>
      <c r="J4598">
        <v>2</v>
      </c>
      <c r="K4598">
        <v>2.17</v>
      </c>
      <c r="L4598">
        <v>0</v>
      </c>
      <c r="M4598" t="s">
        <v>4810</v>
      </c>
      <c r="N4598" t="s">
        <v>4900</v>
      </c>
      <c r="O4598" t="s">
        <v>4912</v>
      </c>
    </row>
    <row r="4599" spans="1:15" x14ac:dyDescent="0.35">
      <c r="A4599" t="s">
        <v>4533</v>
      </c>
      <c r="B4599">
        <v>47</v>
      </c>
      <c r="C4599" t="s">
        <v>4803</v>
      </c>
      <c r="D4599" t="s">
        <v>13</v>
      </c>
      <c r="E4599">
        <v>57</v>
      </c>
      <c r="F4599">
        <v>5</v>
      </c>
      <c r="G4599" t="s">
        <v>4799</v>
      </c>
      <c r="H4599" t="s">
        <v>4807</v>
      </c>
      <c r="I4599">
        <v>13.99</v>
      </c>
      <c r="J4599">
        <v>1</v>
      </c>
      <c r="K4599">
        <v>1.9</v>
      </c>
      <c r="L4599">
        <v>0</v>
      </c>
      <c r="M4599" t="s">
        <v>4812</v>
      </c>
      <c r="N4599" t="s">
        <v>4900</v>
      </c>
      <c r="O4599" t="s">
        <v>4910</v>
      </c>
    </row>
    <row r="4600" spans="1:15" x14ac:dyDescent="0.35">
      <c r="A4600" t="s">
        <v>4534</v>
      </c>
      <c r="B4600">
        <v>24</v>
      </c>
      <c r="C4600" t="s">
        <v>4803</v>
      </c>
      <c r="D4600" t="s">
        <v>13</v>
      </c>
      <c r="E4600">
        <v>51</v>
      </c>
      <c r="F4600">
        <v>41</v>
      </c>
      <c r="G4600" t="s">
        <v>4798</v>
      </c>
      <c r="H4600" t="s">
        <v>4804</v>
      </c>
      <c r="I4600">
        <v>13.99</v>
      </c>
      <c r="J4600">
        <v>1</v>
      </c>
      <c r="K4600">
        <v>1.7</v>
      </c>
      <c r="L4600">
        <v>1</v>
      </c>
      <c r="M4600" t="s">
        <v>4811</v>
      </c>
      <c r="N4600" t="s">
        <v>4899</v>
      </c>
      <c r="O4600" t="s">
        <v>4912</v>
      </c>
    </row>
    <row r="4601" spans="1:15" x14ac:dyDescent="0.35">
      <c r="A4601" t="s">
        <v>4535</v>
      </c>
      <c r="B4601">
        <v>38</v>
      </c>
      <c r="C4601" t="s">
        <v>4802</v>
      </c>
      <c r="D4601" t="s">
        <v>13</v>
      </c>
      <c r="E4601">
        <v>78</v>
      </c>
      <c r="F4601">
        <v>6</v>
      </c>
      <c r="G4601" t="s">
        <v>4799</v>
      </c>
      <c r="H4601" t="s">
        <v>4805</v>
      </c>
      <c r="I4601">
        <v>13.99</v>
      </c>
      <c r="J4601">
        <v>2</v>
      </c>
      <c r="K4601">
        <v>2.6</v>
      </c>
      <c r="L4601">
        <v>0</v>
      </c>
      <c r="M4601" t="s">
        <v>4808</v>
      </c>
      <c r="N4601" t="s">
        <v>4900</v>
      </c>
      <c r="O4601" t="s">
        <v>4910</v>
      </c>
    </row>
    <row r="4602" spans="1:15" x14ac:dyDescent="0.35">
      <c r="A4602" t="s">
        <v>4536</v>
      </c>
      <c r="B4602">
        <v>36</v>
      </c>
      <c r="C4602" t="s">
        <v>4802</v>
      </c>
      <c r="D4602" t="s">
        <v>13</v>
      </c>
      <c r="E4602">
        <v>37</v>
      </c>
      <c r="F4602">
        <v>999</v>
      </c>
      <c r="G4602" t="s">
        <v>4798</v>
      </c>
      <c r="H4602" t="s">
        <v>4804</v>
      </c>
      <c r="I4602">
        <v>13.99</v>
      </c>
      <c r="J4602">
        <v>1</v>
      </c>
      <c r="K4602">
        <v>1.23</v>
      </c>
      <c r="L4602">
        <v>1</v>
      </c>
      <c r="M4602" t="s">
        <v>4812</v>
      </c>
      <c r="N4602" t="s">
        <v>4899</v>
      </c>
      <c r="O4602" t="s">
        <v>4910</v>
      </c>
    </row>
    <row r="4603" spans="1:15" x14ac:dyDescent="0.35">
      <c r="A4603" t="s">
        <v>4537</v>
      </c>
      <c r="B4603">
        <v>19</v>
      </c>
      <c r="C4603" t="s">
        <v>4802</v>
      </c>
      <c r="D4603" t="s">
        <v>13</v>
      </c>
      <c r="E4603">
        <v>41</v>
      </c>
      <c r="F4603">
        <v>38</v>
      </c>
      <c r="G4603" t="s">
        <v>4797</v>
      </c>
      <c r="H4603" t="s">
        <v>4805</v>
      </c>
      <c r="I4603">
        <v>13.99</v>
      </c>
      <c r="J4603">
        <v>2</v>
      </c>
      <c r="K4603">
        <v>1.37</v>
      </c>
      <c r="L4603">
        <v>0</v>
      </c>
      <c r="M4603" t="s">
        <v>4811</v>
      </c>
      <c r="N4603" t="s">
        <v>4900</v>
      </c>
      <c r="O4603" t="s">
        <v>4912</v>
      </c>
    </row>
    <row r="4604" spans="1:15" x14ac:dyDescent="0.35">
      <c r="A4604" t="s">
        <v>4538</v>
      </c>
      <c r="B4604">
        <v>26</v>
      </c>
      <c r="C4604" t="s">
        <v>4802</v>
      </c>
      <c r="D4604" t="s">
        <v>13</v>
      </c>
      <c r="E4604">
        <v>31</v>
      </c>
      <c r="F4604">
        <v>23</v>
      </c>
      <c r="G4604" t="s">
        <v>4798</v>
      </c>
      <c r="H4604" t="s">
        <v>4805</v>
      </c>
      <c r="I4604">
        <v>13.99</v>
      </c>
      <c r="J4604">
        <v>4</v>
      </c>
      <c r="K4604">
        <v>1.03</v>
      </c>
      <c r="L4604">
        <v>0</v>
      </c>
      <c r="M4604" t="s">
        <v>4808</v>
      </c>
      <c r="N4604" t="s">
        <v>4900</v>
      </c>
      <c r="O4604" t="s">
        <v>4912</v>
      </c>
    </row>
    <row r="4605" spans="1:15" x14ac:dyDescent="0.35">
      <c r="A4605" t="s">
        <v>4539</v>
      </c>
      <c r="B4605">
        <v>42</v>
      </c>
      <c r="C4605" t="s">
        <v>4803</v>
      </c>
      <c r="D4605" t="s">
        <v>13</v>
      </c>
      <c r="E4605">
        <v>61</v>
      </c>
      <c r="F4605">
        <v>17</v>
      </c>
      <c r="G4605" t="s">
        <v>4799</v>
      </c>
      <c r="H4605" t="s">
        <v>4804</v>
      </c>
      <c r="I4605">
        <v>13.99</v>
      </c>
      <c r="J4605">
        <v>3</v>
      </c>
      <c r="K4605">
        <v>2.0299999999999998</v>
      </c>
      <c r="L4605">
        <v>0</v>
      </c>
      <c r="M4605" t="s">
        <v>4812</v>
      </c>
      <c r="N4605" t="s">
        <v>4900</v>
      </c>
      <c r="O4605" t="s">
        <v>4910</v>
      </c>
    </row>
    <row r="4606" spans="1:15" x14ac:dyDescent="0.35">
      <c r="A4606" t="s">
        <v>4540</v>
      </c>
      <c r="B4606">
        <v>43</v>
      </c>
      <c r="C4606" t="s">
        <v>4803</v>
      </c>
      <c r="D4606" t="s">
        <v>15</v>
      </c>
      <c r="E4606">
        <v>66</v>
      </c>
      <c r="F4606">
        <v>49</v>
      </c>
      <c r="G4606" t="s">
        <v>4798</v>
      </c>
      <c r="H4606" t="s">
        <v>4804</v>
      </c>
      <c r="I4606">
        <v>17.989999999999998</v>
      </c>
      <c r="J4606">
        <v>5</v>
      </c>
      <c r="K4606">
        <v>2.2000000000000002</v>
      </c>
      <c r="L4606">
        <v>0</v>
      </c>
      <c r="M4606" t="s">
        <v>4809</v>
      </c>
      <c r="N4606" t="s">
        <v>4900</v>
      </c>
      <c r="O4606" t="s">
        <v>4910</v>
      </c>
    </row>
    <row r="4607" spans="1:15" x14ac:dyDescent="0.35">
      <c r="A4607" t="s">
        <v>4541</v>
      </c>
      <c r="B4607">
        <v>20</v>
      </c>
      <c r="C4607" t="s">
        <v>4802</v>
      </c>
      <c r="D4607" t="s">
        <v>15</v>
      </c>
      <c r="E4607">
        <v>61</v>
      </c>
      <c r="F4607">
        <v>34</v>
      </c>
      <c r="G4607" t="s">
        <v>4799</v>
      </c>
      <c r="H4607" t="s">
        <v>4804</v>
      </c>
      <c r="I4607">
        <v>17.989999999999998</v>
      </c>
      <c r="J4607">
        <v>5</v>
      </c>
      <c r="K4607">
        <v>2.0299999999999998</v>
      </c>
      <c r="L4607">
        <v>0</v>
      </c>
      <c r="M4607" t="s">
        <v>4811</v>
      </c>
      <c r="N4607" t="s">
        <v>4900</v>
      </c>
      <c r="O4607" t="s">
        <v>4912</v>
      </c>
    </row>
    <row r="4608" spans="1:15" x14ac:dyDescent="0.35">
      <c r="A4608" t="s">
        <v>4542</v>
      </c>
      <c r="B4608">
        <v>59</v>
      </c>
      <c r="C4608" t="s">
        <v>4802</v>
      </c>
      <c r="D4608" t="s">
        <v>13</v>
      </c>
      <c r="E4608">
        <v>30</v>
      </c>
      <c r="F4608">
        <v>39</v>
      </c>
      <c r="G4608" t="s">
        <v>4797</v>
      </c>
      <c r="H4608" t="s">
        <v>4804</v>
      </c>
      <c r="I4608">
        <v>13.99</v>
      </c>
      <c r="J4608">
        <v>1</v>
      </c>
      <c r="K4608">
        <v>1</v>
      </c>
      <c r="L4608">
        <v>0</v>
      </c>
      <c r="M4608" t="s">
        <v>4812</v>
      </c>
      <c r="N4608" t="s">
        <v>4900</v>
      </c>
      <c r="O4608" t="s">
        <v>4911</v>
      </c>
    </row>
    <row r="4609" spans="1:15" x14ac:dyDescent="0.35">
      <c r="A4609" t="s">
        <v>4543</v>
      </c>
      <c r="B4609">
        <v>35</v>
      </c>
      <c r="C4609" t="s">
        <v>4803</v>
      </c>
      <c r="D4609" t="s">
        <v>13</v>
      </c>
      <c r="E4609">
        <v>44</v>
      </c>
      <c r="F4609">
        <v>31</v>
      </c>
      <c r="G4609" t="s">
        <v>4798</v>
      </c>
      <c r="H4609" t="s">
        <v>4806</v>
      </c>
      <c r="I4609">
        <v>13.99</v>
      </c>
      <c r="J4609">
        <v>4</v>
      </c>
      <c r="K4609">
        <v>1.47</v>
      </c>
      <c r="L4609">
        <v>0</v>
      </c>
      <c r="M4609" t="s">
        <v>4809</v>
      </c>
      <c r="N4609" t="s">
        <v>4900</v>
      </c>
      <c r="O4609" t="s">
        <v>4910</v>
      </c>
    </row>
    <row r="4610" spans="1:15" x14ac:dyDescent="0.35">
      <c r="A4610" t="s">
        <v>4544</v>
      </c>
      <c r="B4610">
        <v>58</v>
      </c>
      <c r="C4610" t="s">
        <v>4803</v>
      </c>
      <c r="D4610" t="s">
        <v>13</v>
      </c>
      <c r="E4610">
        <v>73</v>
      </c>
      <c r="F4610">
        <v>47</v>
      </c>
      <c r="G4610" t="s">
        <v>4799</v>
      </c>
      <c r="H4610" t="s">
        <v>4806</v>
      </c>
      <c r="I4610">
        <v>13.99</v>
      </c>
      <c r="J4610">
        <v>3</v>
      </c>
      <c r="K4610">
        <v>2.4300000000000002</v>
      </c>
      <c r="L4610">
        <v>0</v>
      </c>
      <c r="M4610" t="s">
        <v>4810</v>
      </c>
      <c r="N4610" t="s">
        <v>4900</v>
      </c>
      <c r="O4610" t="s">
        <v>4911</v>
      </c>
    </row>
    <row r="4611" spans="1:15" x14ac:dyDescent="0.35">
      <c r="A4611" t="s">
        <v>4545</v>
      </c>
      <c r="B4611">
        <v>27</v>
      </c>
      <c r="C4611" t="s">
        <v>4803</v>
      </c>
      <c r="D4611" t="s">
        <v>15</v>
      </c>
      <c r="E4611">
        <v>81</v>
      </c>
      <c r="F4611">
        <v>7</v>
      </c>
      <c r="G4611" t="s">
        <v>4797</v>
      </c>
      <c r="H4611" t="s">
        <v>4804</v>
      </c>
      <c r="I4611">
        <v>17.989999999999998</v>
      </c>
      <c r="J4611">
        <v>4</v>
      </c>
      <c r="K4611">
        <v>2.7</v>
      </c>
      <c r="L4611">
        <v>0</v>
      </c>
      <c r="M4611" t="s">
        <v>4812</v>
      </c>
      <c r="N4611" t="s">
        <v>4900</v>
      </c>
      <c r="O4611" t="s">
        <v>4912</v>
      </c>
    </row>
    <row r="4612" spans="1:15" x14ac:dyDescent="0.35">
      <c r="A4612" t="s">
        <v>4546</v>
      </c>
      <c r="B4612">
        <v>49</v>
      </c>
      <c r="C4612" t="s">
        <v>4802</v>
      </c>
      <c r="D4612" t="s">
        <v>13</v>
      </c>
      <c r="E4612">
        <v>65</v>
      </c>
      <c r="F4612">
        <v>51</v>
      </c>
      <c r="G4612" t="s">
        <v>4798</v>
      </c>
      <c r="H4612" t="s">
        <v>4805</v>
      </c>
      <c r="I4612">
        <v>13.99</v>
      </c>
      <c r="J4612">
        <v>2</v>
      </c>
      <c r="K4612">
        <v>2.17</v>
      </c>
      <c r="L4612">
        <v>0</v>
      </c>
      <c r="M4612" t="s">
        <v>4811</v>
      </c>
      <c r="N4612" t="s">
        <v>4900</v>
      </c>
      <c r="O4612" t="s">
        <v>4910</v>
      </c>
    </row>
    <row r="4613" spans="1:15" x14ac:dyDescent="0.35">
      <c r="A4613" t="s">
        <v>4547</v>
      </c>
      <c r="B4613">
        <v>56</v>
      </c>
      <c r="C4613" t="s">
        <v>4803</v>
      </c>
      <c r="D4613" t="s">
        <v>13</v>
      </c>
      <c r="E4613">
        <v>41</v>
      </c>
      <c r="F4613">
        <v>22</v>
      </c>
      <c r="G4613" t="s">
        <v>4799</v>
      </c>
      <c r="H4613" t="s">
        <v>4805</v>
      </c>
      <c r="I4613">
        <v>13.99</v>
      </c>
      <c r="J4613">
        <v>1</v>
      </c>
      <c r="K4613">
        <v>1.37</v>
      </c>
      <c r="L4613">
        <v>1</v>
      </c>
      <c r="M4613" t="s">
        <v>4812</v>
      </c>
      <c r="N4613" t="s">
        <v>4899</v>
      </c>
      <c r="O4613" t="s">
        <v>4911</v>
      </c>
    </row>
    <row r="4614" spans="1:15" x14ac:dyDescent="0.35">
      <c r="A4614" t="s">
        <v>4548</v>
      </c>
      <c r="B4614">
        <v>27</v>
      </c>
      <c r="C4614" t="s">
        <v>4802</v>
      </c>
      <c r="D4614" t="s">
        <v>13</v>
      </c>
      <c r="E4614">
        <v>70</v>
      </c>
      <c r="F4614">
        <v>19</v>
      </c>
      <c r="G4614" t="s">
        <v>4798</v>
      </c>
      <c r="H4614" t="s">
        <v>4806</v>
      </c>
      <c r="I4614">
        <v>13.99</v>
      </c>
      <c r="J4614">
        <v>1</v>
      </c>
      <c r="K4614">
        <v>2.33</v>
      </c>
      <c r="L4614">
        <v>0</v>
      </c>
      <c r="M4614" t="s">
        <v>4808</v>
      </c>
      <c r="N4614" t="s">
        <v>4900</v>
      </c>
      <c r="O4614" t="s">
        <v>4912</v>
      </c>
    </row>
    <row r="4615" spans="1:15" x14ac:dyDescent="0.35">
      <c r="A4615" t="s">
        <v>4549</v>
      </c>
      <c r="B4615">
        <v>22</v>
      </c>
      <c r="C4615" t="s">
        <v>4803</v>
      </c>
      <c r="D4615" t="s">
        <v>13</v>
      </c>
      <c r="E4615">
        <v>63</v>
      </c>
      <c r="F4615">
        <v>4</v>
      </c>
      <c r="G4615" t="s">
        <v>4797</v>
      </c>
      <c r="H4615" t="s">
        <v>4804</v>
      </c>
      <c r="I4615">
        <v>13.99</v>
      </c>
      <c r="J4615">
        <v>1</v>
      </c>
      <c r="K4615">
        <v>2.0299999999999998</v>
      </c>
      <c r="L4615">
        <v>0</v>
      </c>
      <c r="M4615" t="s">
        <v>4809</v>
      </c>
      <c r="N4615" t="s">
        <v>4900</v>
      </c>
      <c r="O4615" t="s">
        <v>4912</v>
      </c>
    </row>
    <row r="4616" spans="1:15" x14ac:dyDescent="0.35">
      <c r="A4616" t="s">
        <v>4550</v>
      </c>
      <c r="B4616">
        <v>31</v>
      </c>
      <c r="C4616" t="s">
        <v>4802</v>
      </c>
      <c r="D4616" t="s">
        <v>13</v>
      </c>
      <c r="E4616">
        <v>60</v>
      </c>
      <c r="F4616" t="s">
        <v>4814</v>
      </c>
      <c r="G4616" t="s">
        <v>4800</v>
      </c>
      <c r="H4616" t="s">
        <v>4805</v>
      </c>
      <c r="I4616">
        <v>13.99</v>
      </c>
      <c r="J4616">
        <v>3</v>
      </c>
      <c r="K4616">
        <v>2.0299999999999998</v>
      </c>
      <c r="L4616">
        <v>1</v>
      </c>
      <c r="M4616" t="s">
        <v>4811</v>
      </c>
      <c r="N4616" t="s">
        <v>4899</v>
      </c>
      <c r="O4616" t="s">
        <v>4912</v>
      </c>
    </row>
    <row r="4617" spans="1:15" x14ac:dyDescent="0.35">
      <c r="A4617" t="s">
        <v>4551</v>
      </c>
      <c r="B4617">
        <v>58</v>
      </c>
      <c r="C4617" t="s">
        <v>4803</v>
      </c>
      <c r="D4617" t="s">
        <v>15</v>
      </c>
      <c r="E4617">
        <v>75</v>
      </c>
      <c r="F4617">
        <v>48</v>
      </c>
      <c r="G4617" t="s">
        <v>4799</v>
      </c>
      <c r="H4617" t="s">
        <v>4804</v>
      </c>
      <c r="I4617">
        <v>17.989999999999998</v>
      </c>
      <c r="J4617">
        <v>4</v>
      </c>
      <c r="K4617">
        <v>2.5</v>
      </c>
      <c r="L4617">
        <v>1</v>
      </c>
      <c r="M4617" t="s">
        <v>4812</v>
      </c>
      <c r="N4617" t="s">
        <v>4899</v>
      </c>
      <c r="O4617" t="s">
        <v>4911</v>
      </c>
    </row>
    <row r="4618" spans="1:15" x14ac:dyDescent="0.35">
      <c r="A4618" t="s">
        <v>4552</v>
      </c>
      <c r="B4618">
        <v>26</v>
      </c>
      <c r="C4618" t="s">
        <v>4802</v>
      </c>
      <c r="D4618" t="s">
        <v>13</v>
      </c>
      <c r="E4618">
        <v>58</v>
      </c>
      <c r="F4618">
        <v>59</v>
      </c>
      <c r="G4618" t="s">
        <v>4798</v>
      </c>
      <c r="H4618" t="s">
        <v>4805</v>
      </c>
      <c r="I4618">
        <v>13.99</v>
      </c>
      <c r="J4618">
        <v>3</v>
      </c>
      <c r="K4618">
        <v>2.0299999999999998</v>
      </c>
      <c r="L4618">
        <v>0</v>
      </c>
      <c r="M4618" t="s">
        <v>4812</v>
      </c>
      <c r="N4618" t="s">
        <v>4900</v>
      </c>
      <c r="O4618" t="s">
        <v>4912</v>
      </c>
    </row>
    <row r="4619" spans="1:15" x14ac:dyDescent="0.35">
      <c r="A4619" t="s">
        <v>4553</v>
      </c>
      <c r="B4619">
        <v>19</v>
      </c>
      <c r="C4619" t="s">
        <v>4802</v>
      </c>
      <c r="D4619" t="s">
        <v>13</v>
      </c>
      <c r="E4619">
        <v>65</v>
      </c>
      <c r="F4619">
        <v>6</v>
      </c>
      <c r="G4619" t="s">
        <v>4799</v>
      </c>
      <c r="H4619" t="s">
        <v>4805</v>
      </c>
      <c r="I4619">
        <v>13.99</v>
      </c>
      <c r="J4619">
        <v>4</v>
      </c>
      <c r="K4619">
        <v>2.17</v>
      </c>
      <c r="L4619">
        <v>0</v>
      </c>
      <c r="M4619" t="s">
        <v>4812</v>
      </c>
      <c r="N4619" t="s">
        <v>4900</v>
      </c>
      <c r="O4619" t="s">
        <v>4912</v>
      </c>
    </row>
    <row r="4620" spans="1:15" x14ac:dyDescent="0.35">
      <c r="A4620" t="s">
        <v>4554</v>
      </c>
      <c r="B4620">
        <v>50</v>
      </c>
      <c r="C4620" t="s">
        <v>4803</v>
      </c>
      <c r="D4620" t="s">
        <v>13</v>
      </c>
      <c r="E4620">
        <v>72</v>
      </c>
      <c r="F4620">
        <v>38</v>
      </c>
      <c r="G4620" t="s">
        <v>4797</v>
      </c>
      <c r="H4620" t="s">
        <v>4805</v>
      </c>
      <c r="I4620">
        <v>13.99</v>
      </c>
      <c r="J4620">
        <v>1</v>
      </c>
      <c r="K4620">
        <v>2.4</v>
      </c>
      <c r="L4620">
        <v>0</v>
      </c>
      <c r="M4620" t="s">
        <v>4810</v>
      </c>
      <c r="N4620" t="s">
        <v>4900</v>
      </c>
      <c r="O4620" t="s">
        <v>4910</v>
      </c>
    </row>
    <row r="4621" spans="1:15" x14ac:dyDescent="0.35">
      <c r="A4621" t="s">
        <v>4555</v>
      </c>
      <c r="B4621">
        <v>48</v>
      </c>
      <c r="C4621" t="s">
        <v>4802</v>
      </c>
      <c r="D4621" t="s">
        <v>13</v>
      </c>
      <c r="E4621">
        <v>77</v>
      </c>
      <c r="F4621">
        <v>19</v>
      </c>
      <c r="G4621" t="s">
        <v>4797</v>
      </c>
      <c r="H4621" t="s">
        <v>4805</v>
      </c>
      <c r="I4621">
        <v>13.99</v>
      </c>
      <c r="J4621">
        <v>1</v>
      </c>
      <c r="K4621">
        <v>2.57</v>
      </c>
      <c r="L4621">
        <v>0</v>
      </c>
      <c r="M4621" t="s">
        <v>4811</v>
      </c>
      <c r="N4621" t="s">
        <v>4900</v>
      </c>
      <c r="O4621" t="s">
        <v>4910</v>
      </c>
    </row>
    <row r="4622" spans="1:15" x14ac:dyDescent="0.35">
      <c r="A4622" t="s">
        <v>4556</v>
      </c>
      <c r="B4622">
        <v>20</v>
      </c>
      <c r="C4622" t="s">
        <v>4802</v>
      </c>
      <c r="D4622" t="s">
        <v>13</v>
      </c>
      <c r="E4622">
        <v>32</v>
      </c>
      <c r="F4622">
        <v>37</v>
      </c>
      <c r="G4622" t="s">
        <v>4799</v>
      </c>
      <c r="H4622" t="s">
        <v>4805</v>
      </c>
      <c r="I4622">
        <v>13.99</v>
      </c>
      <c r="J4622">
        <v>3</v>
      </c>
      <c r="K4622">
        <v>1.07</v>
      </c>
      <c r="L4622">
        <v>0</v>
      </c>
      <c r="M4622" t="s">
        <v>4809</v>
      </c>
      <c r="N4622" t="s">
        <v>4900</v>
      </c>
      <c r="O4622" t="s">
        <v>4912</v>
      </c>
    </row>
    <row r="4623" spans="1:15" x14ac:dyDescent="0.35">
      <c r="A4623" t="s">
        <v>4557</v>
      </c>
      <c r="B4623">
        <v>53</v>
      </c>
      <c r="C4623" t="s">
        <v>4803</v>
      </c>
      <c r="D4623" t="s">
        <v>13</v>
      </c>
      <c r="E4623">
        <v>65</v>
      </c>
      <c r="F4623">
        <v>1</v>
      </c>
      <c r="G4623" t="s">
        <v>4798</v>
      </c>
      <c r="H4623" t="s">
        <v>4804</v>
      </c>
      <c r="I4623">
        <v>13.99</v>
      </c>
      <c r="J4623">
        <v>3</v>
      </c>
      <c r="K4623">
        <v>2.17</v>
      </c>
      <c r="L4623">
        <v>0</v>
      </c>
      <c r="M4623" t="s">
        <v>4811</v>
      </c>
      <c r="N4623" t="s">
        <v>4900</v>
      </c>
      <c r="O4623" t="s">
        <v>4910</v>
      </c>
    </row>
    <row r="4624" spans="1:15" x14ac:dyDescent="0.35">
      <c r="A4624" t="s">
        <v>4558</v>
      </c>
      <c r="B4624">
        <v>44</v>
      </c>
      <c r="C4624" t="s">
        <v>4803</v>
      </c>
      <c r="D4624" t="s">
        <v>13</v>
      </c>
      <c r="E4624">
        <v>46</v>
      </c>
      <c r="F4624">
        <v>54</v>
      </c>
      <c r="G4624" t="s">
        <v>4799</v>
      </c>
      <c r="H4624" t="s">
        <v>4805</v>
      </c>
      <c r="I4624">
        <v>13.99</v>
      </c>
      <c r="J4624">
        <v>1</v>
      </c>
      <c r="K4624">
        <v>1.53</v>
      </c>
      <c r="L4624">
        <v>1</v>
      </c>
      <c r="M4624" t="s">
        <v>4809</v>
      </c>
      <c r="N4624" t="s">
        <v>4899</v>
      </c>
      <c r="O4624" t="s">
        <v>4910</v>
      </c>
    </row>
    <row r="4625" spans="1:15" x14ac:dyDescent="0.35">
      <c r="A4625" t="s">
        <v>4559</v>
      </c>
      <c r="B4625">
        <v>61</v>
      </c>
      <c r="C4625" t="s">
        <v>4802</v>
      </c>
      <c r="D4625" t="s">
        <v>13</v>
      </c>
      <c r="E4625">
        <v>30</v>
      </c>
      <c r="F4625">
        <v>42</v>
      </c>
      <c r="G4625" t="s">
        <v>4797</v>
      </c>
      <c r="H4625" t="s">
        <v>4804</v>
      </c>
      <c r="I4625">
        <v>13.99</v>
      </c>
      <c r="J4625">
        <v>3</v>
      </c>
      <c r="K4625">
        <v>1</v>
      </c>
      <c r="L4625">
        <v>0</v>
      </c>
      <c r="M4625" t="s">
        <v>4809</v>
      </c>
      <c r="N4625" t="s">
        <v>4900</v>
      </c>
      <c r="O4625" t="s">
        <v>4911</v>
      </c>
    </row>
    <row r="4626" spans="1:15" x14ac:dyDescent="0.35">
      <c r="A4626" t="s">
        <v>4560</v>
      </c>
      <c r="B4626">
        <v>18</v>
      </c>
      <c r="C4626" t="s">
        <v>4803</v>
      </c>
      <c r="D4626" t="s">
        <v>15</v>
      </c>
      <c r="E4626">
        <v>59</v>
      </c>
      <c r="F4626">
        <v>57</v>
      </c>
      <c r="G4626" t="s">
        <v>4798</v>
      </c>
      <c r="H4626" t="s">
        <v>4805</v>
      </c>
      <c r="I4626">
        <v>17.989999999999998</v>
      </c>
      <c r="J4626">
        <v>4</v>
      </c>
      <c r="K4626">
        <v>1.97</v>
      </c>
      <c r="L4626">
        <v>0</v>
      </c>
      <c r="M4626" t="s">
        <v>4809</v>
      </c>
      <c r="N4626" t="s">
        <v>4900</v>
      </c>
      <c r="O4626" t="s">
        <v>4912</v>
      </c>
    </row>
    <row r="4627" spans="1:15" x14ac:dyDescent="0.35">
      <c r="A4627" t="s">
        <v>4561</v>
      </c>
      <c r="B4627">
        <v>42</v>
      </c>
      <c r="C4627" t="s">
        <v>4803</v>
      </c>
      <c r="D4627" t="s">
        <v>15</v>
      </c>
      <c r="E4627">
        <v>117</v>
      </c>
      <c r="F4627">
        <v>36</v>
      </c>
      <c r="G4627" t="s">
        <v>4797</v>
      </c>
      <c r="H4627" t="s">
        <v>4805</v>
      </c>
      <c r="I4627">
        <v>17.989999999999998</v>
      </c>
      <c r="J4627">
        <v>4</v>
      </c>
      <c r="K4627">
        <v>3.9</v>
      </c>
      <c r="L4627">
        <v>1</v>
      </c>
      <c r="M4627" t="s">
        <v>4810</v>
      </c>
      <c r="N4627" t="s">
        <v>4899</v>
      </c>
      <c r="O4627" t="s">
        <v>4910</v>
      </c>
    </row>
    <row r="4628" spans="1:15" x14ac:dyDescent="0.35">
      <c r="A4628" t="s">
        <v>4562</v>
      </c>
      <c r="B4628">
        <v>31</v>
      </c>
      <c r="C4628" t="s">
        <v>4802</v>
      </c>
      <c r="D4628" t="s">
        <v>13</v>
      </c>
      <c r="E4628">
        <v>62</v>
      </c>
      <c r="F4628">
        <v>32</v>
      </c>
      <c r="G4628" t="s">
        <v>4798</v>
      </c>
      <c r="H4628" t="s">
        <v>4804</v>
      </c>
      <c r="I4628">
        <v>13.99</v>
      </c>
      <c r="J4628">
        <v>2</v>
      </c>
      <c r="K4628">
        <v>2.0699999999999998</v>
      </c>
      <c r="L4628">
        <v>0</v>
      </c>
      <c r="M4628" t="s">
        <v>4811</v>
      </c>
      <c r="N4628" t="s">
        <v>4900</v>
      </c>
      <c r="O4628" t="s">
        <v>4912</v>
      </c>
    </row>
    <row r="4629" spans="1:15" x14ac:dyDescent="0.35">
      <c r="A4629" t="s">
        <v>4854</v>
      </c>
      <c r="B4629">
        <v>22</v>
      </c>
      <c r="C4629" t="s">
        <v>4803</v>
      </c>
      <c r="D4629" t="s">
        <v>13</v>
      </c>
      <c r="E4629">
        <v>35</v>
      </c>
      <c r="F4629">
        <v>46</v>
      </c>
      <c r="G4629" t="s">
        <v>4797</v>
      </c>
      <c r="H4629" t="s">
        <v>4806</v>
      </c>
      <c r="I4629">
        <v>13.99</v>
      </c>
      <c r="J4629">
        <v>4</v>
      </c>
      <c r="K4629">
        <v>1.17</v>
      </c>
      <c r="L4629">
        <v>0</v>
      </c>
      <c r="M4629" t="s">
        <v>4809</v>
      </c>
      <c r="N4629" t="s">
        <v>4900</v>
      </c>
      <c r="O4629" t="s">
        <v>4912</v>
      </c>
    </row>
    <row r="4630" spans="1:15" x14ac:dyDescent="0.35">
      <c r="A4630" t="s">
        <v>4563</v>
      </c>
      <c r="B4630">
        <v>22</v>
      </c>
      <c r="C4630" t="s">
        <v>4803</v>
      </c>
      <c r="D4630" t="s">
        <v>13</v>
      </c>
      <c r="E4630">
        <v>63</v>
      </c>
      <c r="F4630">
        <v>999</v>
      </c>
      <c r="G4630" t="s">
        <v>4798</v>
      </c>
      <c r="H4630" t="s">
        <v>4805</v>
      </c>
      <c r="I4630">
        <v>13.99</v>
      </c>
      <c r="J4630">
        <v>3</v>
      </c>
      <c r="K4630">
        <v>2.1</v>
      </c>
      <c r="L4630">
        <v>0</v>
      </c>
      <c r="M4630" t="s">
        <v>4810</v>
      </c>
      <c r="N4630" t="s">
        <v>4900</v>
      </c>
      <c r="O4630" t="s">
        <v>4912</v>
      </c>
    </row>
    <row r="4631" spans="1:15" x14ac:dyDescent="0.35">
      <c r="A4631" t="s">
        <v>4564</v>
      </c>
      <c r="B4631">
        <v>34</v>
      </c>
      <c r="C4631" t="s">
        <v>4802</v>
      </c>
      <c r="D4631" t="s">
        <v>13</v>
      </c>
      <c r="E4631">
        <v>58</v>
      </c>
      <c r="F4631">
        <v>12</v>
      </c>
      <c r="G4631" t="s">
        <v>4799</v>
      </c>
      <c r="H4631" t="s">
        <v>4804</v>
      </c>
      <c r="I4631">
        <v>13.99</v>
      </c>
      <c r="J4631">
        <v>4</v>
      </c>
      <c r="K4631">
        <v>1.93</v>
      </c>
      <c r="L4631">
        <v>0</v>
      </c>
      <c r="M4631" t="s">
        <v>4809</v>
      </c>
      <c r="N4631" t="s">
        <v>4900</v>
      </c>
      <c r="O4631" t="s">
        <v>4912</v>
      </c>
    </row>
    <row r="4632" spans="1:15" x14ac:dyDescent="0.35">
      <c r="A4632" t="s">
        <v>4565</v>
      </c>
      <c r="B4632">
        <v>27</v>
      </c>
      <c r="C4632" t="s">
        <v>4802</v>
      </c>
      <c r="D4632" t="s">
        <v>15</v>
      </c>
      <c r="E4632">
        <v>62</v>
      </c>
      <c r="F4632">
        <v>6</v>
      </c>
      <c r="G4632" t="s">
        <v>4799</v>
      </c>
      <c r="H4632" t="s">
        <v>4804</v>
      </c>
      <c r="I4632">
        <v>17.989999999999998</v>
      </c>
      <c r="J4632">
        <v>3</v>
      </c>
      <c r="K4632">
        <v>2.0699999999999998</v>
      </c>
      <c r="L4632">
        <v>0</v>
      </c>
      <c r="M4632" t="s">
        <v>4810</v>
      </c>
      <c r="N4632" t="s">
        <v>4900</v>
      </c>
      <c r="O4632" t="s">
        <v>4912</v>
      </c>
    </row>
    <row r="4633" spans="1:15" x14ac:dyDescent="0.35">
      <c r="A4633" t="s">
        <v>4566</v>
      </c>
      <c r="B4633">
        <v>46</v>
      </c>
      <c r="C4633" t="s">
        <v>4802</v>
      </c>
      <c r="D4633" t="s">
        <v>13</v>
      </c>
      <c r="E4633">
        <v>54</v>
      </c>
      <c r="F4633">
        <v>33</v>
      </c>
      <c r="G4633" t="s">
        <v>4799</v>
      </c>
      <c r="H4633" t="s">
        <v>4806</v>
      </c>
      <c r="I4633">
        <v>13.99</v>
      </c>
      <c r="J4633">
        <v>3</v>
      </c>
      <c r="K4633">
        <v>1.8</v>
      </c>
      <c r="L4633">
        <v>1</v>
      </c>
      <c r="M4633" t="s">
        <v>4810</v>
      </c>
      <c r="N4633" t="s">
        <v>4899</v>
      </c>
      <c r="O4633" t="s">
        <v>4910</v>
      </c>
    </row>
    <row r="4634" spans="1:15" x14ac:dyDescent="0.35">
      <c r="A4634" t="s">
        <v>4567</v>
      </c>
      <c r="B4634">
        <v>53</v>
      </c>
      <c r="C4634" t="s">
        <v>4803</v>
      </c>
      <c r="D4634" t="s">
        <v>15</v>
      </c>
      <c r="E4634">
        <v>39</v>
      </c>
      <c r="F4634">
        <v>56</v>
      </c>
      <c r="G4634" t="s">
        <v>4797</v>
      </c>
      <c r="H4634" t="s">
        <v>4804</v>
      </c>
      <c r="I4634">
        <v>17.989999999999998</v>
      </c>
      <c r="J4634">
        <v>3</v>
      </c>
      <c r="K4634">
        <v>1.3</v>
      </c>
      <c r="L4634">
        <v>1</v>
      </c>
      <c r="M4634" t="s">
        <v>4811</v>
      </c>
      <c r="N4634" t="s">
        <v>4899</v>
      </c>
      <c r="O4634" t="s">
        <v>4910</v>
      </c>
    </row>
    <row r="4635" spans="1:15" x14ac:dyDescent="0.35">
      <c r="A4635" t="s">
        <v>4568</v>
      </c>
      <c r="B4635">
        <v>29</v>
      </c>
      <c r="C4635" t="s">
        <v>4803</v>
      </c>
      <c r="D4635" t="s">
        <v>13</v>
      </c>
      <c r="E4635">
        <v>55</v>
      </c>
      <c r="F4635">
        <v>23</v>
      </c>
      <c r="G4635" t="s">
        <v>4797</v>
      </c>
      <c r="H4635" t="s">
        <v>4805</v>
      </c>
      <c r="I4635">
        <v>13.99</v>
      </c>
      <c r="J4635">
        <v>1</v>
      </c>
      <c r="K4635">
        <v>1.83</v>
      </c>
      <c r="L4635">
        <v>0</v>
      </c>
      <c r="M4635" t="s">
        <v>4812</v>
      </c>
      <c r="N4635" t="s">
        <v>4900</v>
      </c>
      <c r="O4635" t="s">
        <v>4912</v>
      </c>
    </row>
    <row r="4636" spans="1:15" x14ac:dyDescent="0.35">
      <c r="A4636" t="s">
        <v>4569</v>
      </c>
      <c r="B4636">
        <v>31</v>
      </c>
      <c r="C4636" t="s">
        <v>4802</v>
      </c>
      <c r="D4636" t="s">
        <v>13</v>
      </c>
      <c r="E4636">
        <v>57</v>
      </c>
      <c r="F4636">
        <v>26</v>
      </c>
      <c r="G4636" t="s">
        <v>4798</v>
      </c>
      <c r="H4636" t="s">
        <v>4805</v>
      </c>
      <c r="I4636">
        <v>13.99</v>
      </c>
      <c r="J4636">
        <v>3</v>
      </c>
      <c r="K4636">
        <v>1.9</v>
      </c>
      <c r="L4636">
        <v>1</v>
      </c>
      <c r="M4636" t="s">
        <v>4809</v>
      </c>
      <c r="N4636" t="s">
        <v>4899</v>
      </c>
      <c r="O4636" t="s">
        <v>4912</v>
      </c>
    </row>
    <row r="4637" spans="1:15" x14ac:dyDescent="0.35">
      <c r="A4637" t="s">
        <v>4570</v>
      </c>
      <c r="B4637">
        <v>22</v>
      </c>
      <c r="C4637" t="s">
        <v>4802</v>
      </c>
      <c r="D4637" t="s">
        <v>13</v>
      </c>
      <c r="E4637">
        <v>31</v>
      </c>
      <c r="F4637">
        <v>39</v>
      </c>
      <c r="G4637" t="s">
        <v>4798</v>
      </c>
      <c r="H4637" t="s">
        <v>4804</v>
      </c>
      <c r="I4637">
        <v>13.99</v>
      </c>
      <c r="J4637">
        <v>2</v>
      </c>
      <c r="K4637">
        <v>1.03</v>
      </c>
      <c r="L4637">
        <v>0</v>
      </c>
      <c r="M4637" t="s">
        <v>4809</v>
      </c>
      <c r="N4637" t="s">
        <v>4900</v>
      </c>
      <c r="O4637" t="s">
        <v>4912</v>
      </c>
    </row>
    <row r="4638" spans="1:15" x14ac:dyDescent="0.35">
      <c r="A4638" t="s">
        <v>4571</v>
      </c>
      <c r="B4638">
        <v>40</v>
      </c>
      <c r="C4638" t="s">
        <v>4802</v>
      </c>
      <c r="D4638" t="s">
        <v>13</v>
      </c>
      <c r="E4638">
        <v>43</v>
      </c>
      <c r="F4638">
        <v>10</v>
      </c>
      <c r="G4638" t="s">
        <v>4798</v>
      </c>
      <c r="H4638" t="s">
        <v>4805</v>
      </c>
      <c r="I4638">
        <v>13.99</v>
      </c>
      <c r="J4638">
        <v>1</v>
      </c>
      <c r="K4638">
        <v>1.43</v>
      </c>
      <c r="L4638">
        <v>0</v>
      </c>
      <c r="M4638" t="s">
        <v>4811</v>
      </c>
      <c r="N4638" t="s">
        <v>4900</v>
      </c>
      <c r="O4638" t="s">
        <v>4910</v>
      </c>
    </row>
    <row r="4639" spans="1:15" x14ac:dyDescent="0.35">
      <c r="A4639" t="s">
        <v>4572</v>
      </c>
      <c r="B4639">
        <v>51</v>
      </c>
      <c r="C4639" t="s">
        <v>4802</v>
      </c>
      <c r="D4639" t="s">
        <v>13</v>
      </c>
      <c r="E4639">
        <v>47</v>
      </c>
      <c r="F4639">
        <v>56</v>
      </c>
      <c r="G4639" t="s">
        <v>4798</v>
      </c>
      <c r="H4639" t="s">
        <v>4804</v>
      </c>
      <c r="I4639">
        <v>13.99</v>
      </c>
      <c r="J4639">
        <v>1</v>
      </c>
      <c r="K4639">
        <v>1.57</v>
      </c>
      <c r="L4639">
        <v>0</v>
      </c>
      <c r="M4639" t="s">
        <v>4810</v>
      </c>
      <c r="N4639" t="s">
        <v>4900</v>
      </c>
      <c r="O4639" t="s">
        <v>4910</v>
      </c>
    </row>
    <row r="4640" spans="1:15" x14ac:dyDescent="0.35">
      <c r="A4640" t="s">
        <v>4573</v>
      </c>
      <c r="B4640">
        <v>55</v>
      </c>
      <c r="C4640" t="s">
        <v>4802</v>
      </c>
      <c r="D4640" t="s">
        <v>13</v>
      </c>
      <c r="E4640">
        <v>41</v>
      </c>
      <c r="F4640">
        <v>36</v>
      </c>
      <c r="G4640" t="s">
        <v>4798</v>
      </c>
      <c r="H4640" t="s">
        <v>4806</v>
      </c>
      <c r="I4640">
        <v>13.99</v>
      </c>
      <c r="J4640">
        <v>4</v>
      </c>
      <c r="K4640">
        <v>1.37</v>
      </c>
      <c r="L4640">
        <v>0</v>
      </c>
      <c r="M4640" t="s">
        <v>4809</v>
      </c>
      <c r="N4640" t="s">
        <v>4900</v>
      </c>
      <c r="O4640" t="s">
        <v>4911</v>
      </c>
    </row>
    <row r="4641" spans="1:15" x14ac:dyDescent="0.35">
      <c r="A4641" t="s">
        <v>4574</v>
      </c>
      <c r="B4641">
        <v>33</v>
      </c>
      <c r="C4641" t="s">
        <v>4802</v>
      </c>
      <c r="D4641" t="s">
        <v>13</v>
      </c>
      <c r="E4641">
        <v>76</v>
      </c>
      <c r="F4641">
        <v>17</v>
      </c>
      <c r="G4641" t="s">
        <v>4798</v>
      </c>
      <c r="H4641" t="s">
        <v>4805</v>
      </c>
      <c r="I4641">
        <v>13.99</v>
      </c>
      <c r="J4641">
        <v>1</v>
      </c>
      <c r="K4641">
        <v>2.0299999999999998</v>
      </c>
      <c r="L4641">
        <v>1</v>
      </c>
      <c r="M4641" t="s">
        <v>4809</v>
      </c>
      <c r="N4641" t="s">
        <v>4899</v>
      </c>
      <c r="O4641" t="s">
        <v>4912</v>
      </c>
    </row>
    <row r="4642" spans="1:15" x14ac:dyDescent="0.35">
      <c r="A4642" t="s">
        <v>4575</v>
      </c>
      <c r="B4642">
        <v>51</v>
      </c>
      <c r="C4642" t="s">
        <v>4803</v>
      </c>
      <c r="D4642" t="s">
        <v>13</v>
      </c>
      <c r="E4642">
        <v>66</v>
      </c>
      <c r="F4642">
        <v>50</v>
      </c>
      <c r="G4642" t="s">
        <v>4798</v>
      </c>
      <c r="H4642" t="s">
        <v>4804</v>
      </c>
      <c r="I4642">
        <v>13.99</v>
      </c>
      <c r="J4642">
        <v>3</v>
      </c>
      <c r="K4642">
        <v>5</v>
      </c>
      <c r="L4642">
        <v>1</v>
      </c>
      <c r="M4642" t="s">
        <v>4812</v>
      </c>
      <c r="N4642" t="s">
        <v>4899</v>
      </c>
      <c r="O4642" t="s">
        <v>4910</v>
      </c>
    </row>
    <row r="4643" spans="1:15" x14ac:dyDescent="0.35">
      <c r="A4643" t="s">
        <v>4576</v>
      </c>
      <c r="B4643">
        <v>48</v>
      </c>
      <c r="C4643" t="s">
        <v>4803</v>
      </c>
      <c r="D4643" t="s">
        <v>15</v>
      </c>
      <c r="E4643">
        <v>102</v>
      </c>
      <c r="F4643">
        <v>11</v>
      </c>
      <c r="G4643" t="s">
        <v>4798</v>
      </c>
      <c r="H4643" t="s">
        <v>4805</v>
      </c>
      <c r="I4643">
        <v>17.989999999999998</v>
      </c>
      <c r="J4643">
        <v>4</v>
      </c>
      <c r="K4643">
        <v>3.4</v>
      </c>
      <c r="L4643">
        <v>0</v>
      </c>
      <c r="M4643" t="s">
        <v>4812</v>
      </c>
      <c r="N4643" t="s">
        <v>4900</v>
      </c>
      <c r="O4643" t="s">
        <v>4910</v>
      </c>
    </row>
    <row r="4644" spans="1:15" x14ac:dyDescent="0.35">
      <c r="A4644" t="s">
        <v>4577</v>
      </c>
      <c r="B4644">
        <v>25</v>
      </c>
      <c r="C4644" t="s">
        <v>4802</v>
      </c>
      <c r="D4644" t="s">
        <v>15</v>
      </c>
      <c r="E4644">
        <v>55</v>
      </c>
      <c r="F4644">
        <v>15</v>
      </c>
      <c r="G4644" t="s">
        <v>4797</v>
      </c>
      <c r="H4644" t="s">
        <v>4806</v>
      </c>
      <c r="I4644">
        <v>17.989999999999998</v>
      </c>
      <c r="J4644">
        <v>3</v>
      </c>
      <c r="K4644">
        <v>1.83</v>
      </c>
      <c r="L4644">
        <v>0</v>
      </c>
      <c r="M4644" t="s">
        <v>4812</v>
      </c>
      <c r="N4644" t="s">
        <v>4900</v>
      </c>
      <c r="O4644" t="s">
        <v>4912</v>
      </c>
    </row>
    <row r="4645" spans="1:15" x14ac:dyDescent="0.35">
      <c r="A4645" t="s">
        <v>4578</v>
      </c>
      <c r="B4645">
        <v>23</v>
      </c>
      <c r="C4645" t="s">
        <v>4802</v>
      </c>
      <c r="D4645" t="s">
        <v>15</v>
      </c>
      <c r="E4645">
        <v>57</v>
      </c>
      <c r="F4645">
        <v>45</v>
      </c>
      <c r="G4645" t="s">
        <v>4799</v>
      </c>
      <c r="H4645" t="s">
        <v>4805</v>
      </c>
      <c r="I4645">
        <v>17.989999999999998</v>
      </c>
      <c r="J4645">
        <v>3</v>
      </c>
      <c r="K4645">
        <v>1.9</v>
      </c>
      <c r="L4645">
        <v>0</v>
      </c>
      <c r="M4645" t="s">
        <v>4809</v>
      </c>
      <c r="N4645" t="s">
        <v>4900</v>
      </c>
      <c r="O4645" t="s">
        <v>4912</v>
      </c>
    </row>
    <row r="4646" spans="1:15" x14ac:dyDescent="0.35">
      <c r="A4646" t="s">
        <v>4579</v>
      </c>
      <c r="B4646">
        <v>22</v>
      </c>
      <c r="C4646" t="s">
        <v>4802</v>
      </c>
      <c r="D4646" t="s">
        <v>13</v>
      </c>
      <c r="E4646">
        <v>43</v>
      </c>
      <c r="F4646">
        <v>3</v>
      </c>
      <c r="G4646" t="s">
        <v>4797</v>
      </c>
      <c r="H4646" t="s">
        <v>4805</v>
      </c>
      <c r="I4646">
        <v>13.99</v>
      </c>
      <c r="J4646">
        <v>4</v>
      </c>
      <c r="K4646">
        <v>1.43</v>
      </c>
      <c r="L4646">
        <v>0</v>
      </c>
      <c r="M4646" t="s">
        <v>4811</v>
      </c>
      <c r="N4646" t="s">
        <v>4900</v>
      </c>
      <c r="O4646" t="s">
        <v>4912</v>
      </c>
    </row>
    <row r="4647" spans="1:15" x14ac:dyDescent="0.35">
      <c r="A4647" t="s">
        <v>4580</v>
      </c>
      <c r="B4647">
        <v>42</v>
      </c>
      <c r="C4647" t="s">
        <v>4802</v>
      </c>
      <c r="D4647" t="s">
        <v>13</v>
      </c>
      <c r="E4647">
        <v>31</v>
      </c>
      <c r="F4647">
        <v>2</v>
      </c>
      <c r="G4647" t="s">
        <v>4798</v>
      </c>
      <c r="H4647" t="s">
        <v>4804</v>
      </c>
      <c r="I4647">
        <v>13.99</v>
      </c>
      <c r="J4647">
        <v>3</v>
      </c>
      <c r="K4647">
        <v>1.03</v>
      </c>
      <c r="L4647">
        <v>0</v>
      </c>
      <c r="M4647" t="s">
        <v>4809</v>
      </c>
      <c r="N4647" t="s">
        <v>4900</v>
      </c>
      <c r="O4647" t="s">
        <v>4910</v>
      </c>
    </row>
    <row r="4648" spans="1:15" x14ac:dyDescent="0.35">
      <c r="A4648" t="s">
        <v>4581</v>
      </c>
      <c r="B4648">
        <v>46</v>
      </c>
      <c r="C4648" t="s">
        <v>4803</v>
      </c>
      <c r="D4648" t="s">
        <v>13</v>
      </c>
      <c r="E4648">
        <v>72</v>
      </c>
      <c r="F4648">
        <v>34</v>
      </c>
      <c r="G4648" t="s">
        <v>4798</v>
      </c>
      <c r="H4648" t="s">
        <v>4805</v>
      </c>
      <c r="I4648">
        <v>13.99</v>
      </c>
      <c r="J4648">
        <v>1</v>
      </c>
      <c r="K4648">
        <v>2.4</v>
      </c>
      <c r="L4648">
        <v>0</v>
      </c>
      <c r="M4648" t="s">
        <v>4811</v>
      </c>
      <c r="N4648" t="s">
        <v>4900</v>
      </c>
      <c r="O4648" t="s">
        <v>4910</v>
      </c>
    </row>
    <row r="4649" spans="1:15" x14ac:dyDescent="0.35">
      <c r="A4649" t="s">
        <v>4582</v>
      </c>
      <c r="B4649">
        <v>43</v>
      </c>
      <c r="C4649" t="s">
        <v>4803</v>
      </c>
      <c r="D4649" t="s">
        <v>13</v>
      </c>
      <c r="E4649">
        <v>41</v>
      </c>
      <c r="F4649">
        <v>51</v>
      </c>
      <c r="G4649" t="s">
        <v>4798</v>
      </c>
      <c r="H4649" t="s">
        <v>4806</v>
      </c>
      <c r="I4649">
        <v>13.99</v>
      </c>
      <c r="J4649">
        <v>3</v>
      </c>
      <c r="K4649">
        <v>1.37</v>
      </c>
      <c r="L4649">
        <v>0</v>
      </c>
      <c r="M4649" t="s">
        <v>4812</v>
      </c>
      <c r="N4649" t="s">
        <v>4900</v>
      </c>
      <c r="O4649" t="s">
        <v>4910</v>
      </c>
    </row>
    <row r="4650" spans="1:15" x14ac:dyDescent="0.35">
      <c r="A4650" t="s">
        <v>4583</v>
      </c>
      <c r="B4650">
        <v>52</v>
      </c>
      <c r="C4650" t="s">
        <v>4803</v>
      </c>
      <c r="D4650" t="s">
        <v>15</v>
      </c>
      <c r="E4650">
        <v>106</v>
      </c>
      <c r="F4650">
        <v>15</v>
      </c>
      <c r="G4650" t="s">
        <v>4799</v>
      </c>
      <c r="H4650" t="s">
        <v>4805</v>
      </c>
      <c r="I4650">
        <v>17.989999999999998</v>
      </c>
      <c r="J4650">
        <v>4</v>
      </c>
      <c r="K4650">
        <v>3.53</v>
      </c>
      <c r="L4650">
        <v>0</v>
      </c>
      <c r="M4650" t="s">
        <v>4811</v>
      </c>
      <c r="N4650" t="s">
        <v>4900</v>
      </c>
      <c r="O4650" t="s">
        <v>4910</v>
      </c>
    </row>
    <row r="4651" spans="1:15" x14ac:dyDescent="0.35">
      <c r="A4651" t="s">
        <v>4584</v>
      </c>
      <c r="B4651">
        <v>18</v>
      </c>
      <c r="C4651" t="s">
        <v>4803</v>
      </c>
      <c r="D4651" t="s">
        <v>13</v>
      </c>
      <c r="E4651">
        <v>59</v>
      </c>
      <c r="F4651">
        <v>52</v>
      </c>
      <c r="G4651" t="s">
        <v>4797</v>
      </c>
      <c r="H4651" t="s">
        <v>4805</v>
      </c>
      <c r="I4651">
        <v>13.99</v>
      </c>
      <c r="J4651">
        <v>3</v>
      </c>
      <c r="K4651">
        <v>1.97</v>
      </c>
      <c r="L4651">
        <v>0</v>
      </c>
      <c r="M4651" t="s">
        <v>4809</v>
      </c>
      <c r="N4651" t="s">
        <v>4900</v>
      </c>
      <c r="O4651" t="s">
        <v>4912</v>
      </c>
    </row>
    <row r="4652" spans="1:15" x14ac:dyDescent="0.35">
      <c r="A4652" t="s">
        <v>4585</v>
      </c>
      <c r="B4652">
        <v>53</v>
      </c>
      <c r="C4652" t="s">
        <v>4803</v>
      </c>
      <c r="D4652" t="s">
        <v>13</v>
      </c>
      <c r="E4652">
        <v>32</v>
      </c>
      <c r="F4652">
        <v>21</v>
      </c>
      <c r="G4652" t="s">
        <v>4799</v>
      </c>
      <c r="H4652" t="s">
        <v>4805</v>
      </c>
      <c r="I4652">
        <v>13.99</v>
      </c>
      <c r="J4652">
        <v>3</v>
      </c>
      <c r="K4652">
        <v>1.07</v>
      </c>
      <c r="L4652">
        <v>0</v>
      </c>
      <c r="M4652" t="s">
        <v>4808</v>
      </c>
      <c r="N4652" t="s">
        <v>4900</v>
      </c>
      <c r="O4652" t="s">
        <v>4910</v>
      </c>
    </row>
    <row r="4653" spans="1:15" x14ac:dyDescent="0.35">
      <c r="A4653" t="s">
        <v>4586</v>
      </c>
      <c r="B4653">
        <v>54</v>
      </c>
      <c r="C4653" t="s">
        <v>4802</v>
      </c>
      <c r="D4653" t="s">
        <v>15</v>
      </c>
      <c r="E4653">
        <v>91</v>
      </c>
      <c r="F4653">
        <v>39</v>
      </c>
      <c r="G4653" t="s">
        <v>4799</v>
      </c>
      <c r="H4653" t="s">
        <v>4806</v>
      </c>
      <c r="I4653">
        <v>17.989999999999998</v>
      </c>
      <c r="J4653">
        <v>4</v>
      </c>
      <c r="K4653">
        <v>3.03</v>
      </c>
      <c r="L4653">
        <v>1</v>
      </c>
      <c r="M4653" t="s">
        <v>4811</v>
      </c>
      <c r="N4653" t="s">
        <v>4899</v>
      </c>
      <c r="O4653" t="s">
        <v>4910</v>
      </c>
    </row>
    <row r="4654" spans="1:15" x14ac:dyDescent="0.35">
      <c r="A4654" t="s">
        <v>4587</v>
      </c>
      <c r="B4654">
        <v>51</v>
      </c>
      <c r="C4654" t="s">
        <v>4803</v>
      </c>
      <c r="D4654" t="s">
        <v>13</v>
      </c>
      <c r="E4654">
        <v>36</v>
      </c>
      <c r="F4654">
        <v>25</v>
      </c>
      <c r="G4654" t="s">
        <v>4798</v>
      </c>
      <c r="H4654" t="s">
        <v>4805</v>
      </c>
      <c r="I4654">
        <v>13.99</v>
      </c>
      <c r="J4654">
        <v>2</v>
      </c>
      <c r="K4654">
        <v>1.2</v>
      </c>
      <c r="L4654">
        <v>0</v>
      </c>
      <c r="M4654" t="s">
        <v>4812</v>
      </c>
      <c r="N4654" t="s">
        <v>4900</v>
      </c>
      <c r="O4654" t="s">
        <v>4910</v>
      </c>
    </row>
    <row r="4655" spans="1:15" x14ac:dyDescent="0.35">
      <c r="A4655" t="s">
        <v>4588</v>
      </c>
      <c r="B4655">
        <v>19</v>
      </c>
      <c r="C4655" t="s">
        <v>4803</v>
      </c>
      <c r="D4655" t="s">
        <v>13</v>
      </c>
      <c r="E4655">
        <v>41</v>
      </c>
      <c r="F4655">
        <v>57</v>
      </c>
      <c r="G4655" t="s">
        <v>4797</v>
      </c>
      <c r="H4655" t="s">
        <v>4804</v>
      </c>
      <c r="I4655">
        <v>13.99</v>
      </c>
      <c r="J4655">
        <v>1</v>
      </c>
      <c r="K4655">
        <v>5</v>
      </c>
      <c r="L4655">
        <v>0</v>
      </c>
      <c r="M4655" t="s">
        <v>4811</v>
      </c>
      <c r="N4655" t="s">
        <v>4900</v>
      </c>
      <c r="O4655" t="s">
        <v>4912</v>
      </c>
    </row>
    <row r="4656" spans="1:15" x14ac:dyDescent="0.35">
      <c r="A4656" t="s">
        <v>4589</v>
      </c>
      <c r="B4656">
        <v>64</v>
      </c>
      <c r="C4656" t="s">
        <v>4803</v>
      </c>
      <c r="D4656" t="s">
        <v>13</v>
      </c>
      <c r="E4656">
        <v>55</v>
      </c>
      <c r="F4656">
        <v>19</v>
      </c>
      <c r="G4656" t="s">
        <v>4798</v>
      </c>
      <c r="H4656" t="s">
        <v>4805</v>
      </c>
      <c r="I4656">
        <v>13.99</v>
      </c>
      <c r="J4656">
        <v>4</v>
      </c>
      <c r="K4656">
        <v>1.83</v>
      </c>
      <c r="L4656">
        <v>0</v>
      </c>
      <c r="M4656" t="s">
        <v>4810</v>
      </c>
      <c r="N4656" t="s">
        <v>4900</v>
      </c>
      <c r="O4656" t="s">
        <v>4911</v>
      </c>
    </row>
    <row r="4657" spans="1:15" x14ac:dyDescent="0.35">
      <c r="A4657" t="s">
        <v>4590</v>
      </c>
      <c r="B4657">
        <v>50</v>
      </c>
      <c r="C4657" t="s">
        <v>4802</v>
      </c>
      <c r="D4657" t="s">
        <v>13</v>
      </c>
      <c r="E4657">
        <v>53</v>
      </c>
      <c r="F4657">
        <v>36</v>
      </c>
      <c r="G4657" t="s">
        <v>4799</v>
      </c>
      <c r="H4657" t="s">
        <v>4805</v>
      </c>
      <c r="I4657">
        <v>13.99</v>
      </c>
      <c r="J4657">
        <v>2</v>
      </c>
      <c r="K4657">
        <v>1.77</v>
      </c>
      <c r="L4657">
        <v>0</v>
      </c>
      <c r="M4657" t="s">
        <v>4812</v>
      </c>
      <c r="N4657" t="s">
        <v>4900</v>
      </c>
      <c r="O4657" t="s">
        <v>4910</v>
      </c>
    </row>
    <row r="4658" spans="1:15" x14ac:dyDescent="0.35">
      <c r="A4658" t="s">
        <v>4591</v>
      </c>
      <c r="B4658">
        <v>42</v>
      </c>
      <c r="C4658" t="s">
        <v>4802</v>
      </c>
      <c r="D4658" t="s">
        <v>13</v>
      </c>
      <c r="E4658">
        <v>45</v>
      </c>
      <c r="F4658">
        <v>39</v>
      </c>
      <c r="G4658" t="s">
        <v>4800</v>
      </c>
      <c r="H4658" t="s">
        <v>4804</v>
      </c>
      <c r="I4658">
        <v>13.99</v>
      </c>
      <c r="J4658">
        <v>2</v>
      </c>
      <c r="K4658">
        <v>2.0299999999999998</v>
      </c>
      <c r="L4658">
        <v>1</v>
      </c>
      <c r="M4658" t="s">
        <v>4812</v>
      </c>
      <c r="N4658" t="s">
        <v>4899</v>
      </c>
      <c r="O4658" t="s">
        <v>4910</v>
      </c>
    </row>
    <row r="4659" spans="1:15" x14ac:dyDescent="0.35">
      <c r="A4659" t="s">
        <v>4592</v>
      </c>
      <c r="B4659">
        <v>47</v>
      </c>
      <c r="C4659" t="s">
        <v>4802</v>
      </c>
      <c r="D4659" t="s">
        <v>13</v>
      </c>
      <c r="E4659">
        <v>71</v>
      </c>
      <c r="F4659">
        <v>0</v>
      </c>
      <c r="G4659" t="s">
        <v>4799</v>
      </c>
      <c r="H4659" t="s">
        <v>4804</v>
      </c>
      <c r="I4659">
        <v>13.99</v>
      </c>
      <c r="J4659">
        <v>3</v>
      </c>
      <c r="K4659">
        <v>2.37</v>
      </c>
      <c r="L4659">
        <v>0</v>
      </c>
      <c r="M4659" t="s">
        <v>4808</v>
      </c>
      <c r="N4659" t="s">
        <v>4900</v>
      </c>
      <c r="O4659" t="s">
        <v>4910</v>
      </c>
    </row>
    <row r="4660" spans="1:15" x14ac:dyDescent="0.35">
      <c r="A4660" t="s">
        <v>4593</v>
      </c>
      <c r="B4660">
        <v>64</v>
      </c>
      <c r="C4660" t="s">
        <v>4802</v>
      </c>
      <c r="D4660" t="s">
        <v>13</v>
      </c>
      <c r="E4660">
        <v>60</v>
      </c>
      <c r="F4660">
        <v>15</v>
      </c>
      <c r="G4660" t="s">
        <v>4799</v>
      </c>
      <c r="H4660" t="s">
        <v>4804</v>
      </c>
      <c r="I4660">
        <v>13.99</v>
      </c>
      <c r="J4660">
        <v>2</v>
      </c>
      <c r="K4660">
        <v>2</v>
      </c>
      <c r="L4660">
        <v>0</v>
      </c>
      <c r="M4660" t="s">
        <v>4812</v>
      </c>
      <c r="N4660" t="s">
        <v>4900</v>
      </c>
      <c r="O4660" t="s">
        <v>4911</v>
      </c>
    </row>
    <row r="4661" spans="1:15" x14ac:dyDescent="0.35">
      <c r="A4661" t="s">
        <v>4594</v>
      </c>
      <c r="B4661">
        <v>22</v>
      </c>
      <c r="C4661" t="s">
        <v>4802</v>
      </c>
      <c r="D4661" t="s">
        <v>15</v>
      </c>
      <c r="E4661">
        <v>75</v>
      </c>
      <c r="F4661">
        <v>60</v>
      </c>
      <c r="G4661" t="s">
        <v>4798</v>
      </c>
      <c r="H4661" t="s">
        <v>4806</v>
      </c>
      <c r="I4661">
        <v>17.989999999999998</v>
      </c>
      <c r="J4661">
        <v>4</v>
      </c>
      <c r="K4661">
        <v>2.5</v>
      </c>
      <c r="L4661">
        <v>0</v>
      </c>
      <c r="M4661" t="s">
        <v>4812</v>
      </c>
      <c r="N4661" t="s">
        <v>4900</v>
      </c>
      <c r="O4661" t="s">
        <v>4912</v>
      </c>
    </row>
    <row r="4662" spans="1:15" x14ac:dyDescent="0.35">
      <c r="A4662" t="s">
        <v>4595</v>
      </c>
      <c r="B4662">
        <v>28</v>
      </c>
      <c r="C4662" t="s">
        <v>4803</v>
      </c>
      <c r="D4662" t="s">
        <v>13</v>
      </c>
      <c r="E4662">
        <v>68</v>
      </c>
      <c r="F4662">
        <v>17</v>
      </c>
      <c r="G4662" t="s">
        <v>4797</v>
      </c>
      <c r="H4662" t="s">
        <v>4804</v>
      </c>
      <c r="I4662">
        <v>13.99</v>
      </c>
      <c r="J4662">
        <v>2</v>
      </c>
      <c r="K4662">
        <v>2.27</v>
      </c>
      <c r="L4662">
        <v>0</v>
      </c>
      <c r="M4662" t="s">
        <v>4808</v>
      </c>
      <c r="N4662" t="s">
        <v>4900</v>
      </c>
      <c r="O4662" t="s">
        <v>4912</v>
      </c>
    </row>
    <row r="4663" spans="1:15" x14ac:dyDescent="0.35">
      <c r="A4663" t="s">
        <v>4596</v>
      </c>
      <c r="B4663">
        <v>26</v>
      </c>
      <c r="C4663" t="s">
        <v>4803</v>
      </c>
      <c r="D4663" t="s">
        <v>13</v>
      </c>
      <c r="E4663">
        <v>41</v>
      </c>
      <c r="F4663">
        <v>5</v>
      </c>
      <c r="G4663" t="s">
        <v>4797</v>
      </c>
      <c r="H4663" t="s">
        <v>4804</v>
      </c>
      <c r="I4663">
        <v>13.99</v>
      </c>
      <c r="J4663">
        <v>3</v>
      </c>
      <c r="K4663">
        <v>1.37</v>
      </c>
      <c r="L4663">
        <v>0</v>
      </c>
      <c r="M4663" t="s">
        <v>4809</v>
      </c>
      <c r="N4663" t="s">
        <v>4900</v>
      </c>
      <c r="O4663" t="s">
        <v>4912</v>
      </c>
    </row>
    <row r="4664" spans="1:15" x14ac:dyDescent="0.35">
      <c r="A4664" t="s">
        <v>4597</v>
      </c>
      <c r="B4664">
        <v>19</v>
      </c>
      <c r="C4664" t="s">
        <v>4802</v>
      </c>
      <c r="D4664" t="s">
        <v>15</v>
      </c>
      <c r="E4664">
        <v>77</v>
      </c>
      <c r="F4664">
        <v>42</v>
      </c>
      <c r="G4664" t="s">
        <v>4800</v>
      </c>
      <c r="H4664" t="s">
        <v>4806</v>
      </c>
      <c r="I4664">
        <v>17.989999999999998</v>
      </c>
      <c r="J4664">
        <v>2</v>
      </c>
      <c r="K4664">
        <v>2.57</v>
      </c>
      <c r="L4664">
        <v>1</v>
      </c>
      <c r="M4664" t="s">
        <v>4809</v>
      </c>
      <c r="N4664" t="s">
        <v>4899</v>
      </c>
      <c r="O4664" t="s">
        <v>4912</v>
      </c>
    </row>
    <row r="4665" spans="1:15" x14ac:dyDescent="0.35">
      <c r="A4665" t="s">
        <v>4598</v>
      </c>
      <c r="B4665">
        <v>33</v>
      </c>
      <c r="C4665" t="s">
        <v>4802</v>
      </c>
      <c r="D4665" t="s">
        <v>13</v>
      </c>
      <c r="E4665">
        <v>64</v>
      </c>
      <c r="F4665">
        <v>8</v>
      </c>
      <c r="G4665" t="s">
        <v>4798</v>
      </c>
      <c r="H4665" t="s">
        <v>4804</v>
      </c>
      <c r="I4665">
        <v>13.99</v>
      </c>
      <c r="J4665">
        <v>3</v>
      </c>
      <c r="K4665">
        <v>2.13</v>
      </c>
      <c r="L4665">
        <v>0</v>
      </c>
      <c r="M4665" t="s">
        <v>4808</v>
      </c>
      <c r="N4665" t="s">
        <v>4900</v>
      </c>
      <c r="O4665" t="s">
        <v>4912</v>
      </c>
    </row>
    <row r="4666" spans="1:15" x14ac:dyDescent="0.35">
      <c r="A4666" t="s">
        <v>4599</v>
      </c>
      <c r="B4666">
        <v>28</v>
      </c>
      <c r="C4666" t="s">
        <v>4803</v>
      </c>
      <c r="D4666" t="s">
        <v>13</v>
      </c>
      <c r="E4666">
        <v>46</v>
      </c>
      <c r="F4666">
        <v>45</v>
      </c>
      <c r="G4666" t="s">
        <v>4798</v>
      </c>
      <c r="H4666" t="s">
        <v>4805</v>
      </c>
      <c r="I4666">
        <v>13.99</v>
      </c>
      <c r="J4666">
        <v>1</v>
      </c>
      <c r="K4666">
        <v>1.53</v>
      </c>
      <c r="L4666">
        <v>0</v>
      </c>
      <c r="M4666" t="s">
        <v>4812</v>
      </c>
      <c r="N4666" t="s">
        <v>4900</v>
      </c>
      <c r="O4666" t="s">
        <v>4912</v>
      </c>
    </row>
    <row r="4667" spans="1:15" x14ac:dyDescent="0.35">
      <c r="A4667" t="s">
        <v>4600</v>
      </c>
      <c r="B4667">
        <v>63</v>
      </c>
      <c r="C4667" t="s">
        <v>4803</v>
      </c>
      <c r="D4667" t="s">
        <v>13</v>
      </c>
      <c r="E4667">
        <v>75</v>
      </c>
      <c r="F4667">
        <v>52</v>
      </c>
      <c r="G4667" t="s">
        <v>4799</v>
      </c>
      <c r="H4667" t="s">
        <v>4804</v>
      </c>
      <c r="I4667">
        <v>13.99</v>
      </c>
      <c r="J4667">
        <v>4</v>
      </c>
      <c r="K4667">
        <v>2.5</v>
      </c>
      <c r="L4667">
        <v>0</v>
      </c>
      <c r="M4667" t="s">
        <v>4808</v>
      </c>
      <c r="N4667" t="s">
        <v>4900</v>
      </c>
      <c r="O4667" t="s">
        <v>4911</v>
      </c>
    </row>
    <row r="4668" spans="1:15" x14ac:dyDescent="0.35">
      <c r="A4668" t="s">
        <v>4601</v>
      </c>
      <c r="B4668">
        <v>60</v>
      </c>
      <c r="C4668" t="s">
        <v>4802</v>
      </c>
      <c r="D4668" t="s">
        <v>15</v>
      </c>
      <c r="E4668">
        <v>109</v>
      </c>
      <c r="F4668">
        <v>21</v>
      </c>
      <c r="G4668" t="s">
        <v>4800</v>
      </c>
      <c r="H4668" t="s">
        <v>4805</v>
      </c>
      <c r="I4668">
        <v>17.989999999999998</v>
      </c>
      <c r="J4668">
        <v>3</v>
      </c>
      <c r="K4668">
        <v>3.63</v>
      </c>
      <c r="L4668">
        <v>0</v>
      </c>
      <c r="M4668" t="s">
        <v>4810</v>
      </c>
      <c r="N4668" t="s">
        <v>4900</v>
      </c>
      <c r="O4668" t="s">
        <v>4911</v>
      </c>
    </row>
    <row r="4669" spans="1:15" x14ac:dyDescent="0.35">
      <c r="A4669" t="s">
        <v>4602</v>
      </c>
      <c r="B4669">
        <v>48</v>
      </c>
      <c r="C4669" t="s">
        <v>4803</v>
      </c>
      <c r="D4669" t="s">
        <v>13</v>
      </c>
      <c r="E4669">
        <v>46</v>
      </c>
      <c r="F4669">
        <v>5</v>
      </c>
      <c r="G4669" t="s">
        <v>4797</v>
      </c>
      <c r="H4669" t="s">
        <v>4806</v>
      </c>
      <c r="I4669">
        <v>13.99</v>
      </c>
      <c r="J4669">
        <v>4</v>
      </c>
      <c r="K4669">
        <v>1.53</v>
      </c>
      <c r="L4669">
        <v>0</v>
      </c>
      <c r="M4669" t="s">
        <v>4808</v>
      </c>
      <c r="N4669" t="s">
        <v>4900</v>
      </c>
      <c r="O4669" t="s">
        <v>4910</v>
      </c>
    </row>
    <row r="4670" spans="1:15" x14ac:dyDescent="0.35">
      <c r="A4670" t="s">
        <v>4603</v>
      </c>
      <c r="B4670">
        <v>37</v>
      </c>
      <c r="C4670" t="s">
        <v>4802</v>
      </c>
      <c r="D4670" t="s">
        <v>13</v>
      </c>
      <c r="E4670">
        <v>39</v>
      </c>
      <c r="F4670">
        <v>47</v>
      </c>
      <c r="G4670" t="s">
        <v>4799</v>
      </c>
      <c r="H4670" t="s">
        <v>4807</v>
      </c>
      <c r="I4670">
        <v>13.99</v>
      </c>
      <c r="J4670">
        <v>3</v>
      </c>
      <c r="K4670">
        <v>1.3</v>
      </c>
      <c r="L4670">
        <v>0</v>
      </c>
      <c r="M4670" t="s">
        <v>4808</v>
      </c>
      <c r="N4670" t="s">
        <v>4900</v>
      </c>
      <c r="O4670" t="s">
        <v>4910</v>
      </c>
    </row>
    <row r="4671" spans="1:15" x14ac:dyDescent="0.35">
      <c r="A4671" t="s">
        <v>4604</v>
      </c>
      <c r="B4671">
        <v>42</v>
      </c>
      <c r="C4671" t="s">
        <v>4803</v>
      </c>
      <c r="D4671" t="s">
        <v>13</v>
      </c>
      <c r="E4671">
        <v>78</v>
      </c>
      <c r="F4671">
        <v>53</v>
      </c>
      <c r="G4671" t="s">
        <v>4798</v>
      </c>
      <c r="H4671" t="s">
        <v>4805</v>
      </c>
      <c r="I4671">
        <v>13.99</v>
      </c>
      <c r="J4671">
        <v>1</v>
      </c>
      <c r="K4671">
        <v>2.6</v>
      </c>
      <c r="L4671">
        <v>0</v>
      </c>
      <c r="M4671" t="s">
        <v>4810</v>
      </c>
      <c r="N4671" t="s">
        <v>4900</v>
      </c>
      <c r="O4671" t="s">
        <v>4910</v>
      </c>
    </row>
    <row r="4672" spans="1:15" x14ac:dyDescent="0.35">
      <c r="A4672" t="s">
        <v>4605</v>
      </c>
      <c r="B4672">
        <v>52</v>
      </c>
      <c r="C4672" t="s">
        <v>4803</v>
      </c>
      <c r="D4672" t="s">
        <v>15</v>
      </c>
      <c r="E4672">
        <v>117</v>
      </c>
      <c r="F4672">
        <v>36</v>
      </c>
      <c r="G4672" t="s">
        <v>4798</v>
      </c>
      <c r="H4672" t="s">
        <v>4804</v>
      </c>
      <c r="I4672">
        <v>17.989999999999998</v>
      </c>
      <c r="J4672">
        <v>3</v>
      </c>
      <c r="K4672">
        <v>3.9</v>
      </c>
      <c r="L4672">
        <v>0</v>
      </c>
      <c r="M4672" t="s">
        <v>4808</v>
      </c>
      <c r="N4672" t="s">
        <v>4900</v>
      </c>
      <c r="O4672" t="s">
        <v>4910</v>
      </c>
    </row>
    <row r="4673" spans="1:15" x14ac:dyDescent="0.35">
      <c r="A4673" t="s">
        <v>4606</v>
      </c>
      <c r="B4673">
        <v>55</v>
      </c>
      <c r="C4673" t="s">
        <v>4802</v>
      </c>
      <c r="D4673" t="s">
        <v>15</v>
      </c>
      <c r="E4673">
        <v>71</v>
      </c>
      <c r="F4673">
        <v>21</v>
      </c>
      <c r="G4673" t="s">
        <v>4798</v>
      </c>
      <c r="H4673" t="s">
        <v>4806</v>
      </c>
      <c r="I4673">
        <v>17.989999999999998</v>
      </c>
      <c r="J4673">
        <v>4</v>
      </c>
      <c r="K4673">
        <v>2.37</v>
      </c>
      <c r="L4673">
        <v>0</v>
      </c>
      <c r="M4673" t="s">
        <v>4812</v>
      </c>
      <c r="N4673" t="s">
        <v>4900</v>
      </c>
      <c r="O4673" t="s">
        <v>4911</v>
      </c>
    </row>
    <row r="4674" spans="1:15" x14ac:dyDescent="0.35">
      <c r="A4674" t="s">
        <v>4607</v>
      </c>
      <c r="B4674">
        <v>64</v>
      </c>
      <c r="C4674" t="s">
        <v>4802</v>
      </c>
      <c r="D4674" t="s">
        <v>15</v>
      </c>
      <c r="E4674">
        <v>101</v>
      </c>
      <c r="F4674">
        <v>39</v>
      </c>
      <c r="G4674" t="s">
        <v>4797</v>
      </c>
      <c r="H4674" t="s">
        <v>4804</v>
      </c>
      <c r="I4674">
        <v>17.989999999999998</v>
      </c>
      <c r="J4674">
        <v>2</v>
      </c>
      <c r="K4674">
        <v>3.37</v>
      </c>
      <c r="L4674">
        <v>0</v>
      </c>
      <c r="M4674" t="s">
        <v>4812</v>
      </c>
      <c r="N4674" t="s">
        <v>4900</v>
      </c>
      <c r="O4674" t="s">
        <v>4911</v>
      </c>
    </row>
    <row r="4675" spans="1:15" x14ac:dyDescent="0.35">
      <c r="A4675" t="s">
        <v>4608</v>
      </c>
      <c r="B4675">
        <v>50</v>
      </c>
      <c r="C4675" t="s">
        <v>4803</v>
      </c>
      <c r="D4675" t="s">
        <v>15</v>
      </c>
      <c r="E4675">
        <v>96</v>
      </c>
      <c r="F4675">
        <v>42</v>
      </c>
      <c r="G4675" t="s">
        <v>4797</v>
      </c>
      <c r="H4675" t="s">
        <v>4806</v>
      </c>
      <c r="I4675">
        <v>17.989999999999998</v>
      </c>
      <c r="J4675">
        <v>4</v>
      </c>
      <c r="K4675">
        <v>3.2</v>
      </c>
      <c r="L4675">
        <v>0</v>
      </c>
      <c r="M4675" t="s">
        <v>4809</v>
      </c>
      <c r="N4675" t="s">
        <v>4900</v>
      </c>
      <c r="O4675" t="s">
        <v>4910</v>
      </c>
    </row>
    <row r="4676" spans="1:15" x14ac:dyDescent="0.35">
      <c r="A4676" t="s">
        <v>4609</v>
      </c>
      <c r="B4676">
        <v>32</v>
      </c>
      <c r="C4676" t="s">
        <v>4802</v>
      </c>
      <c r="D4676" t="s">
        <v>13</v>
      </c>
      <c r="E4676">
        <v>74</v>
      </c>
      <c r="F4676">
        <v>47</v>
      </c>
      <c r="G4676" t="s">
        <v>4798</v>
      </c>
      <c r="H4676" t="s">
        <v>4804</v>
      </c>
      <c r="I4676">
        <v>13.99</v>
      </c>
      <c r="J4676">
        <v>1</v>
      </c>
      <c r="K4676">
        <v>2.4700000000000002</v>
      </c>
      <c r="L4676">
        <v>0</v>
      </c>
      <c r="M4676" t="s">
        <v>4808</v>
      </c>
      <c r="N4676" t="s">
        <v>4900</v>
      </c>
      <c r="O4676" t="s">
        <v>4912</v>
      </c>
    </row>
    <row r="4677" spans="1:15" x14ac:dyDescent="0.35">
      <c r="A4677" t="s">
        <v>4610</v>
      </c>
      <c r="B4677">
        <v>64</v>
      </c>
      <c r="C4677" t="s">
        <v>4803</v>
      </c>
      <c r="D4677" t="s">
        <v>13</v>
      </c>
      <c r="E4677">
        <v>31</v>
      </c>
      <c r="F4677">
        <v>999</v>
      </c>
      <c r="G4677" t="s">
        <v>4798</v>
      </c>
      <c r="H4677" t="s">
        <v>4804</v>
      </c>
      <c r="I4677">
        <v>13.99</v>
      </c>
      <c r="J4677">
        <v>4</v>
      </c>
      <c r="K4677">
        <v>1.03</v>
      </c>
      <c r="L4677">
        <v>1</v>
      </c>
      <c r="M4677" t="s">
        <v>4812</v>
      </c>
      <c r="N4677" t="s">
        <v>4899</v>
      </c>
      <c r="O4677" t="s">
        <v>4911</v>
      </c>
    </row>
    <row r="4678" spans="1:15" x14ac:dyDescent="0.35">
      <c r="A4678" t="s">
        <v>4611</v>
      </c>
      <c r="B4678">
        <v>55</v>
      </c>
      <c r="C4678" t="s">
        <v>4802</v>
      </c>
      <c r="D4678" t="s">
        <v>13</v>
      </c>
      <c r="E4678">
        <v>66</v>
      </c>
      <c r="F4678">
        <v>34</v>
      </c>
      <c r="G4678" t="s">
        <v>4797</v>
      </c>
      <c r="H4678" t="s">
        <v>4806</v>
      </c>
      <c r="I4678">
        <v>13.99</v>
      </c>
      <c r="J4678">
        <v>2</v>
      </c>
      <c r="K4678">
        <v>2.2000000000000002</v>
      </c>
      <c r="L4678">
        <v>1</v>
      </c>
      <c r="M4678" t="s">
        <v>4810</v>
      </c>
      <c r="N4678" t="s">
        <v>4899</v>
      </c>
      <c r="O4678" t="s">
        <v>4911</v>
      </c>
    </row>
    <row r="4679" spans="1:15" x14ac:dyDescent="0.35">
      <c r="A4679" t="s">
        <v>4612</v>
      </c>
      <c r="B4679">
        <v>64</v>
      </c>
      <c r="C4679" t="s">
        <v>4802</v>
      </c>
      <c r="D4679" t="s">
        <v>13</v>
      </c>
      <c r="E4679">
        <v>78</v>
      </c>
      <c r="F4679">
        <v>21</v>
      </c>
      <c r="G4679" t="s">
        <v>4799</v>
      </c>
      <c r="H4679" t="s">
        <v>4805</v>
      </c>
      <c r="I4679">
        <v>13.99</v>
      </c>
      <c r="J4679">
        <v>4</v>
      </c>
      <c r="K4679">
        <v>2.6</v>
      </c>
      <c r="L4679">
        <v>0</v>
      </c>
      <c r="M4679" t="s">
        <v>4808</v>
      </c>
      <c r="N4679" t="s">
        <v>4900</v>
      </c>
      <c r="O4679" t="s">
        <v>4911</v>
      </c>
    </row>
    <row r="4680" spans="1:15" x14ac:dyDescent="0.35">
      <c r="A4680" t="s">
        <v>4613</v>
      </c>
      <c r="B4680">
        <v>29</v>
      </c>
      <c r="C4680" t="s">
        <v>4803</v>
      </c>
      <c r="D4680" t="s">
        <v>15</v>
      </c>
      <c r="E4680">
        <v>51</v>
      </c>
      <c r="F4680">
        <v>59</v>
      </c>
      <c r="G4680" t="s">
        <v>4798</v>
      </c>
      <c r="H4680" t="s">
        <v>4805</v>
      </c>
      <c r="I4680">
        <v>17.989999999999998</v>
      </c>
      <c r="J4680">
        <v>2</v>
      </c>
      <c r="K4680">
        <v>1.7</v>
      </c>
      <c r="L4680">
        <v>0</v>
      </c>
      <c r="M4680" t="s">
        <v>4812</v>
      </c>
      <c r="N4680" t="s">
        <v>4900</v>
      </c>
      <c r="O4680" t="s">
        <v>4912</v>
      </c>
    </row>
    <row r="4681" spans="1:15" x14ac:dyDescent="0.35">
      <c r="A4681" t="s">
        <v>4614</v>
      </c>
      <c r="B4681">
        <v>65</v>
      </c>
      <c r="C4681" t="s">
        <v>4802</v>
      </c>
      <c r="D4681" t="s">
        <v>15</v>
      </c>
      <c r="E4681">
        <v>91</v>
      </c>
      <c r="F4681">
        <v>19</v>
      </c>
      <c r="G4681" t="s">
        <v>4797</v>
      </c>
      <c r="H4681" t="s">
        <v>4805</v>
      </c>
      <c r="I4681">
        <v>17.989999999999998</v>
      </c>
      <c r="J4681">
        <v>3</v>
      </c>
      <c r="K4681">
        <v>3.03</v>
      </c>
      <c r="L4681">
        <v>0</v>
      </c>
      <c r="M4681" t="s">
        <v>4809</v>
      </c>
      <c r="N4681" t="s">
        <v>4900</v>
      </c>
      <c r="O4681" t="s">
        <v>4911</v>
      </c>
    </row>
    <row r="4682" spans="1:15" x14ac:dyDescent="0.35">
      <c r="A4682" t="s">
        <v>4615</v>
      </c>
      <c r="B4682">
        <v>30</v>
      </c>
      <c r="C4682" t="s">
        <v>4803</v>
      </c>
      <c r="D4682" t="s">
        <v>13</v>
      </c>
      <c r="E4682">
        <v>36</v>
      </c>
      <c r="F4682" t="s">
        <v>4814</v>
      </c>
      <c r="G4682" t="s">
        <v>4799</v>
      </c>
      <c r="H4682" t="s">
        <v>4805</v>
      </c>
      <c r="I4682">
        <v>13.99</v>
      </c>
      <c r="J4682">
        <v>1</v>
      </c>
      <c r="K4682">
        <v>1.2</v>
      </c>
      <c r="L4682">
        <v>1</v>
      </c>
      <c r="M4682" t="s">
        <v>4809</v>
      </c>
      <c r="N4682" t="s">
        <v>4899</v>
      </c>
      <c r="O4682" t="s">
        <v>4912</v>
      </c>
    </row>
    <row r="4683" spans="1:15" x14ac:dyDescent="0.35">
      <c r="A4683" t="s">
        <v>4616</v>
      </c>
      <c r="B4683">
        <v>24</v>
      </c>
      <c r="C4683" t="s">
        <v>4803</v>
      </c>
      <c r="D4683" t="s">
        <v>15</v>
      </c>
      <c r="E4683">
        <v>71</v>
      </c>
      <c r="F4683">
        <v>35</v>
      </c>
      <c r="G4683" t="s">
        <v>4798</v>
      </c>
      <c r="H4683" t="s">
        <v>4804</v>
      </c>
      <c r="I4683">
        <v>17.989999999999998</v>
      </c>
      <c r="J4683">
        <v>2</v>
      </c>
      <c r="K4683">
        <v>2.37</v>
      </c>
      <c r="L4683">
        <v>0</v>
      </c>
      <c r="M4683" t="s">
        <v>4808</v>
      </c>
      <c r="N4683" t="s">
        <v>4900</v>
      </c>
      <c r="O4683" t="s">
        <v>4912</v>
      </c>
    </row>
    <row r="4684" spans="1:15" x14ac:dyDescent="0.35">
      <c r="A4684" t="s">
        <v>4617</v>
      </c>
      <c r="B4684">
        <v>19</v>
      </c>
      <c r="C4684" t="s">
        <v>4802</v>
      </c>
      <c r="D4684" t="s">
        <v>15</v>
      </c>
      <c r="E4684">
        <v>111</v>
      </c>
      <c r="F4684">
        <v>49</v>
      </c>
      <c r="G4684" t="s">
        <v>4801</v>
      </c>
      <c r="H4684" t="s">
        <v>4806</v>
      </c>
      <c r="I4684">
        <v>17.989999999999998</v>
      </c>
      <c r="J4684">
        <v>3</v>
      </c>
      <c r="K4684">
        <v>3.7</v>
      </c>
      <c r="L4684">
        <v>1</v>
      </c>
      <c r="M4684" t="s">
        <v>4812</v>
      </c>
      <c r="N4684" t="s">
        <v>4899</v>
      </c>
      <c r="O4684" t="s">
        <v>4912</v>
      </c>
    </row>
    <row r="4685" spans="1:15" x14ac:dyDescent="0.35">
      <c r="A4685" t="s">
        <v>4618</v>
      </c>
      <c r="B4685">
        <v>20</v>
      </c>
      <c r="C4685" t="s">
        <v>4803</v>
      </c>
      <c r="D4685" t="s">
        <v>13</v>
      </c>
      <c r="E4685">
        <v>60</v>
      </c>
      <c r="F4685">
        <v>45</v>
      </c>
      <c r="G4685" t="s">
        <v>4798</v>
      </c>
      <c r="H4685" t="s">
        <v>4805</v>
      </c>
      <c r="I4685">
        <v>13.99</v>
      </c>
      <c r="J4685">
        <v>4</v>
      </c>
      <c r="K4685">
        <v>2</v>
      </c>
      <c r="L4685">
        <v>0</v>
      </c>
      <c r="M4685" t="s">
        <v>4808</v>
      </c>
      <c r="N4685" t="s">
        <v>4900</v>
      </c>
      <c r="O4685" t="s">
        <v>4912</v>
      </c>
    </row>
    <row r="4686" spans="1:15" x14ac:dyDescent="0.35">
      <c r="A4686" t="s">
        <v>4619</v>
      </c>
      <c r="B4686">
        <v>62</v>
      </c>
      <c r="C4686" t="s">
        <v>4803</v>
      </c>
      <c r="D4686" t="s">
        <v>13</v>
      </c>
      <c r="E4686">
        <v>42</v>
      </c>
      <c r="F4686">
        <v>29</v>
      </c>
      <c r="G4686" t="s">
        <v>4797</v>
      </c>
      <c r="H4686" t="s">
        <v>4805</v>
      </c>
      <c r="I4686">
        <v>13.99</v>
      </c>
      <c r="J4686">
        <v>2</v>
      </c>
      <c r="K4686">
        <v>1.4</v>
      </c>
      <c r="L4686">
        <v>0</v>
      </c>
      <c r="M4686" t="s">
        <v>4808</v>
      </c>
      <c r="N4686" t="s">
        <v>4900</v>
      </c>
      <c r="O4686" t="s">
        <v>4911</v>
      </c>
    </row>
    <row r="4687" spans="1:15" x14ac:dyDescent="0.35">
      <c r="A4687" t="s">
        <v>4620</v>
      </c>
      <c r="B4687">
        <v>63</v>
      </c>
      <c r="C4687" t="s">
        <v>4803</v>
      </c>
      <c r="D4687" t="s">
        <v>13</v>
      </c>
      <c r="E4687">
        <v>67</v>
      </c>
      <c r="F4687">
        <v>39</v>
      </c>
      <c r="G4687" t="s">
        <v>4800</v>
      </c>
      <c r="H4687" t="s">
        <v>4804</v>
      </c>
      <c r="I4687">
        <v>13.99</v>
      </c>
      <c r="J4687">
        <v>3</v>
      </c>
      <c r="K4687">
        <v>2.23</v>
      </c>
      <c r="L4687">
        <v>0</v>
      </c>
      <c r="M4687" t="s">
        <v>4809</v>
      </c>
      <c r="N4687" t="s">
        <v>4900</v>
      </c>
      <c r="O4687" t="s">
        <v>4911</v>
      </c>
    </row>
    <row r="4688" spans="1:15" x14ac:dyDescent="0.35">
      <c r="A4688" t="s">
        <v>4890</v>
      </c>
      <c r="B4688">
        <v>48</v>
      </c>
      <c r="C4688" t="s">
        <v>4802</v>
      </c>
      <c r="D4688" t="s">
        <v>13</v>
      </c>
      <c r="E4688">
        <v>57</v>
      </c>
      <c r="F4688">
        <v>10</v>
      </c>
      <c r="G4688" t="s">
        <v>4799</v>
      </c>
      <c r="H4688" t="s">
        <v>4805</v>
      </c>
      <c r="I4688">
        <v>13.99</v>
      </c>
      <c r="J4688">
        <v>3</v>
      </c>
      <c r="K4688">
        <v>1.9</v>
      </c>
      <c r="L4688">
        <v>0</v>
      </c>
      <c r="M4688" t="s">
        <v>4811</v>
      </c>
      <c r="N4688" t="s">
        <v>4900</v>
      </c>
      <c r="O4688" t="s">
        <v>4910</v>
      </c>
    </row>
    <row r="4689" spans="1:15" x14ac:dyDescent="0.35">
      <c r="A4689" t="s">
        <v>4621</v>
      </c>
      <c r="B4689">
        <v>63</v>
      </c>
      <c r="C4689" t="s">
        <v>4803</v>
      </c>
      <c r="D4689" t="s">
        <v>13</v>
      </c>
      <c r="E4689">
        <v>73</v>
      </c>
      <c r="F4689">
        <v>16</v>
      </c>
      <c r="G4689" t="s">
        <v>4797</v>
      </c>
      <c r="H4689" t="s">
        <v>4804</v>
      </c>
      <c r="I4689">
        <v>13.99</v>
      </c>
      <c r="J4689">
        <v>1</v>
      </c>
      <c r="K4689">
        <v>2.4300000000000002</v>
      </c>
      <c r="L4689">
        <v>0</v>
      </c>
      <c r="M4689" t="s">
        <v>4811</v>
      </c>
      <c r="N4689" t="s">
        <v>4900</v>
      </c>
      <c r="O4689" t="s">
        <v>4911</v>
      </c>
    </row>
    <row r="4690" spans="1:15" x14ac:dyDescent="0.35">
      <c r="A4690" t="s">
        <v>4622</v>
      </c>
      <c r="B4690">
        <v>24</v>
      </c>
      <c r="C4690" t="s">
        <v>4803</v>
      </c>
      <c r="D4690" t="s">
        <v>13</v>
      </c>
      <c r="E4690">
        <v>66</v>
      </c>
      <c r="F4690">
        <v>7</v>
      </c>
      <c r="G4690" t="s">
        <v>4798</v>
      </c>
      <c r="H4690" t="s">
        <v>4804</v>
      </c>
      <c r="I4690">
        <v>13.99</v>
      </c>
      <c r="J4690">
        <v>1</v>
      </c>
      <c r="K4690">
        <v>2.2000000000000002</v>
      </c>
      <c r="L4690">
        <v>0</v>
      </c>
      <c r="M4690" t="s">
        <v>4808</v>
      </c>
      <c r="N4690" t="s">
        <v>4900</v>
      </c>
      <c r="O4690" t="s">
        <v>4912</v>
      </c>
    </row>
    <row r="4691" spans="1:15" x14ac:dyDescent="0.35">
      <c r="A4691" t="s">
        <v>4623</v>
      </c>
      <c r="B4691">
        <v>44</v>
      </c>
      <c r="C4691" t="s">
        <v>4802</v>
      </c>
      <c r="D4691" t="s">
        <v>15</v>
      </c>
      <c r="E4691">
        <v>57</v>
      </c>
      <c r="F4691">
        <v>48</v>
      </c>
      <c r="G4691" t="s">
        <v>4799</v>
      </c>
      <c r="H4691" t="s">
        <v>4804</v>
      </c>
      <c r="I4691">
        <v>17.989999999999998</v>
      </c>
      <c r="J4691">
        <v>4</v>
      </c>
      <c r="K4691">
        <v>1.9</v>
      </c>
      <c r="L4691">
        <v>0</v>
      </c>
      <c r="M4691" t="s">
        <v>4809</v>
      </c>
      <c r="N4691" t="s">
        <v>4900</v>
      </c>
      <c r="O4691" t="s">
        <v>4910</v>
      </c>
    </row>
    <row r="4692" spans="1:15" x14ac:dyDescent="0.35">
      <c r="A4692" t="s">
        <v>4624</v>
      </c>
      <c r="B4692">
        <v>54</v>
      </c>
      <c r="C4692" t="s">
        <v>4803</v>
      </c>
      <c r="D4692" t="s">
        <v>13</v>
      </c>
      <c r="E4692">
        <v>75</v>
      </c>
      <c r="F4692">
        <v>5</v>
      </c>
      <c r="G4692" t="s">
        <v>4797</v>
      </c>
      <c r="H4692" t="s">
        <v>4805</v>
      </c>
      <c r="I4692">
        <v>13.99</v>
      </c>
      <c r="J4692">
        <v>4</v>
      </c>
      <c r="K4692">
        <v>2.5</v>
      </c>
      <c r="L4692">
        <v>0</v>
      </c>
      <c r="M4692" t="s">
        <v>4812</v>
      </c>
      <c r="N4692" t="s">
        <v>4900</v>
      </c>
      <c r="O4692" t="s">
        <v>4910</v>
      </c>
    </row>
    <row r="4693" spans="1:15" x14ac:dyDescent="0.35">
      <c r="A4693" t="s">
        <v>4625</v>
      </c>
      <c r="B4693">
        <v>26</v>
      </c>
      <c r="C4693" t="s">
        <v>4803</v>
      </c>
      <c r="D4693" t="s">
        <v>15</v>
      </c>
      <c r="E4693">
        <v>58</v>
      </c>
      <c r="F4693">
        <v>55</v>
      </c>
      <c r="G4693" t="s">
        <v>4799</v>
      </c>
      <c r="H4693" t="s">
        <v>4804</v>
      </c>
      <c r="I4693">
        <v>17.989999999999998</v>
      </c>
      <c r="J4693">
        <v>4</v>
      </c>
      <c r="K4693">
        <v>1.93</v>
      </c>
      <c r="L4693">
        <v>0</v>
      </c>
      <c r="M4693" t="s">
        <v>4810</v>
      </c>
      <c r="N4693" t="s">
        <v>4900</v>
      </c>
      <c r="O4693" t="s">
        <v>4912</v>
      </c>
    </row>
    <row r="4694" spans="1:15" x14ac:dyDescent="0.35">
      <c r="A4694" t="s">
        <v>4626</v>
      </c>
      <c r="B4694">
        <v>38</v>
      </c>
      <c r="C4694" t="s">
        <v>4803</v>
      </c>
      <c r="D4694" t="s">
        <v>15</v>
      </c>
      <c r="E4694">
        <v>120</v>
      </c>
      <c r="F4694">
        <v>53</v>
      </c>
      <c r="G4694" t="s">
        <v>4797</v>
      </c>
      <c r="H4694" t="s">
        <v>4804</v>
      </c>
      <c r="I4694">
        <v>17.989999999999998</v>
      </c>
      <c r="J4694">
        <v>4</v>
      </c>
      <c r="K4694">
        <v>4</v>
      </c>
      <c r="L4694">
        <v>0</v>
      </c>
      <c r="M4694" t="s">
        <v>4809</v>
      </c>
      <c r="N4694" t="s">
        <v>4900</v>
      </c>
      <c r="O4694" t="s">
        <v>4910</v>
      </c>
    </row>
    <row r="4695" spans="1:15" x14ac:dyDescent="0.35">
      <c r="A4695" t="s">
        <v>4627</v>
      </c>
      <c r="B4695">
        <v>48</v>
      </c>
      <c r="C4695" t="s">
        <v>4803</v>
      </c>
      <c r="D4695" t="s">
        <v>15</v>
      </c>
      <c r="E4695">
        <v>91</v>
      </c>
      <c r="F4695">
        <v>1</v>
      </c>
      <c r="G4695" t="s">
        <v>4798</v>
      </c>
      <c r="H4695" t="s">
        <v>4805</v>
      </c>
      <c r="I4695">
        <v>17.989999999999998</v>
      </c>
      <c r="J4695">
        <v>5</v>
      </c>
      <c r="K4695">
        <v>3.03</v>
      </c>
      <c r="L4695">
        <v>0</v>
      </c>
      <c r="M4695" t="s">
        <v>4808</v>
      </c>
      <c r="N4695" t="s">
        <v>4900</v>
      </c>
      <c r="O4695" t="s">
        <v>4910</v>
      </c>
    </row>
    <row r="4696" spans="1:15" x14ac:dyDescent="0.35">
      <c r="A4696" t="s">
        <v>4628</v>
      </c>
      <c r="B4696">
        <v>55</v>
      </c>
      <c r="C4696" t="s">
        <v>4803</v>
      </c>
      <c r="D4696" t="s">
        <v>13</v>
      </c>
      <c r="E4696">
        <v>46</v>
      </c>
      <c r="F4696">
        <v>999</v>
      </c>
      <c r="G4696" t="s">
        <v>4800</v>
      </c>
      <c r="H4696" t="s">
        <v>4805</v>
      </c>
      <c r="I4696">
        <v>13.99</v>
      </c>
      <c r="J4696">
        <v>4</v>
      </c>
      <c r="K4696">
        <v>1.53</v>
      </c>
      <c r="L4696">
        <v>0</v>
      </c>
      <c r="M4696" t="s">
        <v>4811</v>
      </c>
      <c r="N4696" t="s">
        <v>4900</v>
      </c>
      <c r="O4696" t="s">
        <v>4911</v>
      </c>
    </row>
    <row r="4697" spans="1:15" x14ac:dyDescent="0.35">
      <c r="A4697" t="s">
        <v>4629</v>
      </c>
      <c r="B4697">
        <v>40</v>
      </c>
      <c r="C4697" t="s">
        <v>4803</v>
      </c>
      <c r="D4697" t="s">
        <v>13</v>
      </c>
      <c r="E4697">
        <v>63</v>
      </c>
      <c r="F4697">
        <v>45</v>
      </c>
      <c r="G4697" t="s">
        <v>4797</v>
      </c>
      <c r="H4697" t="s">
        <v>4805</v>
      </c>
      <c r="I4697">
        <v>13.99</v>
      </c>
      <c r="J4697">
        <v>4</v>
      </c>
      <c r="K4697">
        <v>2.1</v>
      </c>
      <c r="L4697">
        <v>1</v>
      </c>
      <c r="M4697" t="s">
        <v>4810</v>
      </c>
      <c r="N4697" t="s">
        <v>4899</v>
      </c>
      <c r="O4697" t="s">
        <v>4910</v>
      </c>
    </row>
    <row r="4698" spans="1:15" x14ac:dyDescent="0.35">
      <c r="A4698" t="s">
        <v>4630</v>
      </c>
      <c r="B4698">
        <v>46</v>
      </c>
      <c r="C4698" t="s">
        <v>4803</v>
      </c>
      <c r="D4698" t="s">
        <v>15</v>
      </c>
      <c r="E4698">
        <v>117</v>
      </c>
      <c r="F4698">
        <v>19</v>
      </c>
      <c r="G4698" t="s">
        <v>4798</v>
      </c>
      <c r="H4698" t="s">
        <v>4806</v>
      </c>
      <c r="I4698">
        <v>17.989999999999998</v>
      </c>
      <c r="J4698">
        <v>5</v>
      </c>
      <c r="K4698">
        <v>3.9</v>
      </c>
      <c r="L4698">
        <v>0</v>
      </c>
      <c r="M4698" t="s">
        <v>4808</v>
      </c>
      <c r="N4698" t="s">
        <v>4900</v>
      </c>
      <c r="O4698" t="s">
        <v>4910</v>
      </c>
    </row>
    <row r="4699" spans="1:15" x14ac:dyDescent="0.35">
      <c r="A4699" t="s">
        <v>4631</v>
      </c>
      <c r="B4699">
        <v>57</v>
      </c>
      <c r="C4699" t="s">
        <v>4803</v>
      </c>
      <c r="D4699" t="s">
        <v>13</v>
      </c>
      <c r="E4699">
        <v>61</v>
      </c>
      <c r="F4699">
        <v>20</v>
      </c>
      <c r="G4699" t="s">
        <v>4798</v>
      </c>
      <c r="H4699" t="s">
        <v>4804</v>
      </c>
      <c r="I4699">
        <v>13.99</v>
      </c>
      <c r="J4699">
        <v>3</v>
      </c>
      <c r="K4699">
        <v>2.0299999999999998</v>
      </c>
      <c r="L4699">
        <v>0</v>
      </c>
      <c r="M4699" t="s">
        <v>4809</v>
      </c>
      <c r="N4699" t="s">
        <v>4900</v>
      </c>
      <c r="O4699" t="s">
        <v>4911</v>
      </c>
    </row>
    <row r="4700" spans="1:15" x14ac:dyDescent="0.35">
      <c r="A4700" t="s">
        <v>4632</v>
      </c>
      <c r="B4700">
        <v>52</v>
      </c>
      <c r="C4700" t="s">
        <v>4803</v>
      </c>
      <c r="D4700" t="s">
        <v>13</v>
      </c>
      <c r="E4700">
        <v>35</v>
      </c>
      <c r="F4700">
        <v>1</v>
      </c>
      <c r="G4700" t="s">
        <v>4798</v>
      </c>
      <c r="H4700" t="s">
        <v>4805</v>
      </c>
      <c r="I4700">
        <v>13.99</v>
      </c>
      <c r="J4700">
        <v>3</v>
      </c>
      <c r="K4700">
        <v>1.17</v>
      </c>
      <c r="L4700">
        <v>0</v>
      </c>
      <c r="M4700" t="s">
        <v>4811</v>
      </c>
      <c r="N4700" t="s">
        <v>4900</v>
      </c>
      <c r="O4700" t="s">
        <v>4910</v>
      </c>
    </row>
    <row r="4701" spans="1:15" x14ac:dyDescent="0.35">
      <c r="A4701" t="s">
        <v>4633</v>
      </c>
      <c r="B4701">
        <v>40</v>
      </c>
      <c r="C4701" t="s">
        <v>4803</v>
      </c>
      <c r="D4701" t="s">
        <v>13</v>
      </c>
      <c r="E4701">
        <v>74</v>
      </c>
      <c r="F4701">
        <v>38</v>
      </c>
      <c r="G4701" t="s">
        <v>4798</v>
      </c>
      <c r="H4701" t="s">
        <v>4806</v>
      </c>
      <c r="I4701">
        <v>13.99</v>
      </c>
      <c r="J4701">
        <v>2</v>
      </c>
      <c r="K4701">
        <v>2.4700000000000002</v>
      </c>
      <c r="L4701">
        <v>0</v>
      </c>
      <c r="M4701" t="s">
        <v>4812</v>
      </c>
      <c r="N4701" t="s">
        <v>4900</v>
      </c>
      <c r="O4701" t="s">
        <v>4910</v>
      </c>
    </row>
    <row r="4702" spans="1:15" x14ac:dyDescent="0.35">
      <c r="A4702" t="s">
        <v>4634</v>
      </c>
      <c r="B4702">
        <v>59</v>
      </c>
      <c r="C4702" t="s">
        <v>4803</v>
      </c>
      <c r="D4702" t="s">
        <v>13</v>
      </c>
      <c r="E4702">
        <v>60</v>
      </c>
      <c r="F4702">
        <v>20</v>
      </c>
      <c r="G4702" t="s">
        <v>4798</v>
      </c>
      <c r="H4702" t="s">
        <v>4805</v>
      </c>
      <c r="I4702">
        <v>13.99</v>
      </c>
      <c r="J4702">
        <v>1</v>
      </c>
      <c r="K4702">
        <v>2</v>
      </c>
      <c r="L4702">
        <v>0</v>
      </c>
      <c r="M4702" t="s">
        <v>4811</v>
      </c>
      <c r="N4702" t="s">
        <v>4900</v>
      </c>
      <c r="O4702" t="s">
        <v>4911</v>
      </c>
    </row>
    <row r="4703" spans="1:15" x14ac:dyDescent="0.35">
      <c r="A4703" t="s">
        <v>4635</v>
      </c>
      <c r="B4703">
        <v>18</v>
      </c>
      <c r="C4703" t="s">
        <v>4802</v>
      </c>
      <c r="D4703" t="s">
        <v>13</v>
      </c>
      <c r="E4703">
        <v>72</v>
      </c>
      <c r="F4703">
        <v>14</v>
      </c>
      <c r="G4703" t="s">
        <v>4798</v>
      </c>
      <c r="H4703" t="s">
        <v>4805</v>
      </c>
      <c r="I4703">
        <v>13.99</v>
      </c>
      <c r="J4703">
        <v>4</v>
      </c>
      <c r="K4703">
        <v>2.4</v>
      </c>
      <c r="L4703">
        <v>0</v>
      </c>
      <c r="M4703" t="s">
        <v>4812</v>
      </c>
      <c r="N4703" t="s">
        <v>4900</v>
      </c>
      <c r="O4703" t="s">
        <v>4912</v>
      </c>
    </row>
    <row r="4704" spans="1:15" x14ac:dyDescent="0.35">
      <c r="A4704" t="s">
        <v>4636</v>
      </c>
      <c r="B4704">
        <v>29</v>
      </c>
      <c r="C4704" t="s">
        <v>4803</v>
      </c>
      <c r="D4704" t="s">
        <v>13</v>
      </c>
      <c r="E4704">
        <v>49</v>
      </c>
      <c r="F4704">
        <v>53</v>
      </c>
      <c r="G4704" t="s">
        <v>4797</v>
      </c>
      <c r="H4704" t="s">
        <v>4805</v>
      </c>
      <c r="I4704">
        <v>13.99</v>
      </c>
      <c r="J4704">
        <v>4</v>
      </c>
      <c r="K4704">
        <v>1.63</v>
      </c>
      <c r="L4704">
        <v>0</v>
      </c>
      <c r="M4704" t="s">
        <v>4811</v>
      </c>
      <c r="N4704" t="s">
        <v>4900</v>
      </c>
      <c r="O4704" t="s">
        <v>4912</v>
      </c>
    </row>
    <row r="4705" spans="1:15" x14ac:dyDescent="0.35">
      <c r="A4705" t="s">
        <v>4637</v>
      </c>
      <c r="B4705">
        <v>38</v>
      </c>
      <c r="C4705" t="s">
        <v>4803</v>
      </c>
      <c r="D4705" t="s">
        <v>13</v>
      </c>
      <c r="E4705">
        <v>32</v>
      </c>
      <c r="F4705">
        <v>23</v>
      </c>
      <c r="G4705" t="s">
        <v>4798</v>
      </c>
      <c r="H4705" t="s">
        <v>4805</v>
      </c>
      <c r="I4705">
        <v>13.99</v>
      </c>
      <c r="J4705">
        <v>1</v>
      </c>
      <c r="K4705">
        <v>1.07</v>
      </c>
      <c r="L4705">
        <v>0</v>
      </c>
      <c r="M4705" t="s">
        <v>4812</v>
      </c>
      <c r="N4705" t="s">
        <v>4900</v>
      </c>
      <c r="O4705" t="s">
        <v>4910</v>
      </c>
    </row>
    <row r="4706" spans="1:15" x14ac:dyDescent="0.35">
      <c r="A4706" t="s">
        <v>4638</v>
      </c>
      <c r="B4706">
        <v>52</v>
      </c>
      <c r="C4706" t="s">
        <v>4803</v>
      </c>
      <c r="D4706" t="s">
        <v>15</v>
      </c>
      <c r="E4706">
        <v>61</v>
      </c>
      <c r="F4706">
        <v>36</v>
      </c>
      <c r="G4706" t="s">
        <v>4798</v>
      </c>
      <c r="H4706" t="s">
        <v>4805</v>
      </c>
      <c r="I4706">
        <v>17.989999999999998</v>
      </c>
      <c r="J4706">
        <v>2</v>
      </c>
      <c r="K4706">
        <v>2.0299999999999998</v>
      </c>
      <c r="L4706">
        <v>0</v>
      </c>
      <c r="M4706" t="s">
        <v>4811</v>
      </c>
      <c r="N4706" t="s">
        <v>4900</v>
      </c>
      <c r="O4706" t="s">
        <v>4910</v>
      </c>
    </row>
    <row r="4707" spans="1:15" x14ac:dyDescent="0.35">
      <c r="A4707" t="s">
        <v>4639</v>
      </c>
      <c r="B4707">
        <v>45</v>
      </c>
      <c r="C4707" t="s">
        <v>4802</v>
      </c>
      <c r="D4707" t="s">
        <v>13</v>
      </c>
      <c r="E4707">
        <v>79</v>
      </c>
      <c r="F4707">
        <v>58</v>
      </c>
      <c r="G4707" t="s">
        <v>4799</v>
      </c>
      <c r="H4707" t="s">
        <v>4804</v>
      </c>
      <c r="I4707">
        <v>13.99</v>
      </c>
      <c r="J4707">
        <v>4</v>
      </c>
      <c r="K4707">
        <v>2.63</v>
      </c>
      <c r="L4707">
        <v>1</v>
      </c>
      <c r="M4707" t="s">
        <v>4809</v>
      </c>
      <c r="N4707" t="s">
        <v>4899</v>
      </c>
      <c r="O4707" t="s">
        <v>4910</v>
      </c>
    </row>
    <row r="4708" spans="1:15" x14ac:dyDescent="0.35">
      <c r="A4708" t="s">
        <v>4640</v>
      </c>
      <c r="B4708">
        <v>63</v>
      </c>
      <c r="C4708" t="s">
        <v>4802</v>
      </c>
      <c r="D4708" t="s">
        <v>15</v>
      </c>
      <c r="E4708">
        <v>90</v>
      </c>
      <c r="F4708">
        <v>44</v>
      </c>
      <c r="G4708" t="s">
        <v>4798</v>
      </c>
      <c r="H4708" t="s">
        <v>4804</v>
      </c>
      <c r="I4708">
        <v>17.989999999999998</v>
      </c>
      <c r="J4708">
        <v>4</v>
      </c>
      <c r="K4708">
        <v>5</v>
      </c>
      <c r="L4708">
        <v>0</v>
      </c>
      <c r="M4708" t="s">
        <v>4808</v>
      </c>
      <c r="N4708" t="s">
        <v>4900</v>
      </c>
      <c r="O4708" t="s">
        <v>4911</v>
      </c>
    </row>
    <row r="4709" spans="1:15" x14ac:dyDescent="0.35">
      <c r="A4709" t="s">
        <v>4641</v>
      </c>
      <c r="B4709">
        <v>20</v>
      </c>
      <c r="C4709" t="s">
        <v>4802</v>
      </c>
      <c r="D4709" t="s">
        <v>13</v>
      </c>
      <c r="E4709">
        <v>78</v>
      </c>
      <c r="F4709">
        <v>43</v>
      </c>
      <c r="G4709" t="s">
        <v>4799</v>
      </c>
      <c r="H4709" t="s">
        <v>4805</v>
      </c>
      <c r="I4709">
        <v>13.99</v>
      </c>
      <c r="J4709">
        <v>2</v>
      </c>
      <c r="K4709">
        <v>2.6</v>
      </c>
      <c r="L4709">
        <v>0</v>
      </c>
      <c r="M4709" t="s">
        <v>4812</v>
      </c>
      <c r="N4709" t="s">
        <v>4900</v>
      </c>
      <c r="O4709" t="s">
        <v>4912</v>
      </c>
    </row>
    <row r="4710" spans="1:15" x14ac:dyDescent="0.35">
      <c r="A4710" t="s">
        <v>4642</v>
      </c>
      <c r="B4710">
        <v>30</v>
      </c>
      <c r="C4710" t="s">
        <v>4802</v>
      </c>
      <c r="D4710" t="s">
        <v>13</v>
      </c>
      <c r="E4710">
        <v>50</v>
      </c>
      <c r="F4710">
        <v>13</v>
      </c>
      <c r="G4710" t="s">
        <v>4800</v>
      </c>
      <c r="H4710" t="s">
        <v>4805</v>
      </c>
      <c r="I4710">
        <v>13.99</v>
      </c>
      <c r="J4710">
        <v>4</v>
      </c>
      <c r="K4710">
        <v>1.67</v>
      </c>
      <c r="L4710">
        <v>0</v>
      </c>
      <c r="M4710" t="s">
        <v>4812</v>
      </c>
      <c r="N4710" t="s">
        <v>4900</v>
      </c>
      <c r="O4710" t="s">
        <v>4912</v>
      </c>
    </row>
    <row r="4711" spans="1:15" x14ac:dyDescent="0.35">
      <c r="A4711" t="s">
        <v>4643</v>
      </c>
      <c r="B4711">
        <v>24</v>
      </c>
      <c r="C4711" t="s">
        <v>4802</v>
      </c>
      <c r="D4711" t="s">
        <v>13</v>
      </c>
      <c r="E4711">
        <v>38</v>
      </c>
      <c r="F4711">
        <v>22</v>
      </c>
      <c r="G4711" t="s">
        <v>4797</v>
      </c>
      <c r="H4711" t="s">
        <v>4806</v>
      </c>
      <c r="I4711">
        <v>13.99</v>
      </c>
      <c r="J4711">
        <v>2</v>
      </c>
      <c r="K4711">
        <v>1.27</v>
      </c>
      <c r="L4711">
        <v>0</v>
      </c>
      <c r="M4711" t="s">
        <v>4811</v>
      </c>
      <c r="N4711" t="s">
        <v>4900</v>
      </c>
      <c r="O4711" t="s">
        <v>4912</v>
      </c>
    </row>
    <row r="4712" spans="1:15" x14ac:dyDescent="0.35">
      <c r="A4712" t="s">
        <v>4644</v>
      </c>
      <c r="B4712">
        <v>64</v>
      </c>
      <c r="C4712" t="s">
        <v>4802</v>
      </c>
      <c r="D4712" t="s">
        <v>15</v>
      </c>
      <c r="E4712">
        <v>118</v>
      </c>
      <c r="F4712">
        <v>34</v>
      </c>
      <c r="G4712" t="s">
        <v>4798</v>
      </c>
      <c r="H4712" t="s">
        <v>4806</v>
      </c>
      <c r="I4712">
        <v>17.989999999999998</v>
      </c>
      <c r="J4712">
        <v>2</v>
      </c>
      <c r="K4712">
        <v>3.93</v>
      </c>
      <c r="L4712">
        <v>0</v>
      </c>
      <c r="M4712" t="s">
        <v>4810</v>
      </c>
      <c r="N4712" t="s">
        <v>4900</v>
      </c>
      <c r="O4712" t="s">
        <v>4911</v>
      </c>
    </row>
    <row r="4713" spans="1:15" x14ac:dyDescent="0.35">
      <c r="A4713" t="s">
        <v>4645</v>
      </c>
      <c r="B4713">
        <v>35</v>
      </c>
      <c r="C4713" t="s">
        <v>4803</v>
      </c>
      <c r="D4713" t="s">
        <v>14</v>
      </c>
      <c r="E4713">
        <v>23</v>
      </c>
      <c r="F4713">
        <v>52</v>
      </c>
      <c r="G4713" t="s">
        <v>4798</v>
      </c>
      <c r="H4713" t="s">
        <v>4805</v>
      </c>
      <c r="I4713">
        <v>8.99</v>
      </c>
      <c r="J4713">
        <v>2</v>
      </c>
      <c r="K4713">
        <v>0.77</v>
      </c>
      <c r="L4713">
        <v>0</v>
      </c>
      <c r="M4713" t="s">
        <v>4811</v>
      </c>
      <c r="N4713" t="s">
        <v>4900</v>
      </c>
      <c r="O4713" t="s">
        <v>4910</v>
      </c>
    </row>
    <row r="4714" spans="1:15" x14ac:dyDescent="0.35">
      <c r="A4714" t="s">
        <v>4646</v>
      </c>
      <c r="B4714">
        <v>63</v>
      </c>
      <c r="C4714" t="s">
        <v>4802</v>
      </c>
      <c r="D4714" t="s">
        <v>13</v>
      </c>
      <c r="E4714">
        <v>33</v>
      </c>
      <c r="F4714">
        <v>49</v>
      </c>
      <c r="G4714" t="s">
        <v>4797</v>
      </c>
      <c r="H4714" t="s">
        <v>4805</v>
      </c>
      <c r="I4714">
        <v>13.99</v>
      </c>
      <c r="J4714">
        <v>3</v>
      </c>
      <c r="K4714">
        <v>1.1000000000000001</v>
      </c>
      <c r="L4714">
        <v>0</v>
      </c>
      <c r="M4714" t="s">
        <v>4810</v>
      </c>
      <c r="N4714" t="s">
        <v>4900</v>
      </c>
      <c r="O4714" t="s">
        <v>4911</v>
      </c>
    </row>
    <row r="4715" spans="1:15" x14ac:dyDescent="0.35">
      <c r="A4715" t="s">
        <v>4647</v>
      </c>
      <c r="B4715">
        <v>29</v>
      </c>
      <c r="C4715" t="s">
        <v>4802</v>
      </c>
      <c r="D4715" t="s">
        <v>13</v>
      </c>
      <c r="E4715">
        <v>60</v>
      </c>
      <c r="F4715">
        <v>12</v>
      </c>
      <c r="G4715" t="s">
        <v>4799</v>
      </c>
      <c r="H4715" t="s">
        <v>4806</v>
      </c>
      <c r="I4715">
        <v>13.99</v>
      </c>
      <c r="J4715">
        <v>3</v>
      </c>
      <c r="K4715">
        <v>2</v>
      </c>
      <c r="L4715">
        <v>0</v>
      </c>
      <c r="M4715" t="s">
        <v>4808</v>
      </c>
      <c r="N4715" t="s">
        <v>4900</v>
      </c>
      <c r="O4715" t="s">
        <v>4912</v>
      </c>
    </row>
    <row r="4716" spans="1:15" x14ac:dyDescent="0.35">
      <c r="A4716" t="s">
        <v>4648</v>
      </c>
      <c r="B4716">
        <v>27</v>
      </c>
      <c r="C4716" t="s">
        <v>4803</v>
      </c>
      <c r="D4716" t="s">
        <v>13</v>
      </c>
      <c r="E4716">
        <v>49</v>
      </c>
      <c r="F4716">
        <v>29</v>
      </c>
      <c r="G4716" t="s">
        <v>4798</v>
      </c>
      <c r="H4716" t="s">
        <v>4804</v>
      </c>
      <c r="I4716">
        <v>13.99</v>
      </c>
      <c r="J4716">
        <v>4</v>
      </c>
      <c r="K4716">
        <v>1.63</v>
      </c>
      <c r="L4716">
        <v>0</v>
      </c>
      <c r="M4716" t="s">
        <v>4809</v>
      </c>
      <c r="N4716" t="s">
        <v>4900</v>
      </c>
      <c r="O4716" t="s">
        <v>4912</v>
      </c>
    </row>
    <row r="4717" spans="1:15" x14ac:dyDescent="0.35">
      <c r="A4717" t="s">
        <v>4649</v>
      </c>
      <c r="B4717">
        <v>23</v>
      </c>
      <c r="C4717" t="s">
        <v>4803</v>
      </c>
      <c r="D4717" t="s">
        <v>13</v>
      </c>
      <c r="E4717">
        <v>45</v>
      </c>
      <c r="F4717">
        <v>13</v>
      </c>
      <c r="G4717" t="s">
        <v>4798</v>
      </c>
      <c r="H4717" t="s">
        <v>4806</v>
      </c>
      <c r="I4717">
        <v>13.99</v>
      </c>
      <c r="J4717">
        <v>3</v>
      </c>
      <c r="K4717">
        <v>1.5</v>
      </c>
      <c r="L4717">
        <v>0</v>
      </c>
      <c r="M4717" t="s">
        <v>4809</v>
      </c>
      <c r="N4717" t="s">
        <v>4900</v>
      </c>
      <c r="O4717" t="s">
        <v>4912</v>
      </c>
    </row>
    <row r="4718" spans="1:15" x14ac:dyDescent="0.35">
      <c r="A4718" t="s">
        <v>4650</v>
      </c>
      <c r="B4718">
        <v>59</v>
      </c>
      <c r="C4718" t="s">
        <v>4803</v>
      </c>
      <c r="D4718" t="s">
        <v>15</v>
      </c>
      <c r="E4718">
        <v>54</v>
      </c>
      <c r="F4718">
        <v>45</v>
      </c>
      <c r="G4718" t="s">
        <v>4798</v>
      </c>
      <c r="H4718" t="s">
        <v>4804</v>
      </c>
      <c r="I4718">
        <v>17.989999999999998</v>
      </c>
      <c r="J4718">
        <v>5</v>
      </c>
      <c r="K4718">
        <v>2.0299999999999998</v>
      </c>
      <c r="L4718">
        <v>0</v>
      </c>
      <c r="M4718" t="s">
        <v>4808</v>
      </c>
      <c r="N4718" t="s">
        <v>4900</v>
      </c>
      <c r="O4718" t="s">
        <v>4911</v>
      </c>
    </row>
    <row r="4719" spans="1:15" x14ac:dyDescent="0.35">
      <c r="A4719" t="s">
        <v>4651</v>
      </c>
      <c r="B4719">
        <v>57</v>
      </c>
      <c r="C4719" t="s">
        <v>4803</v>
      </c>
      <c r="D4719" t="s">
        <v>15</v>
      </c>
      <c r="E4719">
        <v>76</v>
      </c>
      <c r="F4719">
        <v>40</v>
      </c>
      <c r="G4719" t="s">
        <v>4797</v>
      </c>
      <c r="H4719" t="s">
        <v>4804</v>
      </c>
      <c r="I4719">
        <v>17.989999999999998</v>
      </c>
      <c r="J4719">
        <v>2</v>
      </c>
      <c r="K4719">
        <v>2.0299999999999998</v>
      </c>
      <c r="L4719">
        <v>0</v>
      </c>
      <c r="M4719" t="s">
        <v>4809</v>
      </c>
      <c r="N4719" t="s">
        <v>4900</v>
      </c>
      <c r="O4719" t="s">
        <v>4911</v>
      </c>
    </row>
    <row r="4720" spans="1:15" x14ac:dyDescent="0.35">
      <c r="A4720" t="s">
        <v>4652</v>
      </c>
      <c r="B4720">
        <v>44</v>
      </c>
      <c r="C4720" t="s">
        <v>4802</v>
      </c>
      <c r="D4720" t="s">
        <v>15</v>
      </c>
      <c r="E4720">
        <v>102</v>
      </c>
      <c r="F4720">
        <v>59</v>
      </c>
      <c r="G4720" t="s">
        <v>4798</v>
      </c>
      <c r="H4720" t="s">
        <v>4804</v>
      </c>
      <c r="I4720">
        <v>17.989999999999998</v>
      </c>
      <c r="J4720">
        <v>2</v>
      </c>
      <c r="K4720">
        <v>3.4</v>
      </c>
      <c r="L4720">
        <v>0</v>
      </c>
      <c r="M4720" t="s">
        <v>4810</v>
      </c>
      <c r="N4720" t="s">
        <v>4900</v>
      </c>
      <c r="O4720" t="s">
        <v>4910</v>
      </c>
    </row>
    <row r="4721" spans="1:15" x14ac:dyDescent="0.35">
      <c r="A4721" t="s">
        <v>4653</v>
      </c>
      <c r="B4721">
        <v>47</v>
      </c>
      <c r="C4721" t="s">
        <v>4803</v>
      </c>
      <c r="D4721" t="s">
        <v>13</v>
      </c>
      <c r="E4721">
        <v>49</v>
      </c>
      <c r="F4721">
        <v>35</v>
      </c>
      <c r="G4721" t="s">
        <v>4797</v>
      </c>
      <c r="H4721" t="s">
        <v>4806</v>
      </c>
      <c r="I4721">
        <v>13.99</v>
      </c>
      <c r="J4721">
        <v>2</v>
      </c>
      <c r="K4721">
        <v>2.0299999999999998</v>
      </c>
      <c r="L4721">
        <v>1</v>
      </c>
      <c r="M4721" t="s">
        <v>4808</v>
      </c>
      <c r="N4721" t="s">
        <v>4899</v>
      </c>
      <c r="O4721" t="s">
        <v>4910</v>
      </c>
    </row>
    <row r="4722" spans="1:15" x14ac:dyDescent="0.35">
      <c r="A4722" t="s">
        <v>4654</v>
      </c>
      <c r="B4722">
        <v>55</v>
      </c>
      <c r="C4722" t="s">
        <v>4802</v>
      </c>
      <c r="D4722" t="s">
        <v>13</v>
      </c>
      <c r="E4722">
        <v>77</v>
      </c>
      <c r="F4722">
        <v>9</v>
      </c>
      <c r="G4722" t="s">
        <v>4799</v>
      </c>
      <c r="H4722" t="s">
        <v>4805</v>
      </c>
      <c r="I4722">
        <v>13.99</v>
      </c>
      <c r="J4722">
        <v>1</v>
      </c>
      <c r="K4722">
        <v>2.57</v>
      </c>
      <c r="L4722">
        <v>1</v>
      </c>
      <c r="M4722" t="s">
        <v>4809</v>
      </c>
      <c r="N4722" t="s">
        <v>4899</v>
      </c>
      <c r="O4722" t="s">
        <v>4911</v>
      </c>
    </row>
    <row r="4723" spans="1:15" x14ac:dyDescent="0.35">
      <c r="A4723" t="s">
        <v>4655</v>
      </c>
      <c r="B4723">
        <v>53</v>
      </c>
      <c r="C4723" t="s">
        <v>4802</v>
      </c>
      <c r="D4723" t="s">
        <v>13</v>
      </c>
      <c r="E4723">
        <v>58</v>
      </c>
      <c r="F4723">
        <v>8</v>
      </c>
      <c r="G4723" t="s">
        <v>4799</v>
      </c>
      <c r="H4723" t="s">
        <v>4805</v>
      </c>
      <c r="I4723">
        <v>13.99</v>
      </c>
      <c r="J4723">
        <v>3</v>
      </c>
      <c r="K4723">
        <v>1.93</v>
      </c>
      <c r="L4723">
        <v>0</v>
      </c>
      <c r="M4723" t="s">
        <v>4811</v>
      </c>
      <c r="N4723" t="s">
        <v>4900</v>
      </c>
      <c r="O4723" t="s">
        <v>4910</v>
      </c>
    </row>
    <row r="4724" spans="1:15" x14ac:dyDescent="0.35">
      <c r="A4724" t="s">
        <v>4656</v>
      </c>
      <c r="B4724">
        <v>53</v>
      </c>
      <c r="C4724" t="s">
        <v>4803</v>
      </c>
      <c r="D4724" t="s">
        <v>15</v>
      </c>
      <c r="E4724">
        <v>58</v>
      </c>
      <c r="F4724">
        <v>14</v>
      </c>
      <c r="G4724" t="s">
        <v>4799</v>
      </c>
      <c r="H4724" t="s">
        <v>4805</v>
      </c>
      <c r="I4724">
        <v>17.989999999999998</v>
      </c>
      <c r="J4724">
        <v>3</v>
      </c>
      <c r="K4724">
        <v>1.93</v>
      </c>
      <c r="L4724">
        <v>0</v>
      </c>
      <c r="M4724" t="s">
        <v>4808</v>
      </c>
      <c r="N4724" t="s">
        <v>4900</v>
      </c>
      <c r="O4724" t="s">
        <v>4910</v>
      </c>
    </row>
    <row r="4725" spans="1:15" x14ac:dyDescent="0.35">
      <c r="A4725" t="s">
        <v>4657</v>
      </c>
      <c r="B4725">
        <v>60</v>
      </c>
      <c r="C4725" t="s">
        <v>4803</v>
      </c>
      <c r="D4725" t="s">
        <v>13</v>
      </c>
      <c r="E4725">
        <v>41</v>
      </c>
      <c r="F4725">
        <v>42</v>
      </c>
      <c r="G4725" t="s">
        <v>4798</v>
      </c>
      <c r="H4725" t="s">
        <v>4805</v>
      </c>
      <c r="I4725">
        <v>13.99</v>
      </c>
      <c r="J4725">
        <v>1</v>
      </c>
      <c r="K4725">
        <v>1.37</v>
      </c>
      <c r="L4725">
        <v>0</v>
      </c>
      <c r="M4725" t="s">
        <v>4808</v>
      </c>
      <c r="N4725" t="s">
        <v>4900</v>
      </c>
      <c r="O4725" t="s">
        <v>4911</v>
      </c>
    </row>
    <row r="4726" spans="1:15" x14ac:dyDescent="0.35">
      <c r="A4726" t="s">
        <v>4658</v>
      </c>
      <c r="B4726">
        <v>58</v>
      </c>
      <c r="C4726" t="s">
        <v>4803</v>
      </c>
      <c r="D4726" t="s">
        <v>13</v>
      </c>
      <c r="E4726">
        <v>67</v>
      </c>
      <c r="F4726" t="s">
        <v>4814</v>
      </c>
      <c r="G4726" t="s">
        <v>4799</v>
      </c>
      <c r="H4726" t="s">
        <v>4805</v>
      </c>
      <c r="I4726">
        <v>13.99</v>
      </c>
      <c r="J4726">
        <v>1</v>
      </c>
      <c r="K4726">
        <v>2.23</v>
      </c>
      <c r="L4726">
        <v>1</v>
      </c>
      <c r="M4726" t="s">
        <v>4808</v>
      </c>
      <c r="N4726" t="s">
        <v>4899</v>
      </c>
      <c r="O4726" t="s">
        <v>4911</v>
      </c>
    </row>
    <row r="4727" spans="1:15" x14ac:dyDescent="0.35">
      <c r="A4727" t="s">
        <v>4659</v>
      </c>
      <c r="B4727">
        <v>20</v>
      </c>
      <c r="C4727" t="s">
        <v>4802</v>
      </c>
      <c r="D4727" t="s">
        <v>13</v>
      </c>
      <c r="E4727">
        <v>49</v>
      </c>
      <c r="F4727">
        <v>59</v>
      </c>
      <c r="G4727" t="s">
        <v>4797</v>
      </c>
      <c r="H4727" t="s">
        <v>4805</v>
      </c>
      <c r="I4727">
        <v>13.99</v>
      </c>
      <c r="J4727">
        <v>3</v>
      </c>
      <c r="K4727">
        <v>1.63</v>
      </c>
      <c r="L4727">
        <v>0</v>
      </c>
      <c r="M4727" t="s">
        <v>4808</v>
      </c>
      <c r="N4727" t="s">
        <v>4900</v>
      </c>
      <c r="O4727" t="s">
        <v>4912</v>
      </c>
    </row>
    <row r="4728" spans="1:15" x14ac:dyDescent="0.35">
      <c r="A4728" t="s">
        <v>4660</v>
      </c>
      <c r="B4728">
        <v>60</v>
      </c>
      <c r="C4728" t="s">
        <v>4802</v>
      </c>
      <c r="D4728" t="s">
        <v>15</v>
      </c>
      <c r="E4728">
        <v>37</v>
      </c>
      <c r="F4728">
        <v>23</v>
      </c>
      <c r="G4728" t="s">
        <v>4798</v>
      </c>
      <c r="H4728" t="s">
        <v>4806</v>
      </c>
      <c r="I4728">
        <v>17.989999999999998</v>
      </c>
      <c r="J4728">
        <v>2</v>
      </c>
      <c r="K4728">
        <v>1.23</v>
      </c>
      <c r="L4728">
        <v>0</v>
      </c>
      <c r="M4728" t="s">
        <v>4810</v>
      </c>
      <c r="N4728" t="s">
        <v>4900</v>
      </c>
      <c r="O4728" t="s">
        <v>4911</v>
      </c>
    </row>
    <row r="4729" spans="1:15" x14ac:dyDescent="0.35">
      <c r="A4729" t="s">
        <v>4661</v>
      </c>
      <c r="B4729">
        <v>22</v>
      </c>
      <c r="C4729" t="s">
        <v>4803</v>
      </c>
      <c r="D4729" t="s">
        <v>13</v>
      </c>
      <c r="E4729">
        <v>75</v>
      </c>
      <c r="F4729">
        <v>55</v>
      </c>
      <c r="G4729" t="s">
        <v>4798</v>
      </c>
      <c r="H4729" t="s">
        <v>4805</v>
      </c>
      <c r="I4729">
        <v>13.99</v>
      </c>
      <c r="J4729">
        <v>2</v>
      </c>
      <c r="K4729">
        <v>2.5</v>
      </c>
      <c r="L4729">
        <v>1</v>
      </c>
      <c r="M4729" t="s">
        <v>4808</v>
      </c>
      <c r="N4729" t="s">
        <v>4899</v>
      </c>
      <c r="O4729" t="s">
        <v>4912</v>
      </c>
    </row>
    <row r="4730" spans="1:15" x14ac:dyDescent="0.35">
      <c r="A4730" t="s">
        <v>4662</v>
      </c>
      <c r="B4730">
        <v>44</v>
      </c>
      <c r="C4730" t="s">
        <v>4803</v>
      </c>
      <c r="D4730" t="s">
        <v>13</v>
      </c>
      <c r="E4730">
        <v>67</v>
      </c>
      <c r="F4730">
        <v>7</v>
      </c>
      <c r="G4730" t="s">
        <v>4799</v>
      </c>
      <c r="H4730" t="s">
        <v>4805</v>
      </c>
      <c r="I4730">
        <v>13.99</v>
      </c>
      <c r="J4730">
        <v>3</v>
      </c>
      <c r="K4730">
        <v>2.23</v>
      </c>
      <c r="L4730">
        <v>0</v>
      </c>
      <c r="M4730" t="s">
        <v>4812</v>
      </c>
      <c r="N4730" t="s">
        <v>4900</v>
      </c>
      <c r="O4730" t="s">
        <v>4910</v>
      </c>
    </row>
    <row r="4731" spans="1:15" x14ac:dyDescent="0.35">
      <c r="A4731" t="s">
        <v>4663</v>
      </c>
      <c r="B4731">
        <v>34</v>
      </c>
      <c r="C4731" t="s">
        <v>4802</v>
      </c>
      <c r="D4731" t="s">
        <v>13</v>
      </c>
      <c r="E4731">
        <v>55</v>
      </c>
      <c r="F4731">
        <v>33</v>
      </c>
      <c r="G4731" t="s">
        <v>4799</v>
      </c>
      <c r="H4731" t="s">
        <v>4805</v>
      </c>
      <c r="I4731">
        <v>13.99</v>
      </c>
      <c r="J4731">
        <v>4</v>
      </c>
      <c r="K4731">
        <v>1.83</v>
      </c>
      <c r="L4731">
        <v>1</v>
      </c>
      <c r="M4731" t="s">
        <v>4808</v>
      </c>
      <c r="N4731" t="s">
        <v>4899</v>
      </c>
      <c r="O4731" t="s">
        <v>4912</v>
      </c>
    </row>
    <row r="4732" spans="1:15" x14ac:dyDescent="0.35">
      <c r="A4732" t="s">
        <v>4664</v>
      </c>
      <c r="B4732">
        <v>26</v>
      </c>
      <c r="C4732" t="s">
        <v>4802</v>
      </c>
      <c r="D4732" t="s">
        <v>15</v>
      </c>
      <c r="E4732">
        <v>101</v>
      </c>
      <c r="F4732">
        <v>34</v>
      </c>
      <c r="G4732" t="s">
        <v>4797</v>
      </c>
      <c r="H4732" t="s">
        <v>4805</v>
      </c>
      <c r="I4732">
        <v>17.989999999999998</v>
      </c>
      <c r="J4732">
        <v>4</v>
      </c>
      <c r="K4732">
        <v>3.37</v>
      </c>
      <c r="L4732">
        <v>1</v>
      </c>
      <c r="M4732" t="s">
        <v>4812</v>
      </c>
      <c r="N4732" t="s">
        <v>4899</v>
      </c>
      <c r="O4732" t="s">
        <v>4912</v>
      </c>
    </row>
    <row r="4733" spans="1:15" x14ac:dyDescent="0.35">
      <c r="A4733" t="s">
        <v>4665</v>
      </c>
      <c r="B4733">
        <v>53</v>
      </c>
      <c r="C4733" t="s">
        <v>4802</v>
      </c>
      <c r="D4733" t="s">
        <v>13</v>
      </c>
      <c r="E4733">
        <v>35</v>
      </c>
      <c r="F4733">
        <v>51</v>
      </c>
      <c r="G4733" t="s">
        <v>4798</v>
      </c>
      <c r="H4733" t="s">
        <v>4805</v>
      </c>
      <c r="I4733">
        <v>13.99</v>
      </c>
      <c r="J4733">
        <v>1</v>
      </c>
      <c r="K4733">
        <v>1.17</v>
      </c>
      <c r="L4733">
        <v>0</v>
      </c>
      <c r="M4733" t="s">
        <v>4808</v>
      </c>
      <c r="N4733" t="s">
        <v>4900</v>
      </c>
      <c r="O4733" t="s">
        <v>4910</v>
      </c>
    </row>
    <row r="4734" spans="1:15" x14ac:dyDescent="0.35">
      <c r="A4734" t="s">
        <v>4666</v>
      </c>
      <c r="B4734">
        <v>37</v>
      </c>
      <c r="C4734" t="s">
        <v>4803</v>
      </c>
      <c r="D4734" t="s">
        <v>14</v>
      </c>
      <c r="E4734">
        <v>38</v>
      </c>
      <c r="F4734">
        <v>12</v>
      </c>
      <c r="G4734" t="s">
        <v>4797</v>
      </c>
      <c r="H4734" t="s">
        <v>4806</v>
      </c>
      <c r="I4734">
        <v>8.99</v>
      </c>
      <c r="J4734">
        <v>1</v>
      </c>
      <c r="K4734">
        <v>5</v>
      </c>
      <c r="L4734">
        <v>0</v>
      </c>
      <c r="M4734" t="s">
        <v>4809</v>
      </c>
      <c r="N4734" t="s">
        <v>4900</v>
      </c>
      <c r="O4734" t="s">
        <v>4910</v>
      </c>
    </row>
    <row r="4735" spans="1:15" x14ac:dyDescent="0.35">
      <c r="A4735" t="s">
        <v>4667</v>
      </c>
      <c r="B4735">
        <v>46</v>
      </c>
      <c r="C4735" t="s">
        <v>4803</v>
      </c>
      <c r="D4735" t="s">
        <v>13</v>
      </c>
      <c r="E4735">
        <v>69</v>
      </c>
      <c r="F4735">
        <v>43</v>
      </c>
      <c r="G4735" t="s">
        <v>4797</v>
      </c>
      <c r="H4735" t="s">
        <v>4806</v>
      </c>
      <c r="I4735">
        <v>13.99</v>
      </c>
      <c r="J4735">
        <v>3</v>
      </c>
      <c r="K4735">
        <v>2.2999999999999998</v>
      </c>
      <c r="L4735">
        <v>1</v>
      </c>
      <c r="M4735" t="s">
        <v>4808</v>
      </c>
      <c r="N4735" t="s">
        <v>4899</v>
      </c>
      <c r="O4735" t="s">
        <v>4910</v>
      </c>
    </row>
    <row r="4736" spans="1:15" x14ac:dyDescent="0.35">
      <c r="A4736" t="s">
        <v>4668</v>
      </c>
      <c r="B4736">
        <v>37</v>
      </c>
      <c r="C4736" t="s">
        <v>4802</v>
      </c>
      <c r="D4736" t="s">
        <v>13</v>
      </c>
      <c r="E4736">
        <v>73</v>
      </c>
      <c r="F4736">
        <v>2</v>
      </c>
      <c r="G4736" t="s">
        <v>4798</v>
      </c>
      <c r="H4736" t="s">
        <v>4804</v>
      </c>
      <c r="I4736">
        <v>13.99</v>
      </c>
      <c r="J4736">
        <v>2</v>
      </c>
      <c r="K4736">
        <v>2.4300000000000002</v>
      </c>
      <c r="L4736">
        <v>0</v>
      </c>
      <c r="M4736" t="s">
        <v>4812</v>
      </c>
      <c r="N4736" t="s">
        <v>4900</v>
      </c>
      <c r="O4736" t="s">
        <v>4910</v>
      </c>
    </row>
    <row r="4737" spans="1:15" x14ac:dyDescent="0.35">
      <c r="A4737" t="s">
        <v>4669</v>
      </c>
      <c r="B4737">
        <v>52</v>
      </c>
      <c r="C4737" t="s">
        <v>4802</v>
      </c>
      <c r="D4737" t="s">
        <v>13</v>
      </c>
      <c r="E4737">
        <v>51</v>
      </c>
      <c r="F4737">
        <v>45</v>
      </c>
      <c r="G4737" t="s">
        <v>4799</v>
      </c>
      <c r="H4737" t="s">
        <v>4804</v>
      </c>
      <c r="I4737">
        <v>13.99</v>
      </c>
      <c r="J4737">
        <v>1</v>
      </c>
      <c r="K4737">
        <v>1.7</v>
      </c>
      <c r="L4737">
        <v>0</v>
      </c>
      <c r="M4737" t="s">
        <v>4812</v>
      </c>
      <c r="N4737" t="s">
        <v>4900</v>
      </c>
      <c r="O4737" t="s">
        <v>4910</v>
      </c>
    </row>
    <row r="4738" spans="1:15" x14ac:dyDescent="0.35">
      <c r="A4738" t="s">
        <v>4670</v>
      </c>
      <c r="B4738">
        <v>61</v>
      </c>
      <c r="C4738" t="s">
        <v>4802</v>
      </c>
      <c r="D4738" t="s">
        <v>13</v>
      </c>
      <c r="E4738">
        <v>33</v>
      </c>
      <c r="F4738">
        <v>45</v>
      </c>
      <c r="G4738" t="s">
        <v>4797</v>
      </c>
      <c r="H4738" t="s">
        <v>4805</v>
      </c>
      <c r="I4738">
        <v>13.99</v>
      </c>
      <c r="J4738">
        <v>4</v>
      </c>
      <c r="K4738">
        <v>1.1000000000000001</v>
      </c>
      <c r="L4738">
        <v>0</v>
      </c>
      <c r="M4738" t="s">
        <v>4812</v>
      </c>
      <c r="N4738" t="s">
        <v>4900</v>
      </c>
      <c r="O4738" t="s">
        <v>4911</v>
      </c>
    </row>
    <row r="4739" spans="1:15" x14ac:dyDescent="0.35">
      <c r="A4739" t="s">
        <v>4671</v>
      </c>
      <c r="B4739">
        <v>54</v>
      </c>
      <c r="C4739" t="s">
        <v>4802</v>
      </c>
      <c r="D4739" t="s">
        <v>13</v>
      </c>
      <c r="E4739">
        <v>73</v>
      </c>
      <c r="F4739">
        <v>16</v>
      </c>
      <c r="G4739" t="s">
        <v>4799</v>
      </c>
      <c r="H4739" t="s">
        <v>4804</v>
      </c>
      <c r="I4739">
        <v>13.99</v>
      </c>
      <c r="J4739">
        <v>2</v>
      </c>
      <c r="K4739">
        <v>2.4300000000000002</v>
      </c>
      <c r="L4739">
        <v>0</v>
      </c>
      <c r="M4739" t="s">
        <v>4809</v>
      </c>
      <c r="N4739" t="s">
        <v>4900</v>
      </c>
      <c r="O4739" t="s">
        <v>4910</v>
      </c>
    </row>
    <row r="4740" spans="1:15" x14ac:dyDescent="0.35">
      <c r="A4740" t="s">
        <v>4672</v>
      </c>
      <c r="B4740">
        <v>34</v>
      </c>
      <c r="C4740" t="s">
        <v>4802</v>
      </c>
      <c r="D4740" t="s">
        <v>13</v>
      </c>
      <c r="E4740">
        <v>77</v>
      </c>
      <c r="F4740">
        <v>55</v>
      </c>
      <c r="G4740" t="s">
        <v>4799</v>
      </c>
      <c r="H4740" t="s">
        <v>4805</v>
      </c>
      <c r="I4740">
        <v>13.99</v>
      </c>
      <c r="J4740">
        <v>1</v>
      </c>
      <c r="K4740">
        <v>2.0299999999999998</v>
      </c>
      <c r="L4740">
        <v>0</v>
      </c>
      <c r="M4740" t="s">
        <v>4808</v>
      </c>
      <c r="N4740" t="s">
        <v>4900</v>
      </c>
      <c r="O4740" t="s">
        <v>4912</v>
      </c>
    </row>
    <row r="4741" spans="1:15" x14ac:dyDescent="0.35">
      <c r="A4741" t="s">
        <v>4673</v>
      </c>
      <c r="B4741">
        <v>25</v>
      </c>
      <c r="C4741" t="s">
        <v>4802</v>
      </c>
      <c r="D4741" t="s">
        <v>13</v>
      </c>
      <c r="E4741">
        <v>62</v>
      </c>
      <c r="F4741">
        <v>35</v>
      </c>
      <c r="G4741" t="s">
        <v>4797</v>
      </c>
      <c r="H4741" t="s">
        <v>4805</v>
      </c>
      <c r="I4741">
        <v>13.99</v>
      </c>
      <c r="J4741">
        <v>2</v>
      </c>
      <c r="K4741">
        <v>2.0699999999999998</v>
      </c>
      <c r="L4741">
        <v>0</v>
      </c>
      <c r="M4741" t="s">
        <v>4812</v>
      </c>
      <c r="N4741" t="s">
        <v>4900</v>
      </c>
      <c r="O4741" t="s">
        <v>4912</v>
      </c>
    </row>
    <row r="4742" spans="1:15" x14ac:dyDescent="0.35">
      <c r="A4742" t="s">
        <v>4674</v>
      </c>
      <c r="B4742">
        <v>27</v>
      </c>
      <c r="C4742" t="s">
        <v>4803</v>
      </c>
      <c r="D4742" t="s">
        <v>13</v>
      </c>
      <c r="E4742">
        <v>58</v>
      </c>
      <c r="F4742">
        <v>1</v>
      </c>
      <c r="G4742" t="s">
        <v>4797</v>
      </c>
      <c r="H4742" t="s">
        <v>4804</v>
      </c>
      <c r="I4742">
        <v>13.99</v>
      </c>
      <c r="J4742">
        <v>2</v>
      </c>
      <c r="K4742">
        <v>1.93</v>
      </c>
      <c r="L4742">
        <v>0</v>
      </c>
      <c r="M4742" t="s">
        <v>4808</v>
      </c>
      <c r="N4742" t="s">
        <v>4900</v>
      </c>
      <c r="O4742" t="s">
        <v>4912</v>
      </c>
    </row>
    <row r="4743" spans="1:15" x14ac:dyDescent="0.35">
      <c r="A4743" t="s">
        <v>4675</v>
      </c>
      <c r="B4743">
        <v>48</v>
      </c>
      <c r="C4743" t="s">
        <v>4802</v>
      </c>
      <c r="D4743" t="s">
        <v>13</v>
      </c>
      <c r="E4743">
        <v>62</v>
      </c>
      <c r="F4743">
        <v>57</v>
      </c>
      <c r="G4743" t="s">
        <v>4798</v>
      </c>
      <c r="H4743" t="s">
        <v>4806</v>
      </c>
      <c r="I4743">
        <v>13.99</v>
      </c>
      <c r="J4743">
        <v>4</v>
      </c>
      <c r="K4743">
        <v>2.0699999999999998</v>
      </c>
      <c r="L4743">
        <v>1</v>
      </c>
      <c r="M4743" t="s">
        <v>4810</v>
      </c>
      <c r="N4743" t="s">
        <v>4899</v>
      </c>
      <c r="O4743" t="s">
        <v>4910</v>
      </c>
    </row>
    <row r="4744" spans="1:15" x14ac:dyDescent="0.35">
      <c r="A4744" t="s">
        <v>4676</v>
      </c>
      <c r="B4744">
        <v>31</v>
      </c>
      <c r="C4744" t="s">
        <v>4803</v>
      </c>
      <c r="D4744" t="s">
        <v>15</v>
      </c>
      <c r="E4744">
        <v>96</v>
      </c>
      <c r="F4744">
        <v>60</v>
      </c>
      <c r="G4744" t="s">
        <v>4797</v>
      </c>
      <c r="H4744" t="s">
        <v>4804</v>
      </c>
      <c r="I4744">
        <v>17.989999999999998</v>
      </c>
      <c r="J4744">
        <v>2</v>
      </c>
      <c r="K4744">
        <v>3.2</v>
      </c>
      <c r="L4744">
        <v>0</v>
      </c>
      <c r="M4744" t="s">
        <v>4808</v>
      </c>
      <c r="N4744" t="s">
        <v>4900</v>
      </c>
      <c r="O4744" t="s">
        <v>4912</v>
      </c>
    </row>
    <row r="4745" spans="1:15" x14ac:dyDescent="0.35">
      <c r="A4745" t="s">
        <v>4677</v>
      </c>
      <c r="B4745">
        <v>52</v>
      </c>
      <c r="C4745" t="s">
        <v>4803</v>
      </c>
      <c r="D4745" t="s">
        <v>14</v>
      </c>
      <c r="E4745">
        <v>28</v>
      </c>
      <c r="F4745">
        <v>18</v>
      </c>
      <c r="G4745" t="s">
        <v>4798</v>
      </c>
      <c r="H4745" t="s">
        <v>4805</v>
      </c>
      <c r="I4745">
        <v>8.99</v>
      </c>
      <c r="J4745">
        <v>2</v>
      </c>
      <c r="K4745">
        <v>0.93</v>
      </c>
      <c r="L4745">
        <v>0</v>
      </c>
      <c r="M4745" t="s">
        <v>4811</v>
      </c>
      <c r="N4745" t="s">
        <v>4900</v>
      </c>
      <c r="O4745" t="s">
        <v>4910</v>
      </c>
    </row>
    <row r="4746" spans="1:15" x14ac:dyDescent="0.35">
      <c r="A4746" t="s">
        <v>4678</v>
      </c>
      <c r="B4746">
        <v>51</v>
      </c>
      <c r="C4746" t="s">
        <v>4803</v>
      </c>
      <c r="D4746" t="s">
        <v>14</v>
      </c>
      <c r="E4746">
        <v>33</v>
      </c>
      <c r="F4746">
        <v>33</v>
      </c>
      <c r="G4746" t="s">
        <v>4798</v>
      </c>
      <c r="H4746" t="s">
        <v>4805</v>
      </c>
      <c r="I4746">
        <v>8.99</v>
      </c>
      <c r="J4746">
        <v>1</v>
      </c>
      <c r="K4746">
        <v>1.1000000000000001</v>
      </c>
      <c r="L4746">
        <v>1</v>
      </c>
      <c r="M4746" t="s">
        <v>4811</v>
      </c>
      <c r="N4746" t="s">
        <v>4899</v>
      </c>
      <c r="O4746" t="s">
        <v>4910</v>
      </c>
    </row>
    <row r="4747" spans="1:15" x14ac:dyDescent="0.35">
      <c r="A4747" t="s">
        <v>4679</v>
      </c>
      <c r="B4747">
        <v>43</v>
      </c>
      <c r="C4747" t="s">
        <v>4802</v>
      </c>
      <c r="D4747" t="s">
        <v>13</v>
      </c>
      <c r="E4747">
        <v>49</v>
      </c>
      <c r="F4747">
        <v>42</v>
      </c>
      <c r="G4747" t="s">
        <v>4797</v>
      </c>
      <c r="H4747" t="s">
        <v>4804</v>
      </c>
      <c r="I4747">
        <v>13.99</v>
      </c>
      <c r="J4747">
        <v>2</v>
      </c>
      <c r="K4747">
        <v>1.63</v>
      </c>
      <c r="L4747">
        <v>1</v>
      </c>
      <c r="M4747" t="s">
        <v>4808</v>
      </c>
      <c r="N4747" t="s">
        <v>4899</v>
      </c>
      <c r="O4747" t="s">
        <v>4910</v>
      </c>
    </row>
    <row r="4748" spans="1:15" x14ac:dyDescent="0.35">
      <c r="A4748" t="s">
        <v>4680</v>
      </c>
      <c r="B4748">
        <v>37</v>
      </c>
      <c r="C4748" t="s">
        <v>4803</v>
      </c>
      <c r="D4748" t="s">
        <v>15</v>
      </c>
      <c r="E4748">
        <v>53</v>
      </c>
      <c r="F4748">
        <v>37</v>
      </c>
      <c r="G4748" t="s">
        <v>4798</v>
      </c>
      <c r="H4748" t="s">
        <v>4804</v>
      </c>
      <c r="I4748">
        <v>17.989999999999998</v>
      </c>
      <c r="J4748">
        <v>5</v>
      </c>
      <c r="K4748">
        <v>1.77</v>
      </c>
      <c r="L4748">
        <v>0</v>
      </c>
      <c r="M4748" t="s">
        <v>4808</v>
      </c>
      <c r="N4748" t="s">
        <v>4900</v>
      </c>
      <c r="O4748" t="s">
        <v>4910</v>
      </c>
    </row>
    <row r="4749" spans="1:15" x14ac:dyDescent="0.35">
      <c r="A4749" t="s">
        <v>4681</v>
      </c>
      <c r="B4749">
        <v>59</v>
      </c>
      <c r="C4749" t="s">
        <v>4802</v>
      </c>
      <c r="D4749" t="s">
        <v>14</v>
      </c>
      <c r="E4749">
        <v>26</v>
      </c>
      <c r="F4749">
        <v>35</v>
      </c>
      <c r="G4749" t="s">
        <v>4798</v>
      </c>
      <c r="H4749" t="s">
        <v>4805</v>
      </c>
      <c r="I4749">
        <v>8.99</v>
      </c>
      <c r="J4749">
        <v>1</v>
      </c>
      <c r="K4749">
        <v>0.87</v>
      </c>
      <c r="L4749">
        <v>0</v>
      </c>
      <c r="M4749" t="s">
        <v>4810</v>
      </c>
      <c r="N4749" t="s">
        <v>4900</v>
      </c>
      <c r="O4749" t="s">
        <v>4911</v>
      </c>
    </row>
    <row r="4750" spans="1:15" x14ac:dyDescent="0.35">
      <c r="A4750" t="s">
        <v>4682</v>
      </c>
      <c r="B4750">
        <v>25</v>
      </c>
      <c r="C4750" t="s">
        <v>4803</v>
      </c>
      <c r="D4750" t="s">
        <v>13</v>
      </c>
      <c r="E4750">
        <v>47</v>
      </c>
      <c r="F4750">
        <v>25</v>
      </c>
      <c r="G4750" t="s">
        <v>4799</v>
      </c>
      <c r="H4750" t="s">
        <v>4805</v>
      </c>
      <c r="I4750">
        <v>13.99</v>
      </c>
      <c r="J4750">
        <v>2</v>
      </c>
      <c r="K4750">
        <v>1.57</v>
      </c>
      <c r="L4750">
        <v>0</v>
      </c>
      <c r="M4750" t="s">
        <v>4808</v>
      </c>
      <c r="N4750" t="s">
        <v>4900</v>
      </c>
      <c r="O4750" t="s">
        <v>4912</v>
      </c>
    </row>
    <row r="4751" spans="1:15" x14ac:dyDescent="0.35">
      <c r="A4751" t="s">
        <v>4683</v>
      </c>
      <c r="B4751">
        <v>40</v>
      </c>
      <c r="C4751" t="s">
        <v>4803</v>
      </c>
      <c r="D4751" t="s">
        <v>15</v>
      </c>
      <c r="E4751">
        <v>58</v>
      </c>
      <c r="F4751">
        <v>7</v>
      </c>
      <c r="G4751" t="s">
        <v>4798</v>
      </c>
      <c r="H4751" t="s">
        <v>4805</v>
      </c>
      <c r="I4751">
        <v>17.989999999999998</v>
      </c>
      <c r="J4751">
        <v>5</v>
      </c>
      <c r="K4751">
        <v>1.93</v>
      </c>
      <c r="L4751">
        <v>0</v>
      </c>
      <c r="M4751" t="s">
        <v>4811</v>
      </c>
      <c r="N4751" t="s">
        <v>4900</v>
      </c>
      <c r="O4751" t="s">
        <v>4910</v>
      </c>
    </row>
    <row r="4752" spans="1:15" x14ac:dyDescent="0.35">
      <c r="A4752" t="s">
        <v>4684</v>
      </c>
      <c r="B4752">
        <v>59</v>
      </c>
      <c r="C4752" t="s">
        <v>4802</v>
      </c>
      <c r="D4752" t="s">
        <v>13</v>
      </c>
      <c r="E4752">
        <v>58</v>
      </c>
      <c r="F4752">
        <v>43</v>
      </c>
      <c r="G4752" t="s">
        <v>4797</v>
      </c>
      <c r="H4752" t="s">
        <v>4806</v>
      </c>
      <c r="I4752">
        <v>13.99</v>
      </c>
      <c r="J4752">
        <v>1</v>
      </c>
      <c r="K4752">
        <v>1.93</v>
      </c>
      <c r="L4752">
        <v>0</v>
      </c>
      <c r="M4752" t="s">
        <v>4809</v>
      </c>
      <c r="N4752" t="s">
        <v>4900</v>
      </c>
      <c r="O4752" t="s">
        <v>4911</v>
      </c>
    </row>
    <row r="4753" spans="1:15" x14ac:dyDescent="0.35">
      <c r="A4753" t="s">
        <v>4685</v>
      </c>
      <c r="B4753">
        <v>54</v>
      </c>
      <c r="C4753" t="s">
        <v>4803</v>
      </c>
      <c r="D4753" t="s">
        <v>14</v>
      </c>
      <c r="E4753">
        <v>22</v>
      </c>
      <c r="F4753">
        <v>58</v>
      </c>
      <c r="G4753" t="s">
        <v>4797</v>
      </c>
      <c r="H4753" t="s">
        <v>4806</v>
      </c>
      <c r="I4753">
        <v>8.99</v>
      </c>
      <c r="J4753">
        <v>1</v>
      </c>
      <c r="K4753">
        <v>0.73</v>
      </c>
      <c r="L4753">
        <v>0</v>
      </c>
      <c r="M4753" t="s">
        <v>4808</v>
      </c>
      <c r="N4753" t="s">
        <v>4900</v>
      </c>
      <c r="O4753" t="s">
        <v>4910</v>
      </c>
    </row>
    <row r="4754" spans="1:15" x14ac:dyDescent="0.35">
      <c r="A4754" t="s">
        <v>4686</v>
      </c>
      <c r="B4754">
        <v>43</v>
      </c>
      <c r="C4754" t="s">
        <v>4803</v>
      </c>
      <c r="D4754" t="s">
        <v>13</v>
      </c>
      <c r="E4754">
        <v>67</v>
      </c>
      <c r="F4754">
        <v>8</v>
      </c>
      <c r="G4754" t="s">
        <v>4798</v>
      </c>
      <c r="H4754" t="s">
        <v>4804</v>
      </c>
      <c r="I4754">
        <v>13.99</v>
      </c>
      <c r="J4754">
        <v>2</v>
      </c>
      <c r="K4754">
        <v>2.23</v>
      </c>
      <c r="L4754">
        <v>0</v>
      </c>
      <c r="M4754" t="s">
        <v>4812</v>
      </c>
      <c r="N4754" t="s">
        <v>4900</v>
      </c>
      <c r="O4754" t="s">
        <v>4910</v>
      </c>
    </row>
    <row r="4755" spans="1:15" x14ac:dyDescent="0.35">
      <c r="A4755" t="s">
        <v>4687</v>
      </c>
      <c r="B4755">
        <v>40</v>
      </c>
      <c r="C4755" t="s">
        <v>4802</v>
      </c>
      <c r="D4755" t="s">
        <v>13</v>
      </c>
      <c r="E4755">
        <v>50</v>
      </c>
      <c r="F4755">
        <v>30</v>
      </c>
      <c r="G4755" t="s">
        <v>4797</v>
      </c>
      <c r="H4755" t="s">
        <v>4805</v>
      </c>
      <c r="I4755">
        <v>13.99</v>
      </c>
      <c r="J4755">
        <v>3</v>
      </c>
      <c r="K4755">
        <v>1.67</v>
      </c>
      <c r="L4755">
        <v>1</v>
      </c>
      <c r="M4755" t="s">
        <v>4808</v>
      </c>
      <c r="N4755" t="s">
        <v>4899</v>
      </c>
      <c r="O4755" t="s">
        <v>4910</v>
      </c>
    </row>
    <row r="4756" spans="1:15" x14ac:dyDescent="0.35">
      <c r="A4756" t="s">
        <v>4688</v>
      </c>
      <c r="B4756">
        <v>64</v>
      </c>
      <c r="C4756" t="s">
        <v>4802</v>
      </c>
      <c r="D4756" t="s">
        <v>13</v>
      </c>
      <c r="E4756">
        <v>55</v>
      </c>
      <c r="F4756">
        <v>2</v>
      </c>
      <c r="G4756" t="s">
        <v>4798</v>
      </c>
      <c r="H4756" t="s">
        <v>4804</v>
      </c>
      <c r="I4756">
        <v>13.99</v>
      </c>
      <c r="J4756">
        <v>3</v>
      </c>
      <c r="K4756">
        <v>1.83</v>
      </c>
      <c r="L4756">
        <v>0</v>
      </c>
      <c r="M4756" t="s">
        <v>4810</v>
      </c>
      <c r="N4756" t="s">
        <v>4900</v>
      </c>
      <c r="O4756" t="s">
        <v>4911</v>
      </c>
    </row>
    <row r="4757" spans="1:15" x14ac:dyDescent="0.35">
      <c r="A4757" t="s">
        <v>4689</v>
      </c>
      <c r="B4757">
        <v>42</v>
      </c>
      <c r="C4757" t="s">
        <v>4802</v>
      </c>
      <c r="D4757" t="s">
        <v>15</v>
      </c>
      <c r="E4757">
        <v>58</v>
      </c>
      <c r="F4757">
        <v>10</v>
      </c>
      <c r="G4757" t="s">
        <v>4798</v>
      </c>
      <c r="H4757" t="s">
        <v>4806</v>
      </c>
      <c r="I4757">
        <v>17.989999999999998</v>
      </c>
      <c r="J4757">
        <v>5</v>
      </c>
      <c r="K4757">
        <v>1.93</v>
      </c>
      <c r="L4757">
        <v>0</v>
      </c>
      <c r="M4757" t="s">
        <v>4811</v>
      </c>
      <c r="N4757" t="s">
        <v>4900</v>
      </c>
      <c r="O4757" t="s">
        <v>4910</v>
      </c>
    </row>
    <row r="4758" spans="1:15" x14ac:dyDescent="0.35">
      <c r="A4758" t="s">
        <v>4690</v>
      </c>
      <c r="B4758">
        <v>58</v>
      </c>
      <c r="C4758" t="s">
        <v>4803</v>
      </c>
      <c r="D4758" t="s">
        <v>13</v>
      </c>
      <c r="E4758">
        <v>71</v>
      </c>
      <c r="F4758">
        <v>0</v>
      </c>
      <c r="G4758" t="s">
        <v>4798</v>
      </c>
      <c r="H4758" t="s">
        <v>4805</v>
      </c>
      <c r="I4758">
        <v>13.99</v>
      </c>
      <c r="J4758">
        <v>4</v>
      </c>
      <c r="K4758">
        <v>2.37</v>
      </c>
      <c r="L4758">
        <v>0</v>
      </c>
      <c r="M4758" t="s">
        <v>4810</v>
      </c>
      <c r="N4758" t="s">
        <v>4900</v>
      </c>
      <c r="O4758" t="s">
        <v>4911</v>
      </c>
    </row>
    <row r="4759" spans="1:15" x14ac:dyDescent="0.35">
      <c r="A4759" t="s">
        <v>4691</v>
      </c>
      <c r="B4759">
        <v>25</v>
      </c>
      <c r="C4759" t="s">
        <v>4802</v>
      </c>
      <c r="D4759" t="s">
        <v>13</v>
      </c>
      <c r="E4759">
        <v>42</v>
      </c>
      <c r="F4759">
        <v>21</v>
      </c>
      <c r="G4759" t="s">
        <v>4798</v>
      </c>
      <c r="H4759" t="s">
        <v>4806</v>
      </c>
      <c r="I4759">
        <v>13.99</v>
      </c>
      <c r="J4759">
        <v>1</v>
      </c>
      <c r="K4759">
        <v>1.4</v>
      </c>
      <c r="L4759">
        <v>1</v>
      </c>
      <c r="M4759" t="s">
        <v>4810</v>
      </c>
      <c r="N4759" t="s">
        <v>4899</v>
      </c>
      <c r="O4759" t="s">
        <v>4912</v>
      </c>
    </row>
    <row r="4760" spans="1:15" x14ac:dyDescent="0.35">
      <c r="A4760" t="s">
        <v>4692</v>
      </c>
      <c r="B4760">
        <v>50</v>
      </c>
      <c r="C4760" t="s">
        <v>4803</v>
      </c>
      <c r="D4760" t="s">
        <v>13</v>
      </c>
      <c r="E4760">
        <v>56</v>
      </c>
      <c r="F4760">
        <v>49</v>
      </c>
      <c r="G4760" t="s">
        <v>4798</v>
      </c>
      <c r="H4760" t="s">
        <v>4805</v>
      </c>
      <c r="I4760">
        <v>13.99</v>
      </c>
      <c r="J4760">
        <v>2</v>
      </c>
      <c r="K4760">
        <v>1.87</v>
      </c>
      <c r="L4760">
        <v>1</v>
      </c>
      <c r="M4760" t="s">
        <v>4809</v>
      </c>
      <c r="N4760" t="s">
        <v>4899</v>
      </c>
      <c r="O4760" t="s">
        <v>4910</v>
      </c>
    </row>
    <row r="4761" spans="1:15" x14ac:dyDescent="0.35">
      <c r="A4761" t="s">
        <v>4693</v>
      </c>
      <c r="B4761">
        <v>35</v>
      </c>
      <c r="C4761" t="s">
        <v>4803</v>
      </c>
      <c r="D4761" t="s">
        <v>13</v>
      </c>
      <c r="E4761">
        <v>62</v>
      </c>
      <c r="F4761">
        <v>38</v>
      </c>
      <c r="G4761" t="s">
        <v>4799</v>
      </c>
      <c r="H4761" t="s">
        <v>4805</v>
      </c>
      <c r="I4761">
        <v>13.99</v>
      </c>
      <c r="J4761">
        <v>2</v>
      </c>
      <c r="K4761">
        <v>2.0699999999999998</v>
      </c>
      <c r="L4761">
        <v>0</v>
      </c>
      <c r="M4761" t="s">
        <v>4809</v>
      </c>
      <c r="N4761" t="s">
        <v>4900</v>
      </c>
      <c r="O4761" t="s">
        <v>4910</v>
      </c>
    </row>
    <row r="4762" spans="1:15" x14ac:dyDescent="0.35">
      <c r="A4762" t="s">
        <v>4694</v>
      </c>
      <c r="B4762">
        <v>34</v>
      </c>
      <c r="C4762" t="s">
        <v>4802</v>
      </c>
      <c r="D4762" t="s">
        <v>15</v>
      </c>
      <c r="E4762">
        <v>76</v>
      </c>
      <c r="F4762">
        <v>19</v>
      </c>
      <c r="G4762" t="s">
        <v>4798</v>
      </c>
      <c r="H4762" t="s">
        <v>4805</v>
      </c>
      <c r="I4762">
        <v>17.989999999999998</v>
      </c>
      <c r="J4762">
        <v>4</v>
      </c>
      <c r="K4762">
        <v>2.5299999999999998</v>
      </c>
      <c r="L4762">
        <v>0</v>
      </c>
      <c r="M4762" t="s">
        <v>4808</v>
      </c>
      <c r="N4762" t="s">
        <v>4900</v>
      </c>
      <c r="O4762" t="s">
        <v>4912</v>
      </c>
    </row>
    <row r="4763" spans="1:15" x14ac:dyDescent="0.35">
      <c r="A4763" t="s">
        <v>4695</v>
      </c>
      <c r="B4763">
        <v>29</v>
      </c>
      <c r="C4763" t="s">
        <v>4803</v>
      </c>
      <c r="D4763" t="s">
        <v>13</v>
      </c>
      <c r="E4763">
        <v>42</v>
      </c>
      <c r="F4763">
        <v>9</v>
      </c>
      <c r="G4763" t="s">
        <v>4798</v>
      </c>
      <c r="H4763" t="s">
        <v>4805</v>
      </c>
      <c r="I4763">
        <v>13.99</v>
      </c>
      <c r="J4763">
        <v>3</v>
      </c>
      <c r="K4763">
        <v>1.4</v>
      </c>
      <c r="L4763">
        <v>0</v>
      </c>
      <c r="M4763" t="s">
        <v>4812</v>
      </c>
      <c r="N4763" t="s">
        <v>4900</v>
      </c>
      <c r="O4763" t="s">
        <v>4912</v>
      </c>
    </row>
    <row r="4764" spans="1:15" x14ac:dyDescent="0.35">
      <c r="A4764" t="s">
        <v>4696</v>
      </c>
      <c r="B4764">
        <v>55</v>
      </c>
      <c r="C4764" t="s">
        <v>4803</v>
      </c>
      <c r="D4764" t="s">
        <v>13</v>
      </c>
      <c r="E4764">
        <v>32</v>
      </c>
      <c r="F4764">
        <v>28</v>
      </c>
      <c r="G4764" t="s">
        <v>4797</v>
      </c>
      <c r="H4764" t="s">
        <v>4805</v>
      </c>
      <c r="I4764">
        <v>13.99</v>
      </c>
      <c r="J4764">
        <v>3</v>
      </c>
      <c r="K4764">
        <v>1.07</v>
      </c>
      <c r="L4764">
        <v>0</v>
      </c>
      <c r="M4764" t="s">
        <v>4812</v>
      </c>
      <c r="N4764" t="s">
        <v>4900</v>
      </c>
      <c r="O4764" t="s">
        <v>4911</v>
      </c>
    </row>
    <row r="4765" spans="1:15" x14ac:dyDescent="0.35">
      <c r="A4765" t="s">
        <v>4697</v>
      </c>
      <c r="B4765">
        <v>24</v>
      </c>
      <c r="C4765" t="s">
        <v>4802</v>
      </c>
      <c r="D4765" t="s">
        <v>15</v>
      </c>
      <c r="E4765">
        <v>87</v>
      </c>
      <c r="F4765">
        <v>33</v>
      </c>
      <c r="G4765" t="s">
        <v>4797</v>
      </c>
      <c r="H4765" t="s">
        <v>4805</v>
      </c>
      <c r="I4765">
        <v>17.989999999999998</v>
      </c>
      <c r="J4765">
        <v>3</v>
      </c>
      <c r="K4765">
        <v>2.9</v>
      </c>
      <c r="L4765">
        <v>0</v>
      </c>
      <c r="M4765" t="s">
        <v>4809</v>
      </c>
      <c r="N4765" t="s">
        <v>4900</v>
      </c>
      <c r="O4765" t="s">
        <v>4912</v>
      </c>
    </row>
    <row r="4766" spans="1:15" x14ac:dyDescent="0.35">
      <c r="A4766" t="s">
        <v>4698</v>
      </c>
      <c r="B4766">
        <v>23</v>
      </c>
      <c r="C4766" t="s">
        <v>4803</v>
      </c>
      <c r="D4766" t="s">
        <v>15</v>
      </c>
      <c r="E4766">
        <v>71</v>
      </c>
      <c r="F4766">
        <v>41</v>
      </c>
      <c r="G4766" t="s">
        <v>4799</v>
      </c>
      <c r="H4766" t="s">
        <v>4805</v>
      </c>
      <c r="I4766">
        <v>17.989999999999998</v>
      </c>
      <c r="J4766">
        <v>4</v>
      </c>
      <c r="K4766">
        <v>2.37</v>
      </c>
      <c r="L4766">
        <v>0</v>
      </c>
      <c r="M4766" t="s">
        <v>4811</v>
      </c>
      <c r="N4766" t="s">
        <v>4900</v>
      </c>
      <c r="O4766" t="s">
        <v>4912</v>
      </c>
    </row>
    <row r="4767" spans="1:15" x14ac:dyDescent="0.35">
      <c r="A4767" t="s">
        <v>4699</v>
      </c>
      <c r="B4767">
        <v>50</v>
      </c>
      <c r="C4767" t="s">
        <v>4802</v>
      </c>
      <c r="D4767" t="s">
        <v>13</v>
      </c>
      <c r="E4767">
        <v>30</v>
      </c>
      <c r="F4767">
        <v>38</v>
      </c>
      <c r="G4767" t="s">
        <v>4798</v>
      </c>
      <c r="H4767" t="s">
        <v>4805</v>
      </c>
      <c r="I4767">
        <v>13.99</v>
      </c>
      <c r="J4767">
        <v>4</v>
      </c>
      <c r="K4767">
        <v>1</v>
      </c>
      <c r="L4767">
        <v>0</v>
      </c>
      <c r="M4767" t="s">
        <v>4812</v>
      </c>
      <c r="N4767" t="s">
        <v>4900</v>
      </c>
      <c r="O4767" t="s">
        <v>4910</v>
      </c>
    </row>
    <row r="4768" spans="1:15" x14ac:dyDescent="0.35">
      <c r="A4768" t="s">
        <v>4700</v>
      </c>
      <c r="B4768">
        <v>50</v>
      </c>
      <c r="C4768" t="s">
        <v>4803</v>
      </c>
      <c r="D4768" t="s">
        <v>15</v>
      </c>
      <c r="E4768">
        <v>73</v>
      </c>
      <c r="F4768">
        <v>25</v>
      </c>
      <c r="G4768" t="s">
        <v>4800</v>
      </c>
      <c r="H4768" t="s">
        <v>4804</v>
      </c>
      <c r="I4768">
        <v>17.989999999999998</v>
      </c>
      <c r="J4768">
        <v>2</v>
      </c>
      <c r="K4768">
        <v>5</v>
      </c>
      <c r="L4768">
        <v>1</v>
      </c>
      <c r="M4768" t="s">
        <v>4808</v>
      </c>
      <c r="N4768" t="s">
        <v>4899</v>
      </c>
      <c r="O4768" t="s">
        <v>4910</v>
      </c>
    </row>
    <row r="4769" spans="1:15" x14ac:dyDescent="0.35">
      <c r="A4769" t="s">
        <v>4701</v>
      </c>
      <c r="B4769">
        <v>35</v>
      </c>
      <c r="C4769" t="s">
        <v>4802</v>
      </c>
      <c r="D4769" t="s">
        <v>13</v>
      </c>
      <c r="E4769">
        <v>37</v>
      </c>
      <c r="F4769">
        <v>46</v>
      </c>
      <c r="G4769" t="s">
        <v>4798</v>
      </c>
      <c r="H4769" t="s">
        <v>4804</v>
      </c>
      <c r="I4769">
        <v>13.99</v>
      </c>
      <c r="J4769">
        <v>1</v>
      </c>
      <c r="K4769">
        <v>1.23</v>
      </c>
      <c r="L4769">
        <v>0</v>
      </c>
      <c r="M4769" t="s">
        <v>4811</v>
      </c>
      <c r="N4769" t="s">
        <v>4900</v>
      </c>
      <c r="O4769" t="s">
        <v>4910</v>
      </c>
    </row>
    <row r="4770" spans="1:15" x14ac:dyDescent="0.35">
      <c r="A4770" t="s">
        <v>4702</v>
      </c>
      <c r="B4770">
        <v>33</v>
      </c>
      <c r="C4770" t="s">
        <v>4803</v>
      </c>
      <c r="D4770" t="s">
        <v>13</v>
      </c>
      <c r="E4770">
        <v>46</v>
      </c>
      <c r="F4770">
        <v>25</v>
      </c>
      <c r="G4770" t="s">
        <v>4797</v>
      </c>
      <c r="H4770" t="s">
        <v>4804</v>
      </c>
      <c r="I4770">
        <v>13.99</v>
      </c>
      <c r="J4770">
        <v>4</v>
      </c>
      <c r="K4770">
        <v>1.53</v>
      </c>
      <c r="L4770">
        <v>0</v>
      </c>
      <c r="M4770" t="s">
        <v>4808</v>
      </c>
      <c r="N4770" t="s">
        <v>4900</v>
      </c>
      <c r="O4770" t="s">
        <v>4912</v>
      </c>
    </row>
    <row r="4771" spans="1:15" x14ac:dyDescent="0.35">
      <c r="A4771" t="s">
        <v>4703</v>
      </c>
      <c r="B4771">
        <v>38</v>
      </c>
      <c r="C4771" t="s">
        <v>4802</v>
      </c>
      <c r="D4771" t="s">
        <v>13</v>
      </c>
      <c r="E4771">
        <v>75</v>
      </c>
      <c r="F4771">
        <v>48</v>
      </c>
      <c r="G4771" t="s">
        <v>4799</v>
      </c>
      <c r="H4771" t="s">
        <v>4804</v>
      </c>
      <c r="I4771">
        <v>13.99</v>
      </c>
      <c r="J4771">
        <v>4</v>
      </c>
      <c r="K4771">
        <v>2.5</v>
      </c>
      <c r="L4771">
        <v>0</v>
      </c>
      <c r="M4771" t="s">
        <v>4812</v>
      </c>
      <c r="N4771" t="s">
        <v>4900</v>
      </c>
      <c r="O4771" t="s">
        <v>4910</v>
      </c>
    </row>
    <row r="4772" spans="1:15" x14ac:dyDescent="0.35">
      <c r="A4772" t="s">
        <v>4704</v>
      </c>
      <c r="B4772">
        <v>43</v>
      </c>
      <c r="C4772" t="s">
        <v>4803</v>
      </c>
      <c r="D4772" t="s">
        <v>13</v>
      </c>
      <c r="E4772">
        <v>39</v>
      </c>
      <c r="F4772">
        <v>2</v>
      </c>
      <c r="G4772" t="s">
        <v>4797</v>
      </c>
      <c r="H4772" t="s">
        <v>4806</v>
      </c>
      <c r="I4772">
        <v>13.99</v>
      </c>
      <c r="J4772">
        <v>4</v>
      </c>
      <c r="K4772">
        <v>1.3</v>
      </c>
      <c r="L4772">
        <v>0</v>
      </c>
      <c r="M4772" t="s">
        <v>4811</v>
      </c>
      <c r="N4772" t="s">
        <v>4900</v>
      </c>
      <c r="O4772" t="s">
        <v>4910</v>
      </c>
    </row>
    <row r="4773" spans="1:15" x14ac:dyDescent="0.35">
      <c r="A4773" t="s">
        <v>4705</v>
      </c>
      <c r="B4773">
        <v>25</v>
      </c>
      <c r="C4773" t="s">
        <v>4802</v>
      </c>
      <c r="D4773" t="s">
        <v>13</v>
      </c>
      <c r="E4773">
        <v>32</v>
      </c>
      <c r="F4773">
        <v>55</v>
      </c>
      <c r="G4773" t="s">
        <v>4799</v>
      </c>
      <c r="H4773" t="s">
        <v>4805</v>
      </c>
      <c r="I4773">
        <v>13.99</v>
      </c>
      <c r="J4773">
        <v>3</v>
      </c>
      <c r="K4773">
        <v>5</v>
      </c>
      <c r="L4773">
        <v>0</v>
      </c>
      <c r="M4773" t="s">
        <v>4808</v>
      </c>
      <c r="N4773" t="s">
        <v>4900</v>
      </c>
      <c r="O4773" t="s">
        <v>4912</v>
      </c>
    </row>
    <row r="4774" spans="1:15" x14ac:dyDescent="0.35">
      <c r="A4774" t="s">
        <v>4706</v>
      </c>
      <c r="B4774">
        <v>32</v>
      </c>
      <c r="C4774" t="s">
        <v>4803</v>
      </c>
      <c r="D4774" t="s">
        <v>15</v>
      </c>
      <c r="E4774">
        <v>120</v>
      </c>
      <c r="F4774">
        <v>13</v>
      </c>
      <c r="G4774" t="s">
        <v>4798</v>
      </c>
      <c r="H4774" t="s">
        <v>4805</v>
      </c>
      <c r="I4774">
        <v>17.989999999999998</v>
      </c>
      <c r="J4774">
        <v>3</v>
      </c>
      <c r="K4774">
        <v>4</v>
      </c>
      <c r="L4774">
        <v>0</v>
      </c>
      <c r="M4774" t="s">
        <v>4811</v>
      </c>
      <c r="N4774" t="s">
        <v>4900</v>
      </c>
      <c r="O4774" t="s">
        <v>4912</v>
      </c>
    </row>
    <row r="4775" spans="1:15" x14ac:dyDescent="0.35">
      <c r="A4775" t="s">
        <v>4707</v>
      </c>
      <c r="B4775">
        <v>51</v>
      </c>
      <c r="C4775" t="s">
        <v>4802</v>
      </c>
      <c r="D4775" t="s">
        <v>13</v>
      </c>
      <c r="E4775">
        <v>65</v>
      </c>
      <c r="F4775">
        <v>59</v>
      </c>
      <c r="G4775" t="s">
        <v>4797</v>
      </c>
      <c r="H4775" t="s">
        <v>4805</v>
      </c>
      <c r="I4775">
        <v>13.99</v>
      </c>
      <c r="J4775">
        <v>4</v>
      </c>
      <c r="K4775">
        <v>2.17</v>
      </c>
      <c r="L4775">
        <v>0</v>
      </c>
      <c r="M4775" t="s">
        <v>4809</v>
      </c>
      <c r="N4775" t="s">
        <v>4900</v>
      </c>
      <c r="O4775" t="s">
        <v>4910</v>
      </c>
    </row>
    <row r="4776" spans="1:15" x14ac:dyDescent="0.35">
      <c r="A4776" t="s">
        <v>4708</v>
      </c>
      <c r="B4776">
        <v>54</v>
      </c>
      <c r="C4776" t="s">
        <v>4803</v>
      </c>
      <c r="D4776" t="s">
        <v>15</v>
      </c>
      <c r="E4776">
        <v>56</v>
      </c>
      <c r="F4776">
        <v>41</v>
      </c>
      <c r="G4776" t="s">
        <v>4799</v>
      </c>
      <c r="H4776" t="s">
        <v>4805</v>
      </c>
      <c r="I4776">
        <v>17.989999999999998</v>
      </c>
      <c r="J4776">
        <v>4</v>
      </c>
      <c r="K4776">
        <v>1.87</v>
      </c>
      <c r="L4776">
        <v>0</v>
      </c>
      <c r="M4776" t="s">
        <v>4810</v>
      </c>
      <c r="N4776" t="s">
        <v>4900</v>
      </c>
      <c r="O4776" t="s">
        <v>4910</v>
      </c>
    </row>
    <row r="4777" spans="1:15" x14ac:dyDescent="0.35">
      <c r="A4777" t="s">
        <v>4709</v>
      </c>
      <c r="B4777">
        <v>55</v>
      </c>
      <c r="C4777" t="s">
        <v>4802</v>
      </c>
      <c r="D4777" t="s">
        <v>13</v>
      </c>
      <c r="E4777">
        <v>58</v>
      </c>
      <c r="F4777">
        <v>33</v>
      </c>
      <c r="G4777" t="s">
        <v>4797</v>
      </c>
      <c r="H4777" t="s">
        <v>4804</v>
      </c>
      <c r="I4777">
        <v>13.99</v>
      </c>
      <c r="J4777">
        <v>1</v>
      </c>
      <c r="K4777">
        <v>1.93</v>
      </c>
      <c r="L4777">
        <v>0</v>
      </c>
      <c r="M4777" t="s">
        <v>4811</v>
      </c>
      <c r="N4777" t="s">
        <v>4900</v>
      </c>
      <c r="O4777" t="s">
        <v>4911</v>
      </c>
    </row>
    <row r="4778" spans="1:15" x14ac:dyDescent="0.35">
      <c r="A4778" t="s">
        <v>4710</v>
      </c>
      <c r="B4778">
        <v>24</v>
      </c>
      <c r="C4778" t="s">
        <v>4803</v>
      </c>
      <c r="D4778" t="s">
        <v>13</v>
      </c>
      <c r="E4778">
        <v>71</v>
      </c>
      <c r="F4778">
        <v>13</v>
      </c>
      <c r="G4778" t="s">
        <v>4798</v>
      </c>
      <c r="H4778" t="s">
        <v>4805</v>
      </c>
      <c r="I4778">
        <v>13.99</v>
      </c>
      <c r="J4778">
        <v>3</v>
      </c>
      <c r="K4778">
        <v>2.0299999999999998</v>
      </c>
      <c r="L4778">
        <v>1</v>
      </c>
      <c r="M4778" t="s">
        <v>4812</v>
      </c>
      <c r="N4778" t="s">
        <v>4899</v>
      </c>
      <c r="O4778" t="s">
        <v>4912</v>
      </c>
    </row>
    <row r="4779" spans="1:15" x14ac:dyDescent="0.35">
      <c r="A4779" t="s">
        <v>4711</v>
      </c>
      <c r="B4779">
        <v>39</v>
      </c>
      <c r="C4779" t="s">
        <v>4803</v>
      </c>
      <c r="D4779" t="s">
        <v>13</v>
      </c>
      <c r="E4779">
        <v>41</v>
      </c>
      <c r="F4779">
        <v>57</v>
      </c>
      <c r="G4779" t="s">
        <v>4797</v>
      </c>
      <c r="H4779" t="s">
        <v>4804</v>
      </c>
      <c r="I4779">
        <v>13.99</v>
      </c>
      <c r="J4779">
        <v>1</v>
      </c>
      <c r="K4779">
        <v>1.37</v>
      </c>
      <c r="L4779">
        <v>1</v>
      </c>
      <c r="M4779" t="s">
        <v>4809</v>
      </c>
      <c r="N4779" t="s">
        <v>4899</v>
      </c>
      <c r="O4779" t="s">
        <v>4910</v>
      </c>
    </row>
    <row r="4780" spans="1:15" x14ac:dyDescent="0.35">
      <c r="A4780" t="s">
        <v>4712</v>
      </c>
      <c r="B4780">
        <v>51</v>
      </c>
      <c r="C4780" t="s">
        <v>4802</v>
      </c>
      <c r="D4780" t="s">
        <v>13</v>
      </c>
      <c r="E4780">
        <v>79</v>
      </c>
      <c r="F4780">
        <v>48</v>
      </c>
      <c r="G4780" t="s">
        <v>4799</v>
      </c>
      <c r="H4780" t="s">
        <v>4806</v>
      </c>
      <c r="I4780">
        <v>13.99</v>
      </c>
      <c r="J4780">
        <v>1</v>
      </c>
      <c r="K4780">
        <v>2.63</v>
      </c>
      <c r="L4780">
        <v>0</v>
      </c>
      <c r="M4780" t="s">
        <v>4808</v>
      </c>
      <c r="N4780" t="s">
        <v>4900</v>
      </c>
      <c r="O4780" t="s">
        <v>4910</v>
      </c>
    </row>
    <row r="4781" spans="1:15" x14ac:dyDescent="0.35">
      <c r="A4781" t="s">
        <v>4713</v>
      </c>
      <c r="B4781">
        <v>61</v>
      </c>
      <c r="C4781" t="s">
        <v>4803</v>
      </c>
      <c r="D4781" t="s">
        <v>15</v>
      </c>
      <c r="E4781">
        <v>78</v>
      </c>
      <c r="F4781">
        <v>42</v>
      </c>
      <c r="G4781" t="s">
        <v>4798</v>
      </c>
      <c r="H4781" t="s">
        <v>4805</v>
      </c>
      <c r="I4781">
        <v>17.989999999999998</v>
      </c>
      <c r="J4781">
        <v>4</v>
      </c>
      <c r="K4781">
        <v>2.6</v>
      </c>
      <c r="L4781">
        <v>0</v>
      </c>
      <c r="M4781" t="s">
        <v>4812</v>
      </c>
      <c r="N4781" t="s">
        <v>4900</v>
      </c>
      <c r="O4781" t="s">
        <v>4911</v>
      </c>
    </row>
    <row r="4782" spans="1:15" x14ac:dyDescent="0.35">
      <c r="A4782" t="s">
        <v>4714</v>
      </c>
      <c r="B4782">
        <v>38</v>
      </c>
      <c r="C4782" t="s">
        <v>4802</v>
      </c>
      <c r="D4782" t="s">
        <v>13</v>
      </c>
      <c r="E4782">
        <v>52</v>
      </c>
      <c r="F4782">
        <v>2</v>
      </c>
      <c r="G4782" t="s">
        <v>4799</v>
      </c>
      <c r="H4782" t="s">
        <v>4805</v>
      </c>
      <c r="I4782">
        <v>13.99</v>
      </c>
      <c r="J4782">
        <v>1</v>
      </c>
      <c r="K4782">
        <v>1.73</v>
      </c>
      <c r="L4782">
        <v>0</v>
      </c>
      <c r="M4782" t="s">
        <v>4811</v>
      </c>
      <c r="N4782" t="s">
        <v>4900</v>
      </c>
      <c r="O4782" t="s">
        <v>4910</v>
      </c>
    </row>
    <row r="4783" spans="1:15" x14ac:dyDescent="0.35">
      <c r="A4783" t="s">
        <v>4715</v>
      </c>
      <c r="B4783">
        <v>59</v>
      </c>
      <c r="C4783" t="s">
        <v>4802</v>
      </c>
      <c r="D4783" t="s">
        <v>13</v>
      </c>
      <c r="E4783">
        <v>61</v>
      </c>
      <c r="F4783">
        <v>54</v>
      </c>
      <c r="G4783" t="s">
        <v>4799</v>
      </c>
      <c r="H4783" t="s">
        <v>4804</v>
      </c>
      <c r="I4783">
        <v>13.99</v>
      </c>
      <c r="J4783">
        <v>3</v>
      </c>
      <c r="K4783">
        <v>2.0299999999999998</v>
      </c>
      <c r="L4783">
        <v>0</v>
      </c>
      <c r="M4783" t="s">
        <v>4808</v>
      </c>
      <c r="N4783" t="s">
        <v>4900</v>
      </c>
      <c r="O4783" t="s">
        <v>4911</v>
      </c>
    </row>
    <row r="4784" spans="1:15" x14ac:dyDescent="0.35">
      <c r="A4784" t="s">
        <v>4716</v>
      </c>
      <c r="B4784">
        <v>32</v>
      </c>
      <c r="C4784" t="s">
        <v>4803</v>
      </c>
      <c r="D4784" t="s">
        <v>15</v>
      </c>
      <c r="E4784">
        <v>86</v>
      </c>
      <c r="F4784">
        <v>23</v>
      </c>
      <c r="G4784" t="s">
        <v>4797</v>
      </c>
      <c r="H4784" t="s">
        <v>4805</v>
      </c>
      <c r="I4784">
        <v>17.989999999999998</v>
      </c>
      <c r="J4784">
        <v>5</v>
      </c>
      <c r="K4784">
        <v>2.87</v>
      </c>
      <c r="L4784">
        <v>0</v>
      </c>
      <c r="M4784" t="s">
        <v>4810</v>
      </c>
      <c r="N4784" t="s">
        <v>4900</v>
      </c>
      <c r="O4784" t="s">
        <v>4912</v>
      </c>
    </row>
    <row r="4785" spans="1:15" x14ac:dyDescent="0.35">
      <c r="A4785" t="s">
        <v>4717</v>
      </c>
      <c r="B4785">
        <v>65</v>
      </c>
      <c r="C4785" t="s">
        <v>4802</v>
      </c>
      <c r="D4785" t="s">
        <v>13</v>
      </c>
      <c r="E4785">
        <v>57</v>
      </c>
      <c r="F4785">
        <v>16</v>
      </c>
      <c r="G4785" t="s">
        <v>4798</v>
      </c>
      <c r="H4785" t="s">
        <v>4804</v>
      </c>
      <c r="I4785">
        <v>13.99</v>
      </c>
      <c r="J4785">
        <v>4</v>
      </c>
      <c r="K4785">
        <v>1.9</v>
      </c>
      <c r="L4785">
        <v>0</v>
      </c>
      <c r="M4785" t="s">
        <v>4810</v>
      </c>
      <c r="N4785" t="s">
        <v>4900</v>
      </c>
      <c r="O4785" t="s">
        <v>4911</v>
      </c>
    </row>
    <row r="4786" spans="1:15" x14ac:dyDescent="0.35">
      <c r="A4786" t="s">
        <v>4718</v>
      </c>
      <c r="B4786">
        <v>41</v>
      </c>
      <c r="C4786" t="s">
        <v>4803</v>
      </c>
      <c r="D4786" t="s">
        <v>13</v>
      </c>
      <c r="E4786">
        <v>40</v>
      </c>
      <c r="F4786">
        <v>50</v>
      </c>
      <c r="G4786" t="s">
        <v>4799</v>
      </c>
      <c r="H4786" t="s">
        <v>4805</v>
      </c>
      <c r="I4786">
        <v>13.99</v>
      </c>
      <c r="J4786">
        <v>3</v>
      </c>
      <c r="K4786">
        <v>1.33</v>
      </c>
      <c r="L4786">
        <v>0</v>
      </c>
      <c r="M4786" t="s">
        <v>4812</v>
      </c>
      <c r="N4786" t="s">
        <v>4900</v>
      </c>
      <c r="O4786" t="s">
        <v>4910</v>
      </c>
    </row>
    <row r="4787" spans="1:15" x14ac:dyDescent="0.35">
      <c r="A4787" t="s">
        <v>4719</v>
      </c>
      <c r="B4787">
        <v>56</v>
      </c>
      <c r="C4787" t="s">
        <v>4802</v>
      </c>
      <c r="D4787" t="s">
        <v>15</v>
      </c>
      <c r="E4787">
        <v>110</v>
      </c>
      <c r="F4787">
        <v>12</v>
      </c>
      <c r="G4787" t="s">
        <v>4799</v>
      </c>
      <c r="H4787" t="s">
        <v>4805</v>
      </c>
      <c r="I4787">
        <v>17.989999999999998</v>
      </c>
      <c r="J4787">
        <v>4</v>
      </c>
      <c r="K4787">
        <v>3.67</v>
      </c>
      <c r="L4787">
        <v>0</v>
      </c>
      <c r="M4787" t="s">
        <v>4809</v>
      </c>
      <c r="N4787" t="s">
        <v>4900</v>
      </c>
      <c r="O4787" t="s">
        <v>4911</v>
      </c>
    </row>
    <row r="4788" spans="1:15" x14ac:dyDescent="0.35">
      <c r="A4788" t="s">
        <v>4720</v>
      </c>
      <c r="B4788">
        <v>59</v>
      </c>
      <c r="C4788" t="s">
        <v>4803</v>
      </c>
      <c r="D4788" t="s">
        <v>13</v>
      </c>
      <c r="E4788">
        <v>50</v>
      </c>
      <c r="F4788">
        <v>1</v>
      </c>
      <c r="G4788" t="s">
        <v>4798</v>
      </c>
      <c r="H4788" t="s">
        <v>4806</v>
      </c>
      <c r="I4788">
        <v>13.99</v>
      </c>
      <c r="J4788">
        <v>2</v>
      </c>
      <c r="K4788">
        <v>1.67</v>
      </c>
      <c r="L4788">
        <v>0</v>
      </c>
      <c r="M4788" t="s">
        <v>4808</v>
      </c>
      <c r="N4788" t="s">
        <v>4900</v>
      </c>
      <c r="O4788" t="s">
        <v>4911</v>
      </c>
    </row>
    <row r="4789" spans="1:15" x14ac:dyDescent="0.35">
      <c r="A4789" t="s">
        <v>4721</v>
      </c>
      <c r="B4789">
        <v>22</v>
      </c>
      <c r="C4789" t="s">
        <v>4802</v>
      </c>
      <c r="D4789" t="s">
        <v>13</v>
      </c>
      <c r="E4789">
        <v>31</v>
      </c>
      <c r="F4789">
        <v>0</v>
      </c>
      <c r="G4789" t="s">
        <v>4798</v>
      </c>
      <c r="H4789" t="s">
        <v>4805</v>
      </c>
      <c r="I4789">
        <v>13.99</v>
      </c>
      <c r="J4789">
        <v>3</v>
      </c>
      <c r="K4789">
        <v>1.03</v>
      </c>
      <c r="L4789">
        <v>0</v>
      </c>
      <c r="M4789" t="s">
        <v>4812</v>
      </c>
      <c r="N4789" t="s">
        <v>4900</v>
      </c>
      <c r="O4789" t="s">
        <v>4912</v>
      </c>
    </row>
    <row r="4790" spans="1:15" x14ac:dyDescent="0.35">
      <c r="A4790" t="s">
        <v>4722</v>
      </c>
      <c r="B4790">
        <v>41</v>
      </c>
      <c r="C4790" t="s">
        <v>4803</v>
      </c>
      <c r="D4790" t="s">
        <v>13</v>
      </c>
      <c r="E4790">
        <v>49</v>
      </c>
      <c r="F4790">
        <v>14</v>
      </c>
      <c r="G4790" t="s">
        <v>4798</v>
      </c>
      <c r="H4790" t="s">
        <v>4804</v>
      </c>
      <c r="I4790">
        <v>13.99</v>
      </c>
      <c r="J4790">
        <v>4</v>
      </c>
      <c r="K4790">
        <v>1.63</v>
      </c>
      <c r="L4790">
        <v>1</v>
      </c>
      <c r="M4790" t="s">
        <v>4811</v>
      </c>
      <c r="N4790" t="s">
        <v>4899</v>
      </c>
      <c r="O4790" t="s">
        <v>4910</v>
      </c>
    </row>
    <row r="4791" spans="1:15" x14ac:dyDescent="0.35">
      <c r="A4791" t="s">
        <v>4723</v>
      </c>
      <c r="B4791">
        <v>45</v>
      </c>
      <c r="C4791" t="s">
        <v>4803</v>
      </c>
      <c r="D4791" t="s">
        <v>15</v>
      </c>
      <c r="E4791">
        <v>57</v>
      </c>
      <c r="F4791">
        <v>1</v>
      </c>
      <c r="G4791" t="s">
        <v>4798</v>
      </c>
      <c r="H4791" t="s">
        <v>4804</v>
      </c>
      <c r="I4791">
        <v>17.989999999999998</v>
      </c>
      <c r="J4791">
        <v>3</v>
      </c>
      <c r="K4791">
        <v>1.9</v>
      </c>
      <c r="L4791">
        <v>0</v>
      </c>
      <c r="M4791" t="s">
        <v>4812</v>
      </c>
      <c r="N4791" t="s">
        <v>4900</v>
      </c>
      <c r="O4791" t="s">
        <v>4910</v>
      </c>
    </row>
    <row r="4792" spans="1:15" x14ac:dyDescent="0.35">
      <c r="A4792" t="s">
        <v>4724</v>
      </c>
      <c r="B4792">
        <v>38</v>
      </c>
      <c r="C4792" t="s">
        <v>4802</v>
      </c>
      <c r="D4792" t="s">
        <v>15</v>
      </c>
      <c r="E4792">
        <v>99</v>
      </c>
      <c r="F4792">
        <v>57</v>
      </c>
      <c r="G4792" t="s">
        <v>4798</v>
      </c>
      <c r="H4792" t="s">
        <v>4804</v>
      </c>
      <c r="I4792">
        <v>17.989999999999998</v>
      </c>
      <c r="J4792">
        <v>3</v>
      </c>
      <c r="K4792">
        <v>2.0299999999999998</v>
      </c>
      <c r="L4792">
        <v>0</v>
      </c>
      <c r="M4792" t="s">
        <v>4809</v>
      </c>
      <c r="N4792" t="s">
        <v>4900</v>
      </c>
      <c r="O4792" t="s">
        <v>4910</v>
      </c>
    </row>
    <row r="4793" spans="1:15" x14ac:dyDescent="0.35">
      <c r="A4793" t="s">
        <v>4725</v>
      </c>
      <c r="B4793">
        <v>21</v>
      </c>
      <c r="C4793" t="s">
        <v>4802</v>
      </c>
      <c r="D4793" t="s">
        <v>13</v>
      </c>
      <c r="E4793">
        <v>72</v>
      </c>
      <c r="F4793">
        <v>58</v>
      </c>
      <c r="G4793" t="s">
        <v>4799</v>
      </c>
      <c r="H4793" t="s">
        <v>4806</v>
      </c>
      <c r="I4793">
        <v>13.99</v>
      </c>
      <c r="J4793">
        <v>4</v>
      </c>
      <c r="K4793">
        <v>2.4</v>
      </c>
      <c r="L4793">
        <v>0</v>
      </c>
      <c r="M4793" t="s">
        <v>4810</v>
      </c>
      <c r="N4793" t="s">
        <v>4900</v>
      </c>
      <c r="O4793" t="s">
        <v>4912</v>
      </c>
    </row>
    <row r="4794" spans="1:15" x14ac:dyDescent="0.35">
      <c r="A4794" t="s">
        <v>4726</v>
      </c>
      <c r="B4794">
        <v>38</v>
      </c>
      <c r="C4794" t="s">
        <v>4802</v>
      </c>
      <c r="D4794" t="s">
        <v>14</v>
      </c>
      <c r="E4794">
        <v>36</v>
      </c>
      <c r="F4794">
        <v>23</v>
      </c>
      <c r="G4794" t="s">
        <v>4798</v>
      </c>
      <c r="H4794" t="s">
        <v>4805</v>
      </c>
      <c r="I4794">
        <v>8.99</v>
      </c>
      <c r="J4794">
        <v>1</v>
      </c>
      <c r="K4794">
        <v>1.2</v>
      </c>
      <c r="L4794">
        <v>1</v>
      </c>
      <c r="M4794" t="s">
        <v>4811</v>
      </c>
      <c r="N4794" t="s">
        <v>4899</v>
      </c>
      <c r="O4794" t="s">
        <v>4910</v>
      </c>
    </row>
    <row r="4795" spans="1:15" x14ac:dyDescent="0.35">
      <c r="A4795" t="s">
        <v>4727</v>
      </c>
      <c r="B4795">
        <v>55</v>
      </c>
      <c r="C4795" t="s">
        <v>4803</v>
      </c>
      <c r="D4795" t="s">
        <v>15</v>
      </c>
      <c r="E4795">
        <v>76</v>
      </c>
      <c r="F4795">
        <v>14</v>
      </c>
      <c r="G4795" t="s">
        <v>4797</v>
      </c>
      <c r="H4795" t="s">
        <v>4805</v>
      </c>
      <c r="I4795">
        <v>17.989999999999998</v>
      </c>
      <c r="J4795">
        <v>4</v>
      </c>
      <c r="K4795">
        <v>2.5299999999999998</v>
      </c>
      <c r="L4795">
        <v>0</v>
      </c>
      <c r="M4795" t="s">
        <v>4809</v>
      </c>
      <c r="N4795" t="s">
        <v>4900</v>
      </c>
      <c r="O4795" t="s">
        <v>4911</v>
      </c>
    </row>
    <row r="4796" spans="1:15" x14ac:dyDescent="0.35">
      <c r="A4796" t="s">
        <v>4728</v>
      </c>
      <c r="B4796">
        <v>40</v>
      </c>
      <c r="C4796" t="s">
        <v>4803</v>
      </c>
      <c r="D4796" t="s">
        <v>13</v>
      </c>
      <c r="E4796">
        <v>49</v>
      </c>
      <c r="F4796">
        <v>8</v>
      </c>
      <c r="G4796" t="s">
        <v>4798</v>
      </c>
      <c r="H4796" t="s">
        <v>4805</v>
      </c>
      <c r="I4796">
        <v>13.99</v>
      </c>
      <c r="J4796">
        <v>1</v>
      </c>
      <c r="K4796">
        <v>1.63</v>
      </c>
      <c r="L4796">
        <v>1</v>
      </c>
      <c r="M4796" t="s">
        <v>4810</v>
      </c>
      <c r="N4796" t="s">
        <v>4899</v>
      </c>
      <c r="O4796" t="s">
        <v>4910</v>
      </c>
    </row>
    <row r="4797" spans="1:15" x14ac:dyDescent="0.35">
      <c r="A4797" t="s">
        <v>4891</v>
      </c>
      <c r="B4797">
        <v>28</v>
      </c>
      <c r="C4797" t="s">
        <v>4803</v>
      </c>
      <c r="D4797" t="s">
        <v>13</v>
      </c>
      <c r="E4797">
        <v>45</v>
      </c>
      <c r="F4797">
        <v>58</v>
      </c>
      <c r="G4797" t="s">
        <v>4797</v>
      </c>
      <c r="H4797" t="s">
        <v>4806</v>
      </c>
      <c r="I4797">
        <v>13.99</v>
      </c>
      <c r="J4797">
        <v>4</v>
      </c>
      <c r="K4797">
        <v>1.5</v>
      </c>
      <c r="L4797">
        <v>0</v>
      </c>
      <c r="M4797" t="s">
        <v>4812</v>
      </c>
      <c r="N4797" t="s">
        <v>4900</v>
      </c>
      <c r="O4797" t="s">
        <v>4912</v>
      </c>
    </row>
    <row r="4798" spans="1:15" x14ac:dyDescent="0.35">
      <c r="A4798" t="s">
        <v>4729</v>
      </c>
      <c r="B4798">
        <v>28</v>
      </c>
      <c r="C4798" t="s">
        <v>4802</v>
      </c>
      <c r="D4798" t="s">
        <v>14</v>
      </c>
      <c r="E4798">
        <v>45</v>
      </c>
      <c r="F4798">
        <v>32</v>
      </c>
      <c r="G4798" t="s">
        <v>4799</v>
      </c>
      <c r="H4798" t="s">
        <v>4807</v>
      </c>
      <c r="I4798">
        <v>8.99</v>
      </c>
      <c r="J4798">
        <v>2</v>
      </c>
      <c r="K4798">
        <v>1.5</v>
      </c>
      <c r="L4798">
        <v>0</v>
      </c>
      <c r="M4798" t="s">
        <v>4810</v>
      </c>
      <c r="N4798" t="s">
        <v>4900</v>
      </c>
      <c r="O4798" t="s">
        <v>4912</v>
      </c>
    </row>
    <row r="4799" spans="1:15" x14ac:dyDescent="0.35">
      <c r="A4799" t="s">
        <v>4730</v>
      </c>
      <c r="B4799">
        <v>31</v>
      </c>
      <c r="C4799" t="s">
        <v>4802</v>
      </c>
      <c r="D4799" t="s">
        <v>15</v>
      </c>
      <c r="E4799">
        <v>96</v>
      </c>
      <c r="F4799">
        <v>2</v>
      </c>
      <c r="G4799" t="s">
        <v>4798</v>
      </c>
      <c r="H4799" t="s">
        <v>4805</v>
      </c>
      <c r="I4799">
        <v>17.989999999999998</v>
      </c>
      <c r="J4799">
        <v>3</v>
      </c>
      <c r="K4799">
        <v>3.2</v>
      </c>
      <c r="L4799">
        <v>0</v>
      </c>
      <c r="M4799" t="s">
        <v>4809</v>
      </c>
      <c r="N4799" t="s">
        <v>4900</v>
      </c>
      <c r="O4799" t="s">
        <v>4912</v>
      </c>
    </row>
    <row r="4800" spans="1:15" x14ac:dyDescent="0.35">
      <c r="A4800" t="s">
        <v>4731</v>
      </c>
      <c r="B4800">
        <v>46</v>
      </c>
      <c r="C4800" t="s">
        <v>4803</v>
      </c>
      <c r="D4800" t="s">
        <v>14</v>
      </c>
      <c r="E4800">
        <v>50</v>
      </c>
      <c r="F4800">
        <v>42</v>
      </c>
      <c r="G4800" t="s">
        <v>4797</v>
      </c>
      <c r="H4800" t="s">
        <v>4804</v>
      </c>
      <c r="I4800">
        <v>8.99</v>
      </c>
      <c r="J4800">
        <v>1</v>
      </c>
      <c r="K4800">
        <v>1.67</v>
      </c>
      <c r="L4800">
        <v>0</v>
      </c>
      <c r="M4800" t="s">
        <v>4808</v>
      </c>
      <c r="N4800" t="s">
        <v>4900</v>
      </c>
      <c r="O4800" t="s">
        <v>4910</v>
      </c>
    </row>
    <row r="4801" spans="1:15" x14ac:dyDescent="0.35">
      <c r="A4801" t="s">
        <v>4732</v>
      </c>
      <c r="B4801">
        <v>31</v>
      </c>
      <c r="C4801" t="s">
        <v>4803</v>
      </c>
      <c r="D4801" t="s">
        <v>13</v>
      </c>
      <c r="E4801">
        <v>64</v>
      </c>
      <c r="F4801">
        <v>57</v>
      </c>
      <c r="G4801" t="s">
        <v>4797</v>
      </c>
      <c r="H4801" t="s">
        <v>4804</v>
      </c>
      <c r="I4801">
        <v>13.99</v>
      </c>
      <c r="J4801">
        <v>4</v>
      </c>
      <c r="K4801">
        <v>2.13</v>
      </c>
      <c r="L4801">
        <v>1</v>
      </c>
      <c r="M4801" t="s">
        <v>4810</v>
      </c>
      <c r="N4801" t="s">
        <v>4899</v>
      </c>
      <c r="O4801" t="s">
        <v>4912</v>
      </c>
    </row>
    <row r="4802" spans="1:15" x14ac:dyDescent="0.35">
      <c r="A4802" t="s">
        <v>4733</v>
      </c>
      <c r="B4802">
        <v>50</v>
      </c>
      <c r="C4802" t="s">
        <v>4802</v>
      </c>
      <c r="D4802" t="s">
        <v>13</v>
      </c>
      <c r="E4802">
        <v>49</v>
      </c>
      <c r="F4802">
        <v>25</v>
      </c>
      <c r="G4802" t="s">
        <v>4798</v>
      </c>
      <c r="H4802" t="s">
        <v>4804</v>
      </c>
      <c r="I4802">
        <v>13.99</v>
      </c>
      <c r="J4802">
        <v>2</v>
      </c>
      <c r="K4802">
        <v>1.63</v>
      </c>
      <c r="L4802">
        <v>1</v>
      </c>
      <c r="M4802" t="s">
        <v>4808</v>
      </c>
      <c r="N4802" t="s">
        <v>4899</v>
      </c>
      <c r="O4802" t="s">
        <v>4910</v>
      </c>
    </row>
    <row r="4803" spans="1:15" x14ac:dyDescent="0.35">
      <c r="A4803" t="s">
        <v>4734</v>
      </c>
      <c r="B4803">
        <v>30</v>
      </c>
      <c r="C4803" t="s">
        <v>4802</v>
      </c>
      <c r="D4803" t="s">
        <v>13</v>
      </c>
      <c r="E4803">
        <v>55</v>
      </c>
      <c r="F4803">
        <v>21</v>
      </c>
      <c r="G4803" t="s">
        <v>4799</v>
      </c>
      <c r="H4803" t="s">
        <v>4806</v>
      </c>
      <c r="I4803">
        <v>13.99</v>
      </c>
      <c r="J4803">
        <v>3</v>
      </c>
      <c r="K4803">
        <v>1.83</v>
      </c>
      <c r="L4803">
        <v>0</v>
      </c>
      <c r="M4803" t="s">
        <v>4809</v>
      </c>
      <c r="N4803" t="s">
        <v>4900</v>
      </c>
      <c r="O4803" t="s">
        <v>4912</v>
      </c>
    </row>
    <row r="4804" spans="1:15" x14ac:dyDescent="0.35">
      <c r="A4804" t="s">
        <v>4735</v>
      </c>
      <c r="B4804">
        <v>29</v>
      </c>
      <c r="C4804" t="s">
        <v>4802</v>
      </c>
      <c r="D4804" t="s">
        <v>13</v>
      </c>
      <c r="E4804">
        <v>72</v>
      </c>
      <c r="F4804">
        <v>5</v>
      </c>
      <c r="G4804" t="s">
        <v>4799</v>
      </c>
      <c r="H4804" t="s">
        <v>4806</v>
      </c>
      <c r="I4804">
        <v>13.99</v>
      </c>
      <c r="J4804">
        <v>4</v>
      </c>
      <c r="K4804">
        <v>2.4</v>
      </c>
      <c r="L4804">
        <v>0</v>
      </c>
      <c r="M4804" t="s">
        <v>4811</v>
      </c>
      <c r="N4804" t="s">
        <v>4900</v>
      </c>
      <c r="O4804" t="s">
        <v>4912</v>
      </c>
    </row>
    <row r="4805" spans="1:15" x14ac:dyDescent="0.35">
      <c r="A4805" t="s">
        <v>4736</v>
      </c>
      <c r="B4805">
        <v>38</v>
      </c>
      <c r="C4805" t="s">
        <v>4802</v>
      </c>
      <c r="D4805" t="s">
        <v>15</v>
      </c>
      <c r="E4805">
        <v>98</v>
      </c>
      <c r="F4805">
        <v>42</v>
      </c>
      <c r="G4805" t="s">
        <v>4799</v>
      </c>
      <c r="H4805" t="s">
        <v>4804</v>
      </c>
      <c r="I4805">
        <v>17.989999999999998</v>
      </c>
      <c r="J4805">
        <v>5</v>
      </c>
      <c r="K4805">
        <v>3.27</v>
      </c>
      <c r="L4805">
        <v>1</v>
      </c>
      <c r="M4805" t="s">
        <v>4812</v>
      </c>
      <c r="N4805" t="s">
        <v>4899</v>
      </c>
      <c r="O4805" t="s">
        <v>4910</v>
      </c>
    </row>
    <row r="4806" spans="1:15" x14ac:dyDescent="0.35">
      <c r="A4806" t="s">
        <v>4737</v>
      </c>
      <c r="B4806">
        <v>28</v>
      </c>
      <c r="C4806" t="s">
        <v>4803</v>
      </c>
      <c r="D4806" t="s">
        <v>15</v>
      </c>
      <c r="E4806">
        <v>109</v>
      </c>
      <c r="F4806">
        <v>25</v>
      </c>
      <c r="G4806" t="s">
        <v>4799</v>
      </c>
      <c r="H4806" t="s">
        <v>4804</v>
      </c>
      <c r="I4806">
        <v>17.989999999999998</v>
      </c>
      <c r="J4806">
        <v>4</v>
      </c>
      <c r="K4806">
        <v>3.63</v>
      </c>
      <c r="L4806">
        <v>0</v>
      </c>
      <c r="M4806" t="s">
        <v>4809</v>
      </c>
      <c r="N4806" t="s">
        <v>4900</v>
      </c>
      <c r="O4806" t="s">
        <v>4912</v>
      </c>
    </row>
    <row r="4807" spans="1:15" x14ac:dyDescent="0.35">
      <c r="A4807" t="s">
        <v>4738</v>
      </c>
      <c r="B4807">
        <v>41</v>
      </c>
      <c r="C4807" t="s">
        <v>4803</v>
      </c>
      <c r="D4807" t="s">
        <v>13</v>
      </c>
      <c r="E4807">
        <v>78</v>
      </c>
      <c r="F4807">
        <v>46</v>
      </c>
      <c r="G4807" t="s">
        <v>4798</v>
      </c>
      <c r="H4807" t="s">
        <v>4805</v>
      </c>
      <c r="I4807">
        <v>13.99</v>
      </c>
      <c r="J4807">
        <v>1</v>
      </c>
      <c r="K4807">
        <v>2.6</v>
      </c>
      <c r="L4807">
        <v>0</v>
      </c>
      <c r="M4807" t="s">
        <v>4809</v>
      </c>
      <c r="N4807" t="s">
        <v>4900</v>
      </c>
      <c r="O4807" t="s">
        <v>4910</v>
      </c>
    </row>
    <row r="4808" spans="1:15" x14ac:dyDescent="0.35">
      <c r="A4808" t="s">
        <v>4739</v>
      </c>
      <c r="B4808">
        <v>36</v>
      </c>
      <c r="C4808" t="s">
        <v>4803</v>
      </c>
      <c r="D4808" t="s">
        <v>15</v>
      </c>
      <c r="E4808">
        <v>98</v>
      </c>
      <c r="F4808">
        <v>19</v>
      </c>
      <c r="G4808" t="s">
        <v>4797</v>
      </c>
      <c r="H4808" t="s">
        <v>4804</v>
      </c>
      <c r="I4808">
        <v>17.989999999999998</v>
      </c>
      <c r="J4808">
        <v>2</v>
      </c>
      <c r="K4808">
        <v>3.27</v>
      </c>
      <c r="L4808">
        <v>0</v>
      </c>
      <c r="M4808" t="s">
        <v>4812</v>
      </c>
      <c r="N4808" t="s">
        <v>4900</v>
      </c>
      <c r="O4808" t="s">
        <v>4910</v>
      </c>
    </row>
    <row r="4809" spans="1:15" x14ac:dyDescent="0.35">
      <c r="A4809" t="s">
        <v>4740</v>
      </c>
      <c r="B4809">
        <v>36</v>
      </c>
      <c r="C4809" t="s">
        <v>4802</v>
      </c>
      <c r="D4809" t="s">
        <v>14</v>
      </c>
      <c r="E4809">
        <v>46</v>
      </c>
      <c r="F4809">
        <v>60</v>
      </c>
      <c r="G4809" t="s">
        <v>4797</v>
      </c>
      <c r="H4809" t="s">
        <v>4804</v>
      </c>
      <c r="I4809">
        <v>8.99</v>
      </c>
      <c r="J4809">
        <v>1</v>
      </c>
      <c r="K4809">
        <v>1.53</v>
      </c>
      <c r="L4809">
        <v>0</v>
      </c>
      <c r="M4809" t="s">
        <v>4808</v>
      </c>
      <c r="N4809" t="s">
        <v>4900</v>
      </c>
      <c r="O4809" t="s">
        <v>4910</v>
      </c>
    </row>
    <row r="4810" spans="1:15" x14ac:dyDescent="0.35">
      <c r="A4810" t="s">
        <v>4741</v>
      </c>
      <c r="B4810">
        <v>36</v>
      </c>
      <c r="C4810" t="s">
        <v>4803</v>
      </c>
      <c r="D4810" t="s">
        <v>15</v>
      </c>
      <c r="E4810">
        <v>115</v>
      </c>
      <c r="F4810">
        <v>56</v>
      </c>
      <c r="G4810" t="s">
        <v>4799</v>
      </c>
      <c r="H4810" t="s">
        <v>4804</v>
      </c>
      <c r="I4810">
        <v>17.989999999999998</v>
      </c>
      <c r="J4810">
        <v>2</v>
      </c>
      <c r="K4810">
        <v>3.83</v>
      </c>
      <c r="L4810">
        <v>0</v>
      </c>
      <c r="M4810" t="s">
        <v>4809</v>
      </c>
      <c r="N4810" t="s">
        <v>4900</v>
      </c>
      <c r="O4810" t="s">
        <v>4910</v>
      </c>
    </row>
    <row r="4811" spans="1:15" x14ac:dyDescent="0.35">
      <c r="A4811" t="s">
        <v>4742</v>
      </c>
      <c r="B4811">
        <v>39</v>
      </c>
      <c r="C4811" t="s">
        <v>4802</v>
      </c>
      <c r="D4811" t="s">
        <v>13</v>
      </c>
      <c r="E4811">
        <v>49</v>
      </c>
      <c r="F4811">
        <v>1</v>
      </c>
      <c r="G4811" t="s">
        <v>4800</v>
      </c>
      <c r="H4811" t="s">
        <v>4805</v>
      </c>
      <c r="I4811">
        <v>13.99</v>
      </c>
      <c r="J4811">
        <v>2</v>
      </c>
      <c r="K4811">
        <v>1.63</v>
      </c>
      <c r="L4811">
        <v>0</v>
      </c>
      <c r="M4811" t="s">
        <v>4808</v>
      </c>
      <c r="N4811" t="s">
        <v>4900</v>
      </c>
      <c r="O4811" t="s">
        <v>4910</v>
      </c>
    </row>
    <row r="4812" spans="1:15" x14ac:dyDescent="0.35">
      <c r="A4812" t="s">
        <v>4855</v>
      </c>
      <c r="B4812">
        <v>39</v>
      </c>
      <c r="C4812" t="s">
        <v>4802</v>
      </c>
      <c r="D4812" t="s">
        <v>13</v>
      </c>
      <c r="E4812">
        <v>55</v>
      </c>
      <c r="F4812">
        <v>15</v>
      </c>
      <c r="G4812" t="s">
        <v>4797</v>
      </c>
      <c r="H4812" t="s">
        <v>4804</v>
      </c>
      <c r="I4812">
        <v>13.99</v>
      </c>
      <c r="J4812">
        <v>2</v>
      </c>
      <c r="K4812">
        <v>1.83</v>
      </c>
      <c r="L4812">
        <v>0</v>
      </c>
      <c r="M4812" t="s">
        <v>4811</v>
      </c>
      <c r="N4812" t="s">
        <v>4900</v>
      </c>
      <c r="O4812" t="s">
        <v>4910</v>
      </c>
    </row>
    <row r="4813" spans="1:15" x14ac:dyDescent="0.35">
      <c r="A4813" t="s">
        <v>4743</v>
      </c>
      <c r="B4813">
        <v>32</v>
      </c>
      <c r="C4813" t="s">
        <v>4802</v>
      </c>
      <c r="D4813" t="s">
        <v>13</v>
      </c>
      <c r="E4813">
        <v>78</v>
      </c>
      <c r="F4813">
        <v>40</v>
      </c>
      <c r="G4813" t="s">
        <v>4799</v>
      </c>
      <c r="H4813" t="s">
        <v>4806</v>
      </c>
      <c r="I4813">
        <v>13.99</v>
      </c>
      <c r="J4813">
        <v>3</v>
      </c>
      <c r="K4813">
        <v>2.0299999999999998</v>
      </c>
      <c r="L4813">
        <v>1</v>
      </c>
      <c r="M4813" t="s">
        <v>4809</v>
      </c>
      <c r="N4813" t="s">
        <v>4899</v>
      </c>
      <c r="O4813" t="s">
        <v>4912</v>
      </c>
    </row>
    <row r="4814" spans="1:15" x14ac:dyDescent="0.35">
      <c r="A4814" t="s">
        <v>4744</v>
      </c>
      <c r="B4814">
        <v>62</v>
      </c>
      <c r="C4814" t="s">
        <v>4803</v>
      </c>
      <c r="D4814" t="s">
        <v>13</v>
      </c>
      <c r="E4814">
        <v>80</v>
      </c>
      <c r="F4814">
        <v>39</v>
      </c>
      <c r="G4814" t="s">
        <v>4799</v>
      </c>
      <c r="H4814" t="s">
        <v>4804</v>
      </c>
      <c r="I4814">
        <v>13.99</v>
      </c>
      <c r="J4814">
        <v>4</v>
      </c>
      <c r="K4814">
        <v>2.67</v>
      </c>
      <c r="L4814">
        <v>0</v>
      </c>
      <c r="M4814" t="s">
        <v>4811</v>
      </c>
      <c r="N4814" t="s">
        <v>4900</v>
      </c>
      <c r="O4814" t="s">
        <v>4911</v>
      </c>
    </row>
    <row r="4815" spans="1:15" x14ac:dyDescent="0.35">
      <c r="A4815" t="s">
        <v>4892</v>
      </c>
      <c r="B4815">
        <v>24</v>
      </c>
      <c r="C4815" t="s">
        <v>4802</v>
      </c>
      <c r="D4815" t="s">
        <v>13</v>
      </c>
      <c r="E4815">
        <v>80</v>
      </c>
      <c r="F4815">
        <v>18</v>
      </c>
      <c r="G4815" t="s">
        <v>4798</v>
      </c>
      <c r="H4815" t="s">
        <v>4804</v>
      </c>
      <c r="I4815">
        <v>13.99</v>
      </c>
      <c r="J4815">
        <v>3</v>
      </c>
      <c r="K4815">
        <v>2.67</v>
      </c>
      <c r="L4815">
        <v>0</v>
      </c>
      <c r="M4815" t="s">
        <v>4811</v>
      </c>
      <c r="N4815" t="s">
        <v>4900</v>
      </c>
      <c r="O4815" t="s">
        <v>4912</v>
      </c>
    </row>
    <row r="4816" spans="1:15" x14ac:dyDescent="0.35">
      <c r="A4816" t="s">
        <v>4745</v>
      </c>
      <c r="B4816">
        <v>62</v>
      </c>
      <c r="C4816" t="s">
        <v>4802</v>
      </c>
      <c r="D4816" t="s">
        <v>13</v>
      </c>
      <c r="E4816">
        <v>77</v>
      </c>
      <c r="F4816">
        <v>16</v>
      </c>
      <c r="G4816" t="s">
        <v>4798</v>
      </c>
      <c r="H4816" t="s">
        <v>4805</v>
      </c>
      <c r="I4816">
        <v>13.99</v>
      </c>
      <c r="J4816">
        <v>3</v>
      </c>
      <c r="K4816">
        <v>2.57</v>
      </c>
      <c r="L4816">
        <v>0</v>
      </c>
      <c r="M4816" t="s">
        <v>4810</v>
      </c>
      <c r="N4816" t="s">
        <v>4900</v>
      </c>
      <c r="O4816" t="s">
        <v>4911</v>
      </c>
    </row>
    <row r="4817" spans="1:15" x14ac:dyDescent="0.35">
      <c r="A4817" t="s">
        <v>4746</v>
      </c>
      <c r="B4817">
        <v>57</v>
      </c>
      <c r="C4817" t="s">
        <v>4802</v>
      </c>
      <c r="D4817" t="s">
        <v>15</v>
      </c>
      <c r="E4817">
        <v>80</v>
      </c>
      <c r="F4817">
        <v>53</v>
      </c>
      <c r="G4817" t="s">
        <v>4798</v>
      </c>
      <c r="H4817" t="s">
        <v>4806</v>
      </c>
      <c r="I4817">
        <v>17.989999999999998</v>
      </c>
      <c r="J4817">
        <v>3</v>
      </c>
      <c r="K4817">
        <v>2.67</v>
      </c>
      <c r="L4817">
        <v>0</v>
      </c>
      <c r="M4817" t="s">
        <v>4812</v>
      </c>
      <c r="N4817" t="s">
        <v>4900</v>
      </c>
      <c r="O4817" t="s">
        <v>4911</v>
      </c>
    </row>
    <row r="4818" spans="1:15" x14ac:dyDescent="0.35">
      <c r="A4818" t="s">
        <v>4747</v>
      </c>
      <c r="B4818">
        <v>52</v>
      </c>
      <c r="C4818" t="s">
        <v>4802</v>
      </c>
      <c r="D4818" t="s">
        <v>13</v>
      </c>
      <c r="E4818">
        <v>40</v>
      </c>
      <c r="F4818">
        <v>4</v>
      </c>
      <c r="G4818" t="s">
        <v>4798</v>
      </c>
      <c r="H4818" t="s">
        <v>4805</v>
      </c>
      <c r="I4818">
        <v>13.99</v>
      </c>
      <c r="J4818">
        <v>4</v>
      </c>
      <c r="K4818">
        <v>1.33</v>
      </c>
      <c r="L4818">
        <v>0</v>
      </c>
      <c r="M4818" t="s">
        <v>4809</v>
      </c>
      <c r="N4818" t="s">
        <v>4900</v>
      </c>
      <c r="O4818" t="s">
        <v>4910</v>
      </c>
    </row>
    <row r="4819" spans="1:15" x14ac:dyDescent="0.35">
      <c r="A4819" t="s">
        <v>4748</v>
      </c>
      <c r="B4819">
        <v>27</v>
      </c>
      <c r="C4819" t="s">
        <v>4803</v>
      </c>
      <c r="D4819" t="s">
        <v>13</v>
      </c>
      <c r="E4819">
        <v>68</v>
      </c>
      <c r="F4819">
        <v>21</v>
      </c>
      <c r="G4819" t="s">
        <v>4799</v>
      </c>
      <c r="H4819" t="s">
        <v>4806</v>
      </c>
      <c r="I4819">
        <v>13.99</v>
      </c>
      <c r="J4819">
        <v>2</v>
      </c>
      <c r="K4819">
        <v>2.27</v>
      </c>
      <c r="L4819">
        <v>0</v>
      </c>
      <c r="M4819" t="s">
        <v>4811</v>
      </c>
      <c r="N4819" t="s">
        <v>4900</v>
      </c>
      <c r="O4819" t="s">
        <v>4912</v>
      </c>
    </row>
    <row r="4820" spans="1:15" x14ac:dyDescent="0.35">
      <c r="A4820" t="s">
        <v>4749</v>
      </c>
      <c r="B4820">
        <v>40</v>
      </c>
      <c r="C4820" t="s">
        <v>4803</v>
      </c>
      <c r="D4820" t="s">
        <v>13</v>
      </c>
      <c r="E4820">
        <v>33</v>
      </c>
      <c r="F4820">
        <v>53</v>
      </c>
      <c r="G4820" t="s">
        <v>4799</v>
      </c>
      <c r="H4820" t="s">
        <v>4806</v>
      </c>
      <c r="I4820">
        <v>13.99</v>
      </c>
      <c r="J4820">
        <v>3</v>
      </c>
      <c r="K4820">
        <v>1.1000000000000001</v>
      </c>
      <c r="L4820">
        <v>0</v>
      </c>
      <c r="M4820" t="s">
        <v>4811</v>
      </c>
      <c r="N4820" t="s">
        <v>4900</v>
      </c>
      <c r="O4820" t="s">
        <v>4910</v>
      </c>
    </row>
    <row r="4821" spans="1:15" x14ac:dyDescent="0.35">
      <c r="A4821" t="s">
        <v>4750</v>
      </c>
      <c r="B4821">
        <v>26</v>
      </c>
      <c r="C4821" t="s">
        <v>4802</v>
      </c>
      <c r="D4821" t="s">
        <v>13</v>
      </c>
      <c r="E4821">
        <v>42</v>
      </c>
      <c r="F4821">
        <v>20</v>
      </c>
      <c r="G4821" t="s">
        <v>4798</v>
      </c>
      <c r="H4821" t="s">
        <v>4805</v>
      </c>
      <c r="I4821">
        <v>13.99</v>
      </c>
      <c r="J4821">
        <v>4</v>
      </c>
      <c r="K4821">
        <v>1.4</v>
      </c>
      <c r="L4821">
        <v>0</v>
      </c>
      <c r="M4821" t="s">
        <v>4812</v>
      </c>
      <c r="N4821" t="s">
        <v>4900</v>
      </c>
      <c r="O4821" t="s">
        <v>4912</v>
      </c>
    </row>
    <row r="4822" spans="1:15" x14ac:dyDescent="0.35">
      <c r="A4822" t="s">
        <v>4751</v>
      </c>
      <c r="B4822">
        <v>35</v>
      </c>
      <c r="C4822" t="s">
        <v>4802</v>
      </c>
      <c r="D4822" t="s">
        <v>13</v>
      </c>
      <c r="E4822">
        <v>37</v>
      </c>
      <c r="F4822">
        <v>55</v>
      </c>
      <c r="G4822" t="s">
        <v>4798</v>
      </c>
      <c r="H4822" t="s">
        <v>4804</v>
      </c>
      <c r="I4822">
        <v>13.99</v>
      </c>
      <c r="J4822">
        <v>3</v>
      </c>
      <c r="K4822">
        <v>1.23</v>
      </c>
      <c r="L4822">
        <v>1</v>
      </c>
      <c r="M4822" t="s">
        <v>4809</v>
      </c>
      <c r="N4822" t="s">
        <v>4899</v>
      </c>
      <c r="O4822" t="s">
        <v>4910</v>
      </c>
    </row>
    <row r="4823" spans="1:15" x14ac:dyDescent="0.35">
      <c r="A4823" t="s">
        <v>4752</v>
      </c>
      <c r="B4823">
        <v>35</v>
      </c>
      <c r="C4823" t="s">
        <v>4803</v>
      </c>
      <c r="D4823" t="s">
        <v>13</v>
      </c>
      <c r="E4823">
        <v>47</v>
      </c>
      <c r="F4823">
        <v>20</v>
      </c>
      <c r="G4823" t="s">
        <v>4798</v>
      </c>
      <c r="H4823" t="s">
        <v>4806</v>
      </c>
      <c r="I4823">
        <v>13.99</v>
      </c>
      <c r="J4823">
        <v>1</v>
      </c>
      <c r="K4823">
        <v>1.57</v>
      </c>
      <c r="L4823">
        <v>1</v>
      </c>
      <c r="M4823" t="s">
        <v>4809</v>
      </c>
      <c r="N4823" t="s">
        <v>4899</v>
      </c>
      <c r="O4823" t="s">
        <v>4910</v>
      </c>
    </row>
    <row r="4824" spans="1:15" x14ac:dyDescent="0.35">
      <c r="A4824" t="s">
        <v>4753</v>
      </c>
      <c r="B4824">
        <v>55</v>
      </c>
      <c r="C4824" t="s">
        <v>4802</v>
      </c>
      <c r="D4824" t="s">
        <v>13</v>
      </c>
      <c r="E4824">
        <v>58</v>
      </c>
      <c r="F4824">
        <v>31</v>
      </c>
      <c r="G4824" t="s">
        <v>4797</v>
      </c>
      <c r="H4824" t="s">
        <v>4804</v>
      </c>
      <c r="I4824">
        <v>13.99</v>
      </c>
      <c r="J4824">
        <v>3</v>
      </c>
      <c r="K4824">
        <v>2.0299999999999998</v>
      </c>
      <c r="L4824">
        <v>0</v>
      </c>
      <c r="M4824" t="s">
        <v>4811</v>
      </c>
      <c r="N4824" t="s">
        <v>4900</v>
      </c>
      <c r="O4824" t="s">
        <v>4911</v>
      </c>
    </row>
    <row r="4825" spans="1:15" x14ac:dyDescent="0.35">
      <c r="A4825" t="s">
        <v>4754</v>
      </c>
      <c r="B4825">
        <v>29</v>
      </c>
      <c r="C4825" t="s">
        <v>4802</v>
      </c>
      <c r="D4825" t="s">
        <v>14</v>
      </c>
      <c r="E4825">
        <v>28</v>
      </c>
      <c r="F4825">
        <v>22</v>
      </c>
      <c r="G4825" t="s">
        <v>4797</v>
      </c>
      <c r="H4825" t="s">
        <v>4805</v>
      </c>
      <c r="I4825">
        <v>8.99</v>
      </c>
      <c r="J4825">
        <v>2</v>
      </c>
      <c r="K4825">
        <v>0.93</v>
      </c>
      <c r="L4825">
        <v>0</v>
      </c>
      <c r="M4825" t="s">
        <v>4812</v>
      </c>
      <c r="N4825" t="s">
        <v>4900</v>
      </c>
      <c r="O4825" t="s">
        <v>4912</v>
      </c>
    </row>
    <row r="4826" spans="1:15" x14ac:dyDescent="0.35">
      <c r="A4826" t="s">
        <v>4755</v>
      </c>
      <c r="B4826">
        <v>61</v>
      </c>
      <c r="C4826" t="s">
        <v>4802</v>
      </c>
      <c r="D4826" t="s">
        <v>13</v>
      </c>
      <c r="E4826">
        <v>78</v>
      </c>
      <c r="F4826">
        <v>41</v>
      </c>
      <c r="G4826" t="s">
        <v>4798</v>
      </c>
      <c r="H4826" t="s">
        <v>4805</v>
      </c>
      <c r="I4826">
        <v>13.99</v>
      </c>
      <c r="J4826">
        <v>2</v>
      </c>
      <c r="K4826">
        <v>2.6</v>
      </c>
      <c r="L4826">
        <v>1</v>
      </c>
      <c r="M4826" t="s">
        <v>4809</v>
      </c>
      <c r="N4826" t="s">
        <v>4899</v>
      </c>
      <c r="O4826" t="s">
        <v>4911</v>
      </c>
    </row>
    <row r="4827" spans="1:15" x14ac:dyDescent="0.35">
      <c r="A4827" t="s">
        <v>4756</v>
      </c>
      <c r="B4827">
        <v>56</v>
      </c>
      <c r="C4827" t="s">
        <v>4802</v>
      </c>
      <c r="D4827" t="s">
        <v>13</v>
      </c>
      <c r="E4827">
        <v>47</v>
      </c>
      <c r="F4827">
        <v>35</v>
      </c>
      <c r="G4827" t="s">
        <v>4799</v>
      </c>
      <c r="H4827" t="s">
        <v>4805</v>
      </c>
      <c r="I4827">
        <v>13.99</v>
      </c>
      <c r="J4827">
        <v>3</v>
      </c>
      <c r="K4827">
        <v>1.57</v>
      </c>
      <c r="L4827">
        <v>1</v>
      </c>
      <c r="M4827" t="s">
        <v>4811</v>
      </c>
      <c r="N4827" t="s">
        <v>4899</v>
      </c>
      <c r="O4827" t="s">
        <v>4911</v>
      </c>
    </row>
    <row r="4828" spans="1:15" x14ac:dyDescent="0.35">
      <c r="A4828" t="s">
        <v>4757</v>
      </c>
      <c r="B4828">
        <v>43</v>
      </c>
      <c r="C4828" t="s">
        <v>4803</v>
      </c>
      <c r="D4828" t="s">
        <v>13</v>
      </c>
      <c r="E4828">
        <v>80</v>
      </c>
      <c r="F4828">
        <v>30</v>
      </c>
      <c r="G4828" t="s">
        <v>4799</v>
      </c>
      <c r="H4828" t="s">
        <v>4806</v>
      </c>
      <c r="I4828">
        <v>13.99</v>
      </c>
      <c r="J4828">
        <v>1</v>
      </c>
      <c r="K4828">
        <v>2.67</v>
      </c>
      <c r="L4828">
        <v>0</v>
      </c>
      <c r="M4828" t="s">
        <v>4811</v>
      </c>
      <c r="N4828" t="s">
        <v>4900</v>
      </c>
      <c r="O4828" t="s">
        <v>4910</v>
      </c>
    </row>
    <row r="4829" spans="1:15" x14ac:dyDescent="0.35">
      <c r="A4829" t="s">
        <v>4758</v>
      </c>
      <c r="B4829">
        <v>23</v>
      </c>
      <c r="C4829" t="s">
        <v>4803</v>
      </c>
      <c r="D4829" t="s">
        <v>13</v>
      </c>
      <c r="E4829">
        <v>61</v>
      </c>
      <c r="F4829">
        <v>26</v>
      </c>
      <c r="G4829" t="s">
        <v>4800</v>
      </c>
      <c r="H4829" t="s">
        <v>4806</v>
      </c>
      <c r="I4829">
        <v>13.99</v>
      </c>
      <c r="J4829">
        <v>4</v>
      </c>
      <c r="K4829">
        <v>2.0299999999999998</v>
      </c>
      <c r="L4829">
        <v>0</v>
      </c>
      <c r="M4829" t="s">
        <v>4809</v>
      </c>
      <c r="N4829" t="s">
        <v>4900</v>
      </c>
      <c r="O4829" t="s">
        <v>4912</v>
      </c>
    </row>
    <row r="4830" spans="1:15" x14ac:dyDescent="0.35">
      <c r="A4830" t="s">
        <v>4759</v>
      </c>
      <c r="B4830">
        <v>53</v>
      </c>
      <c r="C4830" t="s">
        <v>4803</v>
      </c>
      <c r="D4830" t="s">
        <v>15</v>
      </c>
      <c r="E4830">
        <v>55</v>
      </c>
      <c r="F4830">
        <v>21</v>
      </c>
      <c r="G4830" t="s">
        <v>4799</v>
      </c>
      <c r="H4830" t="s">
        <v>4806</v>
      </c>
      <c r="I4830">
        <v>17.989999999999998</v>
      </c>
      <c r="J4830">
        <v>3</v>
      </c>
      <c r="K4830">
        <v>1.83</v>
      </c>
      <c r="L4830">
        <v>1</v>
      </c>
      <c r="M4830" t="s">
        <v>4809</v>
      </c>
      <c r="N4830" t="s">
        <v>4899</v>
      </c>
      <c r="O4830" t="s">
        <v>4910</v>
      </c>
    </row>
    <row r="4831" spans="1:15" x14ac:dyDescent="0.35">
      <c r="A4831" t="s">
        <v>4760</v>
      </c>
      <c r="B4831">
        <v>56</v>
      </c>
      <c r="C4831" t="s">
        <v>4803</v>
      </c>
      <c r="D4831" t="s">
        <v>15</v>
      </c>
      <c r="E4831">
        <v>78</v>
      </c>
      <c r="F4831">
        <v>24</v>
      </c>
      <c r="G4831" t="s">
        <v>4799</v>
      </c>
      <c r="H4831" t="s">
        <v>4805</v>
      </c>
      <c r="I4831">
        <v>17.989999999999998</v>
      </c>
      <c r="J4831">
        <v>4</v>
      </c>
      <c r="K4831">
        <v>2.6</v>
      </c>
      <c r="L4831">
        <v>0</v>
      </c>
      <c r="M4831" t="s">
        <v>4811</v>
      </c>
      <c r="N4831" t="s">
        <v>4900</v>
      </c>
      <c r="O4831" t="s">
        <v>4911</v>
      </c>
    </row>
    <row r="4832" spans="1:15" x14ac:dyDescent="0.35">
      <c r="A4832" t="s">
        <v>4761</v>
      </c>
      <c r="B4832">
        <v>19</v>
      </c>
      <c r="C4832" t="s">
        <v>4803</v>
      </c>
      <c r="D4832" t="s">
        <v>15</v>
      </c>
      <c r="E4832">
        <v>83</v>
      </c>
      <c r="F4832">
        <v>27</v>
      </c>
      <c r="G4832" t="s">
        <v>4799</v>
      </c>
      <c r="H4832" t="s">
        <v>4806</v>
      </c>
      <c r="I4832">
        <v>17.989999999999998</v>
      </c>
      <c r="J4832">
        <v>4</v>
      </c>
      <c r="K4832">
        <v>2.77</v>
      </c>
      <c r="L4832">
        <v>1</v>
      </c>
      <c r="M4832" t="s">
        <v>4810</v>
      </c>
      <c r="N4832" t="s">
        <v>4899</v>
      </c>
      <c r="O4832" t="s">
        <v>4912</v>
      </c>
    </row>
    <row r="4833" spans="1:15" x14ac:dyDescent="0.35">
      <c r="A4833" t="s">
        <v>4762</v>
      </c>
      <c r="B4833">
        <v>58</v>
      </c>
      <c r="C4833" t="s">
        <v>4802</v>
      </c>
      <c r="D4833" t="s">
        <v>13</v>
      </c>
      <c r="E4833">
        <v>75</v>
      </c>
      <c r="F4833">
        <v>50</v>
      </c>
      <c r="G4833" t="s">
        <v>4799</v>
      </c>
      <c r="H4833" t="s">
        <v>4804</v>
      </c>
      <c r="I4833">
        <v>13.99</v>
      </c>
      <c r="J4833">
        <v>2</v>
      </c>
      <c r="K4833">
        <v>2.5</v>
      </c>
      <c r="L4833">
        <v>0</v>
      </c>
      <c r="M4833" t="s">
        <v>4810</v>
      </c>
      <c r="N4833" t="s">
        <v>4900</v>
      </c>
      <c r="O4833" t="s">
        <v>4911</v>
      </c>
    </row>
    <row r="4834" spans="1:15" x14ac:dyDescent="0.35">
      <c r="A4834" t="s">
        <v>4763</v>
      </c>
      <c r="B4834">
        <v>43</v>
      </c>
      <c r="C4834" t="s">
        <v>4803</v>
      </c>
      <c r="D4834" t="s">
        <v>13</v>
      </c>
      <c r="E4834">
        <v>78</v>
      </c>
      <c r="F4834">
        <v>44</v>
      </c>
      <c r="G4834" t="s">
        <v>4799</v>
      </c>
      <c r="H4834" t="s">
        <v>4807</v>
      </c>
      <c r="I4834">
        <v>13.99</v>
      </c>
      <c r="J4834">
        <v>2</v>
      </c>
      <c r="K4834">
        <v>2.0299999999999998</v>
      </c>
      <c r="L4834">
        <v>0</v>
      </c>
      <c r="M4834" t="s">
        <v>4808</v>
      </c>
      <c r="N4834" t="s">
        <v>4900</v>
      </c>
      <c r="O4834" t="s">
        <v>4910</v>
      </c>
    </row>
    <row r="4835" spans="1:15" x14ac:dyDescent="0.35">
      <c r="A4835" t="s">
        <v>4764</v>
      </c>
      <c r="B4835">
        <v>41</v>
      </c>
      <c r="C4835" t="s">
        <v>4803</v>
      </c>
      <c r="D4835" t="s">
        <v>13</v>
      </c>
      <c r="E4835">
        <v>31</v>
      </c>
      <c r="F4835">
        <v>33</v>
      </c>
      <c r="G4835" t="s">
        <v>4799</v>
      </c>
      <c r="H4835" t="s">
        <v>4805</v>
      </c>
      <c r="I4835">
        <v>13.99</v>
      </c>
      <c r="J4835">
        <v>3</v>
      </c>
      <c r="K4835">
        <v>1.03</v>
      </c>
      <c r="L4835">
        <v>0</v>
      </c>
      <c r="M4835" t="s">
        <v>4811</v>
      </c>
      <c r="N4835" t="s">
        <v>4900</v>
      </c>
      <c r="O4835" t="s">
        <v>4910</v>
      </c>
    </row>
    <row r="4836" spans="1:15" x14ac:dyDescent="0.35">
      <c r="A4836" t="s">
        <v>4765</v>
      </c>
      <c r="B4836">
        <v>58</v>
      </c>
      <c r="C4836" t="s">
        <v>4803</v>
      </c>
      <c r="D4836" t="s">
        <v>15</v>
      </c>
      <c r="E4836">
        <v>79</v>
      </c>
      <c r="F4836">
        <v>16</v>
      </c>
      <c r="G4836" t="s">
        <v>4798</v>
      </c>
      <c r="H4836" t="s">
        <v>4806</v>
      </c>
      <c r="I4836">
        <v>17.989999999999998</v>
      </c>
      <c r="J4836">
        <v>4</v>
      </c>
      <c r="K4836">
        <v>2.63</v>
      </c>
      <c r="L4836">
        <v>0</v>
      </c>
      <c r="M4836" t="s">
        <v>4808</v>
      </c>
      <c r="N4836" t="s">
        <v>4900</v>
      </c>
      <c r="O4836" t="s">
        <v>4911</v>
      </c>
    </row>
    <row r="4837" spans="1:15" x14ac:dyDescent="0.35">
      <c r="A4837" t="s">
        <v>4766</v>
      </c>
      <c r="B4837">
        <v>36</v>
      </c>
      <c r="C4837" t="s">
        <v>4802</v>
      </c>
      <c r="D4837" t="s">
        <v>15</v>
      </c>
      <c r="E4837">
        <v>80</v>
      </c>
      <c r="F4837">
        <v>58</v>
      </c>
      <c r="G4837" t="s">
        <v>4799</v>
      </c>
      <c r="H4837" t="s">
        <v>4804</v>
      </c>
      <c r="I4837">
        <v>17.989999999999998</v>
      </c>
      <c r="J4837">
        <v>3</v>
      </c>
      <c r="K4837">
        <v>2.67</v>
      </c>
      <c r="L4837">
        <v>0</v>
      </c>
      <c r="M4837" t="s">
        <v>4810</v>
      </c>
      <c r="N4837" t="s">
        <v>4900</v>
      </c>
      <c r="O4837" t="s">
        <v>4910</v>
      </c>
    </row>
    <row r="4838" spans="1:15" x14ac:dyDescent="0.35">
      <c r="A4838" t="s">
        <v>4767</v>
      </c>
      <c r="B4838">
        <v>40</v>
      </c>
      <c r="C4838" t="s">
        <v>4803</v>
      </c>
      <c r="D4838" t="s">
        <v>13</v>
      </c>
      <c r="E4838">
        <v>32</v>
      </c>
      <c r="F4838">
        <v>35</v>
      </c>
      <c r="G4838" t="s">
        <v>4798</v>
      </c>
      <c r="H4838" t="s">
        <v>4805</v>
      </c>
      <c r="I4838">
        <v>13.99</v>
      </c>
      <c r="J4838">
        <v>3</v>
      </c>
      <c r="K4838">
        <v>1.07</v>
      </c>
      <c r="L4838">
        <v>1</v>
      </c>
      <c r="M4838" t="s">
        <v>4811</v>
      </c>
      <c r="N4838" t="s">
        <v>4899</v>
      </c>
      <c r="O4838" t="s">
        <v>4910</v>
      </c>
    </row>
    <row r="4839" spans="1:15" x14ac:dyDescent="0.35">
      <c r="A4839" t="s">
        <v>4768</v>
      </c>
      <c r="B4839">
        <v>65</v>
      </c>
      <c r="C4839" t="s">
        <v>4802</v>
      </c>
      <c r="D4839" t="s">
        <v>13</v>
      </c>
      <c r="E4839">
        <v>66</v>
      </c>
      <c r="F4839">
        <v>34</v>
      </c>
      <c r="G4839" t="s">
        <v>4798</v>
      </c>
      <c r="H4839" t="s">
        <v>4804</v>
      </c>
      <c r="I4839">
        <v>13.99</v>
      </c>
      <c r="J4839">
        <v>2</v>
      </c>
      <c r="K4839">
        <v>2.2000000000000002</v>
      </c>
      <c r="L4839">
        <v>0</v>
      </c>
      <c r="M4839" t="s">
        <v>4811</v>
      </c>
      <c r="N4839" t="s">
        <v>4900</v>
      </c>
      <c r="O4839" t="s">
        <v>4911</v>
      </c>
    </row>
    <row r="4840" spans="1:15" x14ac:dyDescent="0.35">
      <c r="A4840" t="s">
        <v>4769</v>
      </c>
      <c r="B4840">
        <v>58</v>
      </c>
      <c r="C4840" t="s">
        <v>4802</v>
      </c>
      <c r="D4840" t="s">
        <v>13</v>
      </c>
      <c r="E4840">
        <v>49</v>
      </c>
      <c r="F4840">
        <v>44</v>
      </c>
      <c r="G4840" t="s">
        <v>4800</v>
      </c>
      <c r="H4840" t="s">
        <v>4804</v>
      </c>
      <c r="I4840">
        <v>13.99</v>
      </c>
      <c r="J4840">
        <v>4</v>
      </c>
      <c r="K4840">
        <v>1.63</v>
      </c>
      <c r="L4840">
        <v>0</v>
      </c>
      <c r="M4840" t="s">
        <v>4812</v>
      </c>
      <c r="N4840" t="s">
        <v>4900</v>
      </c>
      <c r="O4840" t="s">
        <v>4911</v>
      </c>
    </row>
    <row r="4841" spans="1:15" x14ac:dyDescent="0.35">
      <c r="A4841" t="s">
        <v>4770</v>
      </c>
      <c r="B4841">
        <v>33</v>
      </c>
      <c r="C4841" t="s">
        <v>4803</v>
      </c>
      <c r="D4841" t="s">
        <v>13</v>
      </c>
      <c r="E4841">
        <v>75</v>
      </c>
      <c r="F4841">
        <v>9</v>
      </c>
      <c r="G4841" t="s">
        <v>4797</v>
      </c>
      <c r="H4841" t="s">
        <v>4806</v>
      </c>
      <c r="I4841">
        <v>13.99</v>
      </c>
      <c r="J4841">
        <v>1</v>
      </c>
      <c r="K4841">
        <v>2.5</v>
      </c>
      <c r="L4841">
        <v>0</v>
      </c>
      <c r="M4841" t="s">
        <v>4811</v>
      </c>
      <c r="N4841" t="s">
        <v>4900</v>
      </c>
      <c r="O4841" t="s">
        <v>4912</v>
      </c>
    </row>
    <row r="4842" spans="1:15" x14ac:dyDescent="0.35">
      <c r="A4842" t="s">
        <v>4771</v>
      </c>
      <c r="B4842">
        <v>21</v>
      </c>
      <c r="C4842" t="s">
        <v>4803</v>
      </c>
      <c r="D4842" t="s">
        <v>14</v>
      </c>
      <c r="E4842">
        <v>14</v>
      </c>
      <c r="F4842">
        <v>55</v>
      </c>
      <c r="G4842" t="s">
        <v>4800</v>
      </c>
      <c r="H4842" t="s">
        <v>4805</v>
      </c>
      <c r="I4842">
        <v>8.99</v>
      </c>
      <c r="J4842">
        <v>1</v>
      </c>
      <c r="K4842">
        <v>0.47</v>
      </c>
      <c r="L4842">
        <v>0</v>
      </c>
      <c r="M4842" t="s">
        <v>4811</v>
      </c>
      <c r="N4842" t="s">
        <v>4900</v>
      </c>
      <c r="O4842" t="s">
        <v>4912</v>
      </c>
    </row>
    <row r="4843" spans="1:15" x14ac:dyDescent="0.35">
      <c r="A4843" t="s">
        <v>4772</v>
      </c>
      <c r="B4843">
        <v>46</v>
      </c>
      <c r="C4843" t="s">
        <v>4803</v>
      </c>
      <c r="D4843" t="s">
        <v>14</v>
      </c>
      <c r="E4843">
        <v>29</v>
      </c>
      <c r="F4843">
        <v>23</v>
      </c>
      <c r="G4843" t="s">
        <v>4797</v>
      </c>
      <c r="H4843" t="s">
        <v>4805</v>
      </c>
      <c r="I4843">
        <v>8.99</v>
      </c>
      <c r="J4843">
        <v>2</v>
      </c>
      <c r="K4843">
        <v>0.97</v>
      </c>
      <c r="L4843">
        <v>1</v>
      </c>
      <c r="M4843" t="s">
        <v>4810</v>
      </c>
      <c r="N4843" t="s">
        <v>4899</v>
      </c>
      <c r="O4843" t="s">
        <v>4910</v>
      </c>
    </row>
    <row r="4844" spans="1:15" x14ac:dyDescent="0.35">
      <c r="A4844" t="s">
        <v>4773</v>
      </c>
      <c r="B4844">
        <v>29</v>
      </c>
      <c r="C4844" t="s">
        <v>4802</v>
      </c>
      <c r="D4844" t="s">
        <v>13</v>
      </c>
      <c r="E4844">
        <v>58</v>
      </c>
      <c r="F4844">
        <v>0</v>
      </c>
      <c r="G4844" t="s">
        <v>4799</v>
      </c>
      <c r="H4844" t="s">
        <v>4806</v>
      </c>
      <c r="I4844">
        <v>13.99</v>
      </c>
      <c r="J4844">
        <v>3</v>
      </c>
      <c r="K4844">
        <v>1.93</v>
      </c>
      <c r="L4844">
        <v>0</v>
      </c>
      <c r="M4844" t="s">
        <v>4810</v>
      </c>
      <c r="N4844" t="s">
        <v>4900</v>
      </c>
      <c r="O4844" t="s">
        <v>4912</v>
      </c>
    </row>
    <row r="4845" spans="1:15" x14ac:dyDescent="0.35">
      <c r="A4845" t="s">
        <v>4774</v>
      </c>
      <c r="B4845">
        <v>34</v>
      </c>
      <c r="C4845" t="s">
        <v>4802</v>
      </c>
      <c r="D4845" t="s">
        <v>13</v>
      </c>
      <c r="E4845">
        <v>47</v>
      </c>
      <c r="F4845">
        <v>3</v>
      </c>
      <c r="G4845" t="s">
        <v>4798</v>
      </c>
      <c r="H4845" t="s">
        <v>4805</v>
      </c>
      <c r="I4845">
        <v>13.99</v>
      </c>
      <c r="J4845">
        <v>1</v>
      </c>
      <c r="K4845">
        <v>1.57</v>
      </c>
      <c r="L4845">
        <v>1</v>
      </c>
      <c r="M4845" t="s">
        <v>4812</v>
      </c>
      <c r="N4845" t="s">
        <v>4899</v>
      </c>
      <c r="O4845" t="s">
        <v>4912</v>
      </c>
    </row>
    <row r="4846" spans="1:15" x14ac:dyDescent="0.35">
      <c r="A4846" t="s">
        <v>4775</v>
      </c>
      <c r="B4846">
        <v>34</v>
      </c>
      <c r="C4846" t="s">
        <v>4802</v>
      </c>
      <c r="D4846" t="s">
        <v>15</v>
      </c>
      <c r="E4846">
        <v>106</v>
      </c>
      <c r="F4846">
        <v>38</v>
      </c>
      <c r="G4846" t="s">
        <v>4800</v>
      </c>
      <c r="H4846" t="s">
        <v>4806</v>
      </c>
      <c r="I4846">
        <v>17.989999999999998</v>
      </c>
      <c r="J4846">
        <v>3</v>
      </c>
      <c r="K4846">
        <v>3.53</v>
      </c>
      <c r="L4846">
        <v>0</v>
      </c>
      <c r="M4846" t="s">
        <v>4809</v>
      </c>
      <c r="N4846" t="s">
        <v>4900</v>
      </c>
      <c r="O4846" t="s">
        <v>4912</v>
      </c>
    </row>
    <row r="4847" spans="1:15" x14ac:dyDescent="0.35">
      <c r="A4847" t="s">
        <v>4776</v>
      </c>
      <c r="B4847">
        <v>37</v>
      </c>
      <c r="C4847" t="s">
        <v>4802</v>
      </c>
      <c r="D4847" t="s">
        <v>13</v>
      </c>
      <c r="E4847">
        <v>53</v>
      </c>
      <c r="F4847">
        <v>16</v>
      </c>
      <c r="G4847" t="s">
        <v>4799</v>
      </c>
      <c r="H4847" t="s">
        <v>4806</v>
      </c>
      <c r="I4847">
        <v>13.99</v>
      </c>
      <c r="J4847">
        <v>3</v>
      </c>
      <c r="K4847">
        <v>1.77</v>
      </c>
      <c r="L4847">
        <v>0</v>
      </c>
      <c r="M4847" t="s">
        <v>4808</v>
      </c>
      <c r="N4847" t="s">
        <v>4900</v>
      </c>
      <c r="O4847" t="s">
        <v>4910</v>
      </c>
    </row>
    <row r="4848" spans="1:15" x14ac:dyDescent="0.35">
      <c r="A4848" t="s">
        <v>4777</v>
      </c>
      <c r="B4848">
        <v>60</v>
      </c>
      <c r="C4848" t="s">
        <v>4803</v>
      </c>
      <c r="D4848" t="s">
        <v>13</v>
      </c>
      <c r="E4848">
        <v>40</v>
      </c>
      <c r="F4848">
        <v>35</v>
      </c>
      <c r="G4848" t="s">
        <v>4797</v>
      </c>
      <c r="H4848" t="s">
        <v>4805</v>
      </c>
      <c r="I4848">
        <v>13.99</v>
      </c>
      <c r="J4848">
        <v>4</v>
      </c>
      <c r="K4848">
        <v>1.33</v>
      </c>
      <c r="L4848">
        <v>0</v>
      </c>
      <c r="M4848" t="s">
        <v>4808</v>
      </c>
      <c r="N4848" t="s">
        <v>4900</v>
      </c>
      <c r="O4848" t="s">
        <v>4911</v>
      </c>
    </row>
    <row r="4849" spans="1:15" x14ac:dyDescent="0.35">
      <c r="A4849" t="s">
        <v>4778</v>
      </c>
      <c r="B4849">
        <v>31</v>
      </c>
      <c r="C4849" t="s">
        <v>4802</v>
      </c>
      <c r="D4849" t="s">
        <v>13</v>
      </c>
      <c r="E4849">
        <v>35</v>
      </c>
      <c r="F4849">
        <v>14</v>
      </c>
      <c r="G4849" t="s">
        <v>4800</v>
      </c>
      <c r="H4849" t="s">
        <v>4804</v>
      </c>
      <c r="I4849">
        <v>13.99</v>
      </c>
      <c r="J4849">
        <v>2</v>
      </c>
      <c r="K4849">
        <v>1.17</v>
      </c>
      <c r="L4849">
        <v>0</v>
      </c>
      <c r="M4849" t="s">
        <v>4811</v>
      </c>
      <c r="N4849" t="s">
        <v>4900</v>
      </c>
      <c r="O4849" t="s">
        <v>4912</v>
      </c>
    </row>
    <row r="4850" spans="1:15" x14ac:dyDescent="0.35">
      <c r="A4850" t="s">
        <v>4779</v>
      </c>
      <c r="B4850">
        <v>63</v>
      </c>
      <c r="C4850" t="s">
        <v>4803</v>
      </c>
      <c r="D4850" t="s">
        <v>13</v>
      </c>
      <c r="E4850">
        <v>74</v>
      </c>
      <c r="F4850">
        <v>25</v>
      </c>
      <c r="G4850" t="s">
        <v>4797</v>
      </c>
      <c r="H4850" t="s">
        <v>4804</v>
      </c>
      <c r="I4850">
        <v>13.99</v>
      </c>
      <c r="J4850">
        <v>2</v>
      </c>
      <c r="K4850">
        <v>2.4700000000000002</v>
      </c>
      <c r="L4850">
        <v>0</v>
      </c>
      <c r="M4850" t="s">
        <v>4811</v>
      </c>
      <c r="N4850" t="s">
        <v>4900</v>
      </c>
      <c r="O4850" t="s">
        <v>4911</v>
      </c>
    </row>
    <row r="4851" spans="1:15" x14ac:dyDescent="0.35">
      <c r="A4851" t="s">
        <v>4780</v>
      </c>
      <c r="B4851">
        <v>37</v>
      </c>
      <c r="C4851" t="s">
        <v>4803</v>
      </c>
      <c r="D4851" t="s">
        <v>13</v>
      </c>
      <c r="E4851">
        <v>55</v>
      </c>
      <c r="F4851">
        <v>47</v>
      </c>
      <c r="G4851" t="s">
        <v>4798</v>
      </c>
      <c r="H4851" t="s">
        <v>4805</v>
      </c>
      <c r="I4851">
        <v>13.99</v>
      </c>
      <c r="J4851">
        <v>1</v>
      </c>
      <c r="K4851">
        <v>1.83</v>
      </c>
      <c r="L4851">
        <v>0</v>
      </c>
      <c r="M4851" t="s">
        <v>4808</v>
      </c>
      <c r="N4851" t="s">
        <v>4900</v>
      </c>
      <c r="O4851" t="s">
        <v>4910</v>
      </c>
    </row>
    <row r="4852" spans="1:15" x14ac:dyDescent="0.35">
      <c r="A4852" t="s">
        <v>4794</v>
      </c>
      <c r="B4852">
        <v>59</v>
      </c>
      <c r="C4852" t="s">
        <v>4802</v>
      </c>
      <c r="D4852" t="s">
        <v>15</v>
      </c>
      <c r="E4852">
        <v>113</v>
      </c>
      <c r="F4852">
        <v>13</v>
      </c>
      <c r="G4852" t="s">
        <v>4800</v>
      </c>
      <c r="H4852" t="s">
        <v>4806</v>
      </c>
      <c r="I4852">
        <v>17.989999999999998</v>
      </c>
      <c r="J4852">
        <v>4</v>
      </c>
      <c r="K4852">
        <v>3.77</v>
      </c>
      <c r="L4852">
        <v>0</v>
      </c>
      <c r="M4852" t="s">
        <v>4809</v>
      </c>
      <c r="N4852" t="s">
        <v>4900</v>
      </c>
      <c r="O4852" t="s">
        <v>4911</v>
      </c>
    </row>
    <row r="4853" spans="1:15" x14ac:dyDescent="0.35">
      <c r="A4853" t="s">
        <v>4781</v>
      </c>
      <c r="B4853">
        <v>46</v>
      </c>
      <c r="C4853" t="s">
        <v>4803</v>
      </c>
      <c r="D4853" t="s">
        <v>14</v>
      </c>
      <c r="E4853">
        <v>21</v>
      </c>
      <c r="F4853">
        <v>58</v>
      </c>
      <c r="G4853" t="s">
        <v>4798</v>
      </c>
      <c r="H4853" t="s">
        <v>4804</v>
      </c>
      <c r="I4853">
        <v>8.99</v>
      </c>
      <c r="J4853">
        <v>1</v>
      </c>
      <c r="K4853">
        <v>2.0299999999999998</v>
      </c>
      <c r="L4853">
        <v>0</v>
      </c>
      <c r="M4853" t="s">
        <v>4810</v>
      </c>
      <c r="N4853" t="s">
        <v>4900</v>
      </c>
      <c r="O4853" t="s">
        <v>4910</v>
      </c>
    </row>
    <row r="4854" spans="1:15" x14ac:dyDescent="0.35">
      <c r="A4854" t="s">
        <v>4782</v>
      </c>
      <c r="B4854">
        <v>30</v>
      </c>
      <c r="C4854" t="s">
        <v>4803</v>
      </c>
      <c r="D4854" t="s">
        <v>13</v>
      </c>
      <c r="E4854">
        <v>61</v>
      </c>
      <c r="F4854">
        <v>37</v>
      </c>
      <c r="G4854" t="s">
        <v>4797</v>
      </c>
      <c r="H4854" t="s">
        <v>4807</v>
      </c>
      <c r="I4854">
        <v>13.99</v>
      </c>
      <c r="J4854">
        <v>4</v>
      </c>
      <c r="K4854">
        <v>2.0299999999999998</v>
      </c>
      <c r="L4854">
        <v>1</v>
      </c>
      <c r="M4854" t="s">
        <v>4810</v>
      </c>
      <c r="N4854" t="s">
        <v>4899</v>
      </c>
      <c r="O4854" t="s">
        <v>4912</v>
      </c>
    </row>
    <row r="4855" spans="1:15" x14ac:dyDescent="0.35">
      <c r="A4855" t="s">
        <v>4783</v>
      </c>
      <c r="B4855">
        <v>41</v>
      </c>
      <c r="C4855" t="s">
        <v>4802</v>
      </c>
      <c r="D4855" t="s">
        <v>13</v>
      </c>
      <c r="E4855">
        <v>76</v>
      </c>
      <c r="F4855">
        <v>24</v>
      </c>
      <c r="G4855" t="s">
        <v>4798</v>
      </c>
      <c r="H4855" t="s">
        <v>4804</v>
      </c>
      <c r="I4855">
        <v>13.99</v>
      </c>
      <c r="J4855">
        <v>1</v>
      </c>
      <c r="K4855">
        <v>2.5299999999999998</v>
      </c>
      <c r="L4855">
        <v>0</v>
      </c>
      <c r="M4855" t="s">
        <v>4812</v>
      </c>
      <c r="N4855" t="s">
        <v>4900</v>
      </c>
      <c r="O4855" t="s">
        <v>4910</v>
      </c>
    </row>
    <row r="4856" spans="1:15" x14ac:dyDescent="0.35">
      <c r="A4856" t="s">
        <v>4784</v>
      </c>
      <c r="B4856">
        <v>20</v>
      </c>
      <c r="C4856" t="s">
        <v>4802</v>
      </c>
      <c r="D4856" t="s">
        <v>13</v>
      </c>
      <c r="E4856">
        <v>35</v>
      </c>
      <c r="F4856">
        <v>42</v>
      </c>
      <c r="G4856" t="s">
        <v>4797</v>
      </c>
      <c r="H4856" t="s">
        <v>4806</v>
      </c>
      <c r="I4856">
        <v>13.99</v>
      </c>
      <c r="J4856">
        <v>3</v>
      </c>
      <c r="K4856">
        <v>1.17</v>
      </c>
      <c r="L4856">
        <v>0</v>
      </c>
      <c r="M4856" t="s">
        <v>4809</v>
      </c>
      <c r="N4856" t="s">
        <v>4900</v>
      </c>
      <c r="O4856" t="s">
        <v>4912</v>
      </c>
    </row>
    <row r="4857" spans="1:15" x14ac:dyDescent="0.35">
      <c r="A4857" t="s">
        <v>4785</v>
      </c>
      <c r="B4857">
        <v>36</v>
      </c>
      <c r="C4857" t="s">
        <v>4802</v>
      </c>
      <c r="D4857" t="s">
        <v>15</v>
      </c>
      <c r="E4857">
        <v>104</v>
      </c>
      <c r="F4857">
        <v>21</v>
      </c>
      <c r="G4857" t="s">
        <v>4798</v>
      </c>
      <c r="H4857" t="s">
        <v>4804</v>
      </c>
      <c r="I4857">
        <v>17.989999999999998</v>
      </c>
      <c r="J4857">
        <v>5</v>
      </c>
      <c r="K4857">
        <v>3.47</v>
      </c>
      <c r="L4857">
        <v>0</v>
      </c>
      <c r="M4857" t="s">
        <v>4812</v>
      </c>
      <c r="N4857" t="s">
        <v>4900</v>
      </c>
      <c r="O4857" t="s">
        <v>4910</v>
      </c>
    </row>
    <row r="4858" spans="1:15" x14ac:dyDescent="0.35">
      <c r="A4858" t="s">
        <v>4786</v>
      </c>
      <c r="B4858">
        <v>46</v>
      </c>
      <c r="C4858" t="s">
        <v>4803</v>
      </c>
      <c r="D4858" t="s">
        <v>13</v>
      </c>
      <c r="E4858">
        <v>50</v>
      </c>
      <c r="F4858">
        <v>34</v>
      </c>
      <c r="G4858" t="s">
        <v>4799</v>
      </c>
      <c r="H4858" t="s">
        <v>4805</v>
      </c>
      <c r="I4858">
        <v>13.99</v>
      </c>
      <c r="J4858">
        <v>2</v>
      </c>
      <c r="K4858">
        <v>1.67</v>
      </c>
      <c r="L4858">
        <v>0</v>
      </c>
      <c r="M4858" t="s">
        <v>4808</v>
      </c>
      <c r="N4858" t="s">
        <v>4900</v>
      </c>
      <c r="O4858" t="s">
        <v>4910</v>
      </c>
    </row>
    <row r="4859" spans="1:15" x14ac:dyDescent="0.35">
      <c r="A4859" t="s">
        <v>4787</v>
      </c>
      <c r="B4859">
        <v>46</v>
      </c>
      <c r="C4859" t="s">
        <v>4802</v>
      </c>
      <c r="D4859" t="s">
        <v>13</v>
      </c>
      <c r="E4859">
        <v>70</v>
      </c>
      <c r="F4859">
        <v>14</v>
      </c>
      <c r="G4859" t="s">
        <v>4800</v>
      </c>
      <c r="H4859" t="s">
        <v>4804</v>
      </c>
      <c r="I4859">
        <v>13.99</v>
      </c>
      <c r="J4859">
        <v>2</v>
      </c>
      <c r="K4859">
        <v>2.33</v>
      </c>
      <c r="L4859">
        <v>0</v>
      </c>
      <c r="M4859" t="s">
        <v>4810</v>
      </c>
      <c r="N4859" t="s">
        <v>4900</v>
      </c>
      <c r="O4859" t="s">
        <v>4910</v>
      </c>
    </row>
    <row r="4860" spans="1:15" x14ac:dyDescent="0.35">
      <c r="A4860" t="s">
        <v>4788</v>
      </c>
      <c r="B4860">
        <v>58</v>
      </c>
      <c r="C4860" t="s">
        <v>4803</v>
      </c>
      <c r="D4860" t="s">
        <v>15</v>
      </c>
      <c r="E4860">
        <v>92</v>
      </c>
      <c r="F4860">
        <v>23</v>
      </c>
      <c r="G4860" t="s">
        <v>4797</v>
      </c>
      <c r="H4860" t="s">
        <v>4805</v>
      </c>
      <c r="I4860">
        <v>17.989999999999998</v>
      </c>
      <c r="J4860">
        <v>4</v>
      </c>
      <c r="K4860">
        <v>3.07</v>
      </c>
      <c r="L4860">
        <v>0</v>
      </c>
      <c r="M4860" t="s">
        <v>4809</v>
      </c>
      <c r="N4860" t="s">
        <v>4900</v>
      </c>
      <c r="O4860" t="s">
        <v>4911</v>
      </c>
    </row>
    <row r="4861" spans="1:15" x14ac:dyDescent="0.35">
      <c r="A4861" t="s">
        <v>4789</v>
      </c>
      <c r="B4861">
        <v>38</v>
      </c>
      <c r="C4861" t="s">
        <v>4803</v>
      </c>
      <c r="D4861" t="s">
        <v>13</v>
      </c>
      <c r="E4861">
        <v>70</v>
      </c>
      <c r="F4861">
        <v>50</v>
      </c>
      <c r="G4861" t="s">
        <v>4799</v>
      </c>
      <c r="H4861" t="s">
        <v>4804</v>
      </c>
      <c r="I4861">
        <v>13.99</v>
      </c>
      <c r="J4861">
        <v>3</v>
      </c>
      <c r="K4861">
        <v>2.33</v>
      </c>
      <c r="L4861">
        <v>0</v>
      </c>
      <c r="M4861" t="s">
        <v>4811</v>
      </c>
      <c r="N4861" t="s">
        <v>4900</v>
      </c>
      <c r="O4861" t="s">
        <v>4910</v>
      </c>
    </row>
    <row r="4862" spans="1:15" x14ac:dyDescent="0.35">
      <c r="A4862" t="s">
        <v>4790</v>
      </c>
      <c r="B4862">
        <v>50</v>
      </c>
      <c r="C4862" t="s">
        <v>4802</v>
      </c>
      <c r="D4862" t="s">
        <v>13</v>
      </c>
      <c r="E4862">
        <v>61</v>
      </c>
      <c r="F4862">
        <v>54</v>
      </c>
      <c r="G4862" t="s">
        <v>4798</v>
      </c>
      <c r="H4862" t="s">
        <v>4804</v>
      </c>
      <c r="I4862">
        <v>13.99</v>
      </c>
      <c r="J4862">
        <v>1</v>
      </c>
      <c r="K4862">
        <v>2.0299999999999998</v>
      </c>
      <c r="L4862">
        <v>0</v>
      </c>
      <c r="M4862" t="s">
        <v>4812</v>
      </c>
      <c r="N4862" t="s">
        <v>4900</v>
      </c>
      <c r="O4862" t="s">
        <v>4910</v>
      </c>
    </row>
    <row r="4863" spans="1:15" x14ac:dyDescent="0.35">
      <c r="A4863" t="s">
        <v>4791</v>
      </c>
      <c r="B4863">
        <v>54</v>
      </c>
      <c r="C4863" t="s">
        <v>4803</v>
      </c>
      <c r="D4863" t="s">
        <v>13</v>
      </c>
      <c r="E4863">
        <v>69</v>
      </c>
      <c r="F4863">
        <v>35</v>
      </c>
      <c r="G4863" t="s">
        <v>4798</v>
      </c>
      <c r="H4863" t="s">
        <v>4805</v>
      </c>
      <c r="I4863">
        <v>13.99</v>
      </c>
      <c r="J4863">
        <v>4</v>
      </c>
      <c r="K4863">
        <v>2.2999999999999998</v>
      </c>
      <c r="L4863">
        <v>0</v>
      </c>
      <c r="M4863" t="s">
        <v>4812</v>
      </c>
      <c r="N4863" t="s">
        <v>4900</v>
      </c>
      <c r="O4863" t="s">
        <v>4910</v>
      </c>
    </row>
    <row r="4864" spans="1:15" x14ac:dyDescent="0.35">
      <c r="A4864" t="s">
        <v>4792</v>
      </c>
      <c r="B4864">
        <v>21</v>
      </c>
      <c r="C4864" t="s">
        <v>4803</v>
      </c>
      <c r="D4864" t="s">
        <v>13</v>
      </c>
      <c r="E4864">
        <v>37</v>
      </c>
      <c r="F4864" t="s">
        <v>4814</v>
      </c>
      <c r="G4864" t="s">
        <v>4798</v>
      </c>
      <c r="H4864" t="s">
        <v>4805</v>
      </c>
      <c r="I4864">
        <v>13.99</v>
      </c>
      <c r="J4864">
        <v>2</v>
      </c>
      <c r="K4864">
        <v>2.0299999999999998</v>
      </c>
      <c r="L4864">
        <v>0</v>
      </c>
      <c r="M4864" t="s">
        <v>4812</v>
      </c>
      <c r="N4864" t="s">
        <v>4900</v>
      </c>
      <c r="O4864" t="s">
        <v>4912</v>
      </c>
    </row>
    <row r="4865" spans="1:15" x14ac:dyDescent="0.35">
      <c r="A4865" t="s">
        <v>4793</v>
      </c>
      <c r="B4865">
        <v>19</v>
      </c>
      <c r="C4865" t="s">
        <v>4803</v>
      </c>
      <c r="D4865" t="s">
        <v>15</v>
      </c>
      <c r="E4865">
        <v>84</v>
      </c>
      <c r="F4865">
        <v>24</v>
      </c>
      <c r="G4865" t="s">
        <v>4797</v>
      </c>
      <c r="H4865" t="s">
        <v>4805</v>
      </c>
      <c r="I4865">
        <v>17.989999999999998</v>
      </c>
      <c r="J4865">
        <v>2</v>
      </c>
      <c r="K4865">
        <v>2.8</v>
      </c>
      <c r="L4865">
        <v>0</v>
      </c>
      <c r="M4865" t="s">
        <v>4810</v>
      </c>
      <c r="N4865" t="s">
        <v>4900</v>
      </c>
      <c r="O4865" t="s">
        <v>4912</v>
      </c>
    </row>
    <row r="4866" spans="1:15" x14ac:dyDescent="0.35">
      <c r="A4866" t="s">
        <v>4795</v>
      </c>
      <c r="B4866">
        <v>37</v>
      </c>
      <c r="C4866" t="s">
        <v>4803</v>
      </c>
      <c r="D4866" t="s">
        <v>15</v>
      </c>
      <c r="E4866">
        <v>118</v>
      </c>
      <c r="F4866">
        <v>27</v>
      </c>
      <c r="G4866" t="s">
        <v>4798</v>
      </c>
      <c r="H4866" t="s">
        <v>4805</v>
      </c>
      <c r="I4866">
        <v>17.989999999999998</v>
      </c>
      <c r="J4866">
        <v>4</v>
      </c>
      <c r="K4866">
        <v>3.93</v>
      </c>
      <c r="L4866">
        <v>0</v>
      </c>
      <c r="M4866" t="s">
        <v>4809</v>
      </c>
      <c r="N4866" t="s">
        <v>4900</v>
      </c>
      <c r="O4866" t="s">
        <v>4910</v>
      </c>
    </row>
    <row r="4867" spans="1:15" x14ac:dyDescent="0.35">
      <c r="A4867" t="s">
        <v>4796</v>
      </c>
      <c r="B4867">
        <v>41</v>
      </c>
      <c r="C4867" t="s">
        <v>4802</v>
      </c>
      <c r="D4867" t="s">
        <v>14</v>
      </c>
      <c r="E4867">
        <v>31</v>
      </c>
      <c r="F4867">
        <v>19</v>
      </c>
      <c r="G4867" t="s">
        <v>4799</v>
      </c>
      <c r="H4867" t="s">
        <v>4804</v>
      </c>
      <c r="I4867">
        <v>8.99</v>
      </c>
      <c r="J4867">
        <v>1</v>
      </c>
      <c r="K4867">
        <v>1.03</v>
      </c>
      <c r="L4867">
        <v>0</v>
      </c>
      <c r="M4867" t="s">
        <v>4810</v>
      </c>
      <c r="N4867" t="s">
        <v>4900</v>
      </c>
      <c r="O4867" t="s">
        <v>4910</v>
      </c>
    </row>
  </sheetData>
  <phoneticPr fontId="2" type="noConversion"/>
  <conditionalFormatting sqref="A4879:A1048576 A1:A4867">
    <cfRule type="duplicateValues" dxfId="21"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7EB81-CB6C-4C7B-AEDE-8329DE43D60C}">
  <dimension ref="A3:D6"/>
  <sheetViews>
    <sheetView workbookViewId="0">
      <selection activeCell="A3" sqref="A3:B4"/>
    </sheetView>
  </sheetViews>
  <sheetFormatPr defaultRowHeight="14.5" x14ac:dyDescent="0.35"/>
  <cols>
    <col min="1" max="1" width="10" bestFit="1" customWidth="1"/>
    <col min="2" max="2" width="10.1796875" bestFit="1" customWidth="1"/>
    <col min="3" max="3" width="14.36328125" bestFit="1" customWidth="1"/>
    <col min="4" max="5" width="10.36328125" bestFit="1" customWidth="1"/>
    <col min="6" max="7" width="8.453125" bestFit="1" customWidth="1"/>
    <col min="8" max="8" width="10.36328125" bestFit="1" customWidth="1"/>
  </cols>
  <sheetData>
    <row r="3" spans="1:4" x14ac:dyDescent="0.35">
      <c r="A3" t="s">
        <v>4904</v>
      </c>
    </row>
    <row r="4" spans="1:4" x14ac:dyDescent="0.35">
      <c r="A4" s="4">
        <v>4866</v>
      </c>
      <c r="B4" s="4">
        <f>GETPIVOTDATA("[Measures].[Total Users]",$A$3)</f>
        <v>4866</v>
      </c>
      <c r="D4" s="3"/>
    </row>
    <row r="5" spans="1:4" x14ac:dyDescent="0.35">
      <c r="D5" s="3"/>
    </row>
    <row r="6" spans="1:4" x14ac:dyDescent="0.35">
      <c r="D6"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68407-EE40-4065-908F-BF15FA40BF23}">
  <dimension ref="A1:B2"/>
  <sheetViews>
    <sheetView workbookViewId="0">
      <selection sqref="A1:B2"/>
    </sheetView>
  </sheetViews>
  <sheetFormatPr defaultRowHeight="14.5" x14ac:dyDescent="0.35"/>
  <cols>
    <col min="1" max="1" width="13.26953125" bestFit="1" customWidth="1"/>
  </cols>
  <sheetData>
    <row r="1" spans="1:2" x14ac:dyDescent="0.35">
      <c r="A1" t="s">
        <v>4914</v>
      </c>
    </row>
    <row r="2" spans="1:2" x14ac:dyDescent="0.35">
      <c r="A2" s="7">
        <v>0.82593505959720503</v>
      </c>
      <c r="B2" s="2">
        <f>GETPIVOTDATA("[Measures].[Retention Rate]",$A$1)</f>
        <v>0.82593505959720503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BCC54-C5B5-46C4-9186-3F6FA3CBCC65}">
  <dimension ref="A2:B3"/>
  <sheetViews>
    <sheetView workbookViewId="0">
      <selection activeCell="A2" sqref="A2:B3"/>
    </sheetView>
  </sheetViews>
  <sheetFormatPr defaultRowHeight="14.5" x14ac:dyDescent="0.35"/>
  <cols>
    <col min="1" max="1" width="17.7265625" bestFit="1" customWidth="1"/>
  </cols>
  <sheetData>
    <row r="2" spans="1:2" x14ac:dyDescent="0.35">
      <c r="A2" t="s">
        <v>4909</v>
      </c>
    </row>
    <row r="3" spans="1:2" x14ac:dyDescent="0.35">
      <c r="A3" s="4">
        <v>847</v>
      </c>
      <c r="B3">
        <f>GETPIVOTDATA("[Measures].[Churned Customers]",$A$2)</f>
        <v>847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F5B69-4015-4B5D-B396-86FC9B408494}">
  <dimension ref="A2:B3"/>
  <sheetViews>
    <sheetView workbookViewId="0">
      <selection activeCell="A3" sqref="A2:B3"/>
    </sheetView>
  </sheetViews>
  <sheetFormatPr defaultRowHeight="14.5" x14ac:dyDescent="0.35"/>
  <cols>
    <col min="1" max="1" width="10.1796875" bestFit="1" customWidth="1"/>
  </cols>
  <sheetData>
    <row r="2" spans="1:2" x14ac:dyDescent="0.35">
      <c r="A2" t="s">
        <v>4908</v>
      </c>
    </row>
    <row r="3" spans="1:2" x14ac:dyDescent="0.35">
      <c r="A3" s="7">
        <v>0.17406494040279491</v>
      </c>
      <c r="B3" s="2">
        <f>GETPIVOTDATA("[Measures].[Churn Rate]",$A$2)</f>
        <v>0.17406494040279491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A93-2EB3-451A-A6D0-B86EEA78DDE5}">
  <dimension ref="A2:B5"/>
  <sheetViews>
    <sheetView workbookViewId="0">
      <selection activeCell="A3" sqref="A2:B3"/>
    </sheetView>
  </sheetViews>
  <sheetFormatPr defaultRowHeight="14.5" x14ac:dyDescent="0.35"/>
  <cols>
    <col min="1" max="1" width="12.36328125" bestFit="1" customWidth="1"/>
  </cols>
  <sheetData>
    <row r="2" spans="1:2" x14ac:dyDescent="0.35">
      <c r="A2" t="s">
        <v>4917</v>
      </c>
    </row>
    <row r="3" spans="1:2" x14ac:dyDescent="0.35">
      <c r="A3" s="10">
        <v>12313.529999999848</v>
      </c>
      <c r="B3" s="10">
        <f>GETPIVOTDATA("[Measures].[Lost Revenue]",$A$2)</f>
        <v>12313.529999999848</v>
      </c>
    </row>
    <row r="5" spans="1:2" x14ac:dyDescent="0.35">
      <c r="B5" s="1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BCB98-2E52-4655-B0B6-570CD11AF716}">
  <dimension ref="A2:B6"/>
  <sheetViews>
    <sheetView workbookViewId="0">
      <selection activeCell="B12" sqref="B12"/>
    </sheetView>
  </sheetViews>
  <sheetFormatPr defaultRowHeight="14.5" x14ac:dyDescent="0.35"/>
  <cols>
    <col min="1" max="1" width="12.453125" bestFit="1" customWidth="1"/>
    <col min="2" max="2" width="10.1796875" bestFit="1" customWidth="1"/>
  </cols>
  <sheetData>
    <row r="2" spans="1:2" x14ac:dyDescent="0.35">
      <c r="A2" s="5" t="s">
        <v>4905</v>
      </c>
      <c r="B2" t="s">
        <v>4908</v>
      </c>
    </row>
    <row r="3" spans="1:2" x14ac:dyDescent="0.35">
      <c r="A3" s="6" t="s">
        <v>14</v>
      </c>
      <c r="B3" s="9">
        <v>0.24657534246575341</v>
      </c>
    </row>
    <row r="4" spans="1:2" x14ac:dyDescent="0.35">
      <c r="A4" s="6" t="s">
        <v>13</v>
      </c>
      <c r="B4" s="9">
        <v>0.17005379557680814</v>
      </c>
    </row>
    <row r="5" spans="1:2" x14ac:dyDescent="0.35">
      <c r="A5" s="6" t="s">
        <v>15</v>
      </c>
      <c r="B5" s="9">
        <v>0.16775244299674266</v>
      </c>
    </row>
    <row r="6" spans="1:2" x14ac:dyDescent="0.35">
      <c r="A6" s="6" t="s">
        <v>4906</v>
      </c>
      <c r="B6" s="9">
        <v>0.17406494040279491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BB44A-A480-4E2E-A0B6-C5BA2B53F4D5}">
  <dimension ref="A2:B6"/>
  <sheetViews>
    <sheetView zoomScale="70" workbookViewId="0">
      <selection activeCell="A4" sqref="A2:B6"/>
    </sheetView>
  </sheetViews>
  <sheetFormatPr defaultRowHeight="14.5" x14ac:dyDescent="0.35"/>
  <cols>
    <col min="1" max="1" width="13.36328125" bestFit="1" customWidth="1"/>
    <col min="2" max="2" width="12.1796875" bestFit="1" customWidth="1"/>
  </cols>
  <sheetData>
    <row r="2" spans="1:2" x14ac:dyDescent="0.35">
      <c r="A2" s="5" t="s">
        <v>4905</v>
      </c>
      <c r="B2" t="s">
        <v>4913</v>
      </c>
    </row>
    <row r="3" spans="1:2" x14ac:dyDescent="0.35">
      <c r="A3" s="6" t="s">
        <v>13</v>
      </c>
      <c r="B3" s="10">
        <v>7960.3099999999095</v>
      </c>
    </row>
    <row r="4" spans="1:2" x14ac:dyDescent="0.35">
      <c r="A4" s="6" t="s">
        <v>15</v>
      </c>
      <c r="B4" s="10">
        <v>3705.9399999999805</v>
      </c>
    </row>
    <row r="5" spans="1:2" x14ac:dyDescent="0.35">
      <c r="A5" s="6" t="s">
        <v>14</v>
      </c>
      <c r="B5" s="10">
        <v>647.28000000000043</v>
      </c>
    </row>
    <row r="6" spans="1:2" x14ac:dyDescent="0.35">
      <c r="A6" s="6" t="s">
        <v>4906</v>
      </c>
      <c r="B6" s="10">
        <v>12313.529999999848</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37E58-BAB7-4309-9EEF-8B0C16C0D9E9}">
  <dimension ref="A2:B6"/>
  <sheetViews>
    <sheetView workbookViewId="0">
      <selection activeCell="B3" sqref="A2:B6"/>
    </sheetView>
  </sheetViews>
  <sheetFormatPr defaultRowHeight="14.5" x14ac:dyDescent="0.35"/>
  <cols>
    <col min="1" max="1" width="12.453125" bestFit="1" customWidth="1"/>
    <col min="2" max="2" width="13.26953125" bestFit="1" customWidth="1"/>
  </cols>
  <sheetData>
    <row r="2" spans="1:2" x14ac:dyDescent="0.35">
      <c r="A2" s="5" t="s">
        <v>4905</v>
      </c>
      <c r="B2" t="s">
        <v>4914</v>
      </c>
    </row>
    <row r="3" spans="1:2" x14ac:dyDescent="0.35">
      <c r="A3" s="6" t="s">
        <v>14</v>
      </c>
      <c r="B3" s="11">
        <v>0.75342465753424659</v>
      </c>
    </row>
    <row r="4" spans="1:2" x14ac:dyDescent="0.35">
      <c r="A4" s="6" t="s">
        <v>13</v>
      </c>
      <c r="B4" s="11">
        <v>0.82994620442319189</v>
      </c>
    </row>
    <row r="5" spans="1:2" x14ac:dyDescent="0.35">
      <c r="A5" s="6" t="s">
        <v>15</v>
      </c>
      <c r="B5" s="11">
        <v>0.83224755700325737</v>
      </c>
    </row>
    <row r="6" spans="1:2" x14ac:dyDescent="0.35">
      <c r="A6" s="6" t="s">
        <v>4906</v>
      </c>
      <c r="B6" s="7">
        <v>0.82593505959720503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73EB8-5C72-4817-B8B7-11A51AC5F189}">
  <dimension ref="A2:E7"/>
  <sheetViews>
    <sheetView zoomScale="87" workbookViewId="0">
      <selection activeCell="B5" sqref="A2:E7"/>
    </sheetView>
  </sheetViews>
  <sheetFormatPr defaultRowHeight="14.5" x14ac:dyDescent="0.35"/>
  <cols>
    <col min="1" max="1" width="12.81640625" bestFit="1" customWidth="1"/>
    <col min="2" max="2" width="15.7265625" bestFit="1" customWidth="1"/>
    <col min="3" max="3" width="4.453125" bestFit="1" customWidth="1"/>
    <col min="4" max="4" width="10.81640625" bestFit="1" customWidth="1"/>
    <col min="5" max="5" width="10.36328125" bestFit="1" customWidth="1"/>
  </cols>
  <sheetData>
    <row r="2" spans="1:5" x14ac:dyDescent="0.35">
      <c r="A2" s="5" t="s">
        <v>4908</v>
      </c>
      <c r="B2" s="5" t="s">
        <v>4907</v>
      </c>
    </row>
    <row r="3" spans="1:5" x14ac:dyDescent="0.35">
      <c r="A3" s="5" t="s">
        <v>4905</v>
      </c>
      <c r="B3" t="s">
        <v>4910</v>
      </c>
      <c r="C3" t="s">
        <v>4911</v>
      </c>
      <c r="D3" t="s">
        <v>4912</v>
      </c>
      <c r="E3" t="s">
        <v>4906</v>
      </c>
    </row>
    <row r="4" spans="1:5" x14ac:dyDescent="0.35">
      <c r="A4" s="6" t="s">
        <v>14</v>
      </c>
      <c r="B4" s="7">
        <v>0.21705426356589147</v>
      </c>
      <c r="C4" s="7">
        <v>0.23636363636363636</v>
      </c>
      <c r="D4" s="7">
        <v>0.28703703703703703</v>
      </c>
      <c r="E4" s="7">
        <v>0.24657534246575341</v>
      </c>
    </row>
    <row r="5" spans="1:5" x14ac:dyDescent="0.35">
      <c r="A5" s="6" t="s">
        <v>15</v>
      </c>
      <c r="B5" s="7">
        <v>0.16161616161616163</v>
      </c>
      <c r="C5" s="7">
        <v>0.17607973421926909</v>
      </c>
      <c r="D5" s="7">
        <v>0.16898148148148148</v>
      </c>
      <c r="E5" s="7">
        <v>0.16775244299674266</v>
      </c>
    </row>
    <row r="6" spans="1:5" x14ac:dyDescent="0.35">
      <c r="A6" s="6" t="s">
        <v>13</v>
      </c>
      <c r="B6" s="7">
        <v>0.17824561403508771</v>
      </c>
      <c r="C6" s="7">
        <v>0.15616797900262466</v>
      </c>
      <c r="D6" s="7">
        <v>0.16911130284728215</v>
      </c>
      <c r="E6" s="7">
        <v>0.17005379557680814</v>
      </c>
    </row>
    <row r="7" spans="1:5" x14ac:dyDescent="0.35">
      <c r="A7" s="6" t="s">
        <v>4906</v>
      </c>
      <c r="B7" s="7">
        <v>0.17667154709614447</v>
      </c>
      <c r="C7" s="7">
        <v>0.16547406082289803</v>
      </c>
      <c r="D7" s="7">
        <v>0.17657445556209536</v>
      </c>
      <c r="E7" s="7">
        <v>0.17406494040279491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5DB9F-2741-4B06-9F7F-B57FDC4B022A}">
  <dimension ref="A2:D7"/>
  <sheetViews>
    <sheetView zoomScale="86" workbookViewId="0">
      <selection activeCell="B5" sqref="A2:D7"/>
    </sheetView>
  </sheetViews>
  <sheetFormatPr defaultRowHeight="14.5" x14ac:dyDescent="0.35"/>
  <cols>
    <col min="1" max="1" width="13" bestFit="1" customWidth="1"/>
    <col min="2" max="2" width="15.90625" bestFit="1" customWidth="1"/>
    <col min="3" max="3" width="7.1796875" bestFit="1" customWidth="1"/>
    <col min="4" max="4" width="10.36328125" bestFit="1" customWidth="1"/>
  </cols>
  <sheetData>
    <row r="2" spans="1:4" x14ac:dyDescent="0.35">
      <c r="A2" s="5" t="s">
        <v>4908</v>
      </c>
      <c r="B2" s="5" t="s">
        <v>4907</v>
      </c>
    </row>
    <row r="3" spans="1:4" x14ac:dyDescent="0.35">
      <c r="A3" s="5" t="s">
        <v>4905</v>
      </c>
      <c r="B3" t="s">
        <v>4803</v>
      </c>
      <c r="C3" t="s">
        <v>4802</v>
      </c>
      <c r="D3" t="s">
        <v>4906</v>
      </c>
    </row>
    <row r="4" spans="1:4" x14ac:dyDescent="0.35">
      <c r="A4" s="6" t="s">
        <v>14</v>
      </c>
      <c r="B4" s="8">
        <v>0.21472392638036811</v>
      </c>
      <c r="C4" s="8">
        <v>0.2868217054263566</v>
      </c>
      <c r="D4" s="7">
        <v>0.24657534246575341</v>
      </c>
    </row>
    <row r="5" spans="1:4" x14ac:dyDescent="0.35">
      <c r="A5" s="6" t="s">
        <v>15</v>
      </c>
      <c r="B5" s="8">
        <v>0.17189835575485798</v>
      </c>
      <c r="C5" s="8">
        <v>0.16279069767441862</v>
      </c>
      <c r="D5" s="7">
        <v>0.16775244299674266</v>
      </c>
    </row>
    <row r="6" spans="1:4" x14ac:dyDescent="0.35">
      <c r="A6" s="6" t="s">
        <v>13</v>
      </c>
      <c r="B6" s="8">
        <v>0.17640320733104239</v>
      </c>
      <c r="C6" s="8">
        <v>0.16312499999999999</v>
      </c>
      <c r="D6" s="7">
        <v>0.17005379557680814</v>
      </c>
    </row>
    <row r="7" spans="1:4" x14ac:dyDescent="0.35">
      <c r="A7" s="6" t="s">
        <v>4906</v>
      </c>
      <c r="B7" s="7">
        <v>0.17765709852598913</v>
      </c>
      <c r="C7" s="7">
        <v>0.17001748251748253</v>
      </c>
      <c r="D7" s="7">
        <v>0.17406494040279491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F89FF-F967-4E19-8427-9106DDF837B4}">
  <dimension ref="A2:B7"/>
  <sheetViews>
    <sheetView workbookViewId="0">
      <selection activeCell="B3" sqref="A2:B7"/>
    </sheetView>
  </sheetViews>
  <sheetFormatPr defaultRowHeight="14.5" x14ac:dyDescent="0.35"/>
  <cols>
    <col min="1" max="1" width="12.453125" bestFit="1" customWidth="1"/>
    <col min="2" max="2" width="17.7265625" bestFit="1" customWidth="1"/>
  </cols>
  <sheetData>
    <row r="2" spans="1:2" x14ac:dyDescent="0.35">
      <c r="A2" s="5" t="s">
        <v>4905</v>
      </c>
      <c r="B2" t="s">
        <v>4909</v>
      </c>
    </row>
    <row r="3" spans="1:2" x14ac:dyDescent="0.35">
      <c r="A3" s="6" t="s">
        <v>4807</v>
      </c>
      <c r="B3" s="4">
        <v>18</v>
      </c>
    </row>
    <row r="4" spans="1:2" x14ac:dyDescent="0.35">
      <c r="A4" s="6" t="s">
        <v>4806</v>
      </c>
      <c r="B4" s="4">
        <v>186</v>
      </c>
    </row>
    <row r="5" spans="1:2" x14ac:dyDescent="0.35">
      <c r="A5" s="6" t="s">
        <v>4804</v>
      </c>
      <c r="B5" s="4">
        <v>280</v>
      </c>
    </row>
    <row r="6" spans="1:2" x14ac:dyDescent="0.35">
      <c r="A6" s="6" t="s">
        <v>4805</v>
      </c>
      <c r="B6" s="4">
        <v>363</v>
      </c>
    </row>
    <row r="7" spans="1:2" x14ac:dyDescent="0.35">
      <c r="A7" s="6" t="s">
        <v>4906</v>
      </c>
      <c r="B7" s="4">
        <v>847</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785DF-7191-476D-959D-2B4018F75D5C}">
  <dimension ref="A2:B8"/>
  <sheetViews>
    <sheetView zoomScale="82" workbookViewId="0">
      <selection activeCell="B3" sqref="A2:B8"/>
    </sheetView>
  </sheetViews>
  <sheetFormatPr defaultRowHeight="14.5" x14ac:dyDescent="0.35"/>
  <cols>
    <col min="1" max="1" width="12.90625" bestFit="1" customWidth="1"/>
    <col min="2" max="2" width="17.7265625" bestFit="1" customWidth="1"/>
  </cols>
  <sheetData>
    <row r="2" spans="1:2" x14ac:dyDescent="0.35">
      <c r="A2" s="5" t="s">
        <v>4905</v>
      </c>
      <c r="B2" t="s">
        <v>4909</v>
      </c>
    </row>
    <row r="3" spans="1:2" x14ac:dyDescent="0.35">
      <c r="A3" s="6" t="s">
        <v>4801</v>
      </c>
      <c r="B3" s="4">
        <v>9</v>
      </c>
    </row>
    <row r="4" spans="1:2" x14ac:dyDescent="0.35">
      <c r="A4" s="6" t="s">
        <v>4800</v>
      </c>
      <c r="B4" s="4">
        <v>48</v>
      </c>
    </row>
    <row r="5" spans="1:2" x14ac:dyDescent="0.35">
      <c r="A5" s="6" t="s">
        <v>4797</v>
      </c>
      <c r="B5" s="4">
        <v>230</v>
      </c>
    </row>
    <row r="6" spans="1:2" x14ac:dyDescent="0.35">
      <c r="A6" s="6" t="s">
        <v>4799</v>
      </c>
      <c r="B6" s="4">
        <v>238</v>
      </c>
    </row>
    <row r="7" spans="1:2" x14ac:dyDescent="0.35">
      <c r="A7" s="6" t="s">
        <v>4798</v>
      </c>
      <c r="B7" s="4">
        <v>322</v>
      </c>
    </row>
    <row r="8" spans="1:2" x14ac:dyDescent="0.35">
      <c r="A8" s="6" t="s">
        <v>4906</v>
      </c>
      <c r="B8" s="4">
        <v>847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0D558-E6D8-4975-8BF4-08DECC18DAAD}">
  <dimension ref="A2:B5"/>
  <sheetViews>
    <sheetView workbookViewId="0">
      <selection activeCell="A3" sqref="A2:B5"/>
    </sheetView>
  </sheetViews>
  <sheetFormatPr defaultRowHeight="14.5" x14ac:dyDescent="0.35"/>
  <cols>
    <col min="1" max="1" width="12.453125" bestFit="1" customWidth="1"/>
    <col min="2" max="2" width="22.6328125" bestFit="1" customWidth="1"/>
  </cols>
  <sheetData>
    <row r="2" spans="1:2" x14ac:dyDescent="0.35">
      <c r="A2" s="5" t="s">
        <v>4905</v>
      </c>
      <c r="B2" t="s">
        <v>10</v>
      </c>
    </row>
    <row r="3" spans="1:2" x14ac:dyDescent="0.35">
      <c r="A3" s="6" t="s">
        <v>4899</v>
      </c>
      <c r="B3" s="14">
        <v>2.0574262101534804</v>
      </c>
    </row>
    <row r="4" spans="1:2" x14ac:dyDescent="0.35">
      <c r="A4" s="6" t="s">
        <v>4900</v>
      </c>
      <c r="B4" s="14">
        <v>2.146882309032097</v>
      </c>
    </row>
    <row r="5" spans="1:2" x14ac:dyDescent="0.35">
      <c r="A5" s="6" t="s">
        <v>4906</v>
      </c>
      <c r="B5" s="14">
        <v>2.1313111385121348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4C501-FD7A-4AD9-B435-26255956C449}">
  <dimension ref="A2:B8"/>
  <sheetViews>
    <sheetView workbookViewId="0">
      <selection activeCell="B5" sqref="A2:B8"/>
    </sheetView>
  </sheetViews>
  <sheetFormatPr defaultRowHeight="14.5" x14ac:dyDescent="0.35"/>
  <cols>
    <col min="1" max="1" width="12.453125" bestFit="1" customWidth="1"/>
    <col min="2" max="2" width="17.7265625" bestFit="1" customWidth="1"/>
  </cols>
  <sheetData>
    <row r="2" spans="1:2" x14ac:dyDescent="0.35">
      <c r="A2" s="5" t="s">
        <v>4905</v>
      </c>
      <c r="B2" t="s">
        <v>4909</v>
      </c>
    </row>
    <row r="3" spans="1:2" x14ac:dyDescent="0.35">
      <c r="A3" s="6" t="s">
        <v>4810</v>
      </c>
      <c r="B3" s="4">
        <v>196</v>
      </c>
    </row>
    <row r="4" spans="1:2" x14ac:dyDescent="0.35">
      <c r="A4" s="6" t="s">
        <v>4811</v>
      </c>
      <c r="B4" s="4">
        <v>175</v>
      </c>
    </row>
    <row r="5" spans="1:2" x14ac:dyDescent="0.35">
      <c r="A5" s="6" t="s">
        <v>4812</v>
      </c>
      <c r="B5" s="4">
        <v>164</v>
      </c>
    </row>
    <row r="6" spans="1:2" x14ac:dyDescent="0.35">
      <c r="A6" s="6" t="s">
        <v>4809</v>
      </c>
      <c r="B6" s="4">
        <v>164</v>
      </c>
    </row>
    <row r="7" spans="1:2" x14ac:dyDescent="0.35">
      <c r="A7" s="6" t="s">
        <v>4808</v>
      </c>
      <c r="B7" s="4">
        <v>148</v>
      </c>
    </row>
    <row r="8" spans="1:2" x14ac:dyDescent="0.35">
      <c r="A8" s="6" t="s">
        <v>4906</v>
      </c>
      <c r="B8" s="4">
        <v>847</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81A9E-DA74-4C88-91FC-95284BF4C42A}">
  <dimension ref="A2:B3"/>
  <sheetViews>
    <sheetView workbookViewId="0">
      <selection activeCell="A3" sqref="A2:B3"/>
    </sheetView>
  </sheetViews>
  <sheetFormatPr defaultRowHeight="14.5" x14ac:dyDescent="0.35"/>
  <cols>
    <col min="1" max="1" width="17.08984375" bestFit="1" customWidth="1"/>
    <col min="2" max="2" width="7.81640625" bestFit="1" customWidth="1"/>
  </cols>
  <sheetData>
    <row r="2" spans="1:2" x14ac:dyDescent="0.35">
      <c r="A2" t="s">
        <v>4915</v>
      </c>
    </row>
    <row r="3" spans="1:2" x14ac:dyDescent="0.35">
      <c r="A3" s="12">
        <v>59213.809999997895</v>
      </c>
      <c r="B3" s="10">
        <f>GETPIVOTDATA("[Measures].[Remaining revenue]",$A$2)</f>
        <v>59213.809999997895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16C6C-96D2-4E44-9940-604E383D2321}">
  <dimension ref="A1:B2"/>
  <sheetViews>
    <sheetView workbookViewId="0">
      <selection activeCell="A2" sqref="A1:B2"/>
    </sheetView>
  </sheetViews>
  <sheetFormatPr defaultRowHeight="14.5" x14ac:dyDescent="0.35"/>
  <cols>
    <col min="1" max="1" width="5.453125" bestFit="1" customWidth="1"/>
  </cols>
  <sheetData>
    <row r="1" spans="1:2" x14ac:dyDescent="0.35">
      <c r="A1" t="s">
        <v>4916</v>
      </c>
    </row>
    <row r="2" spans="1:2" x14ac:dyDescent="0.35">
      <c r="A2" s="12">
        <v>14.699412248253005</v>
      </c>
      <c r="B2" s="10">
        <f>GETPIVOTDATA("[Measures].[ARPU]",$A$1)</f>
        <v>14.699412248253005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4FC07-0B8D-4A24-9215-14260211D76D}">
  <dimension ref="A1:XFC41"/>
  <sheetViews>
    <sheetView tabSelected="1" zoomScale="70" zoomScaleNormal="70" workbookViewId="0">
      <selection sqref="A1:P1048576"/>
    </sheetView>
  </sheetViews>
  <sheetFormatPr defaultColWidth="8.7265625" defaultRowHeight="14.5" zeroHeight="1" x14ac:dyDescent="0.35"/>
  <cols>
    <col min="1" max="14" width="8.7265625" style="13" customWidth="1"/>
    <col min="15" max="15" width="9.26953125" style="13" customWidth="1"/>
    <col min="16" max="16" width="0.90625" style="13" customWidth="1"/>
    <col min="17" max="16383" width="0" hidden="1" customWidth="1"/>
    <col min="16384" max="16384" width="68.08984375" hidden="1" customWidth="1"/>
  </cols>
  <sheetData>
    <row r="1" x14ac:dyDescent="0.35"/>
    <row r="2" x14ac:dyDescent="0.35"/>
    <row r="3" x14ac:dyDescent="0.35"/>
    <row r="4" x14ac:dyDescent="0.35"/>
    <row r="5" x14ac:dyDescent="0.35"/>
    <row r="6" x14ac:dyDescent="0.35"/>
    <row r="7" x14ac:dyDescent="0.35"/>
    <row r="8" x14ac:dyDescent="0.35"/>
    <row r="9" x14ac:dyDescent="0.35"/>
    <row r="10" x14ac:dyDescent="0.35"/>
    <row r="11" x14ac:dyDescent="0.35"/>
    <row r="12" x14ac:dyDescent="0.35"/>
    <row r="13" x14ac:dyDescent="0.35"/>
    <row r="14" x14ac:dyDescent="0.35"/>
    <row r="15" x14ac:dyDescent="0.35"/>
    <row r="16" x14ac:dyDescent="0.35"/>
    <row r="17" x14ac:dyDescent="0.35"/>
    <row r="18" x14ac:dyDescent="0.35"/>
    <row r="19" x14ac:dyDescent="0.35"/>
    <row r="20" x14ac:dyDescent="0.35"/>
    <row r="21" x14ac:dyDescent="0.35"/>
    <row r="22" x14ac:dyDescent="0.35"/>
    <row r="23" x14ac:dyDescent="0.35"/>
    <row r="24" x14ac:dyDescent="0.35"/>
    <row r="25" x14ac:dyDescent="0.35"/>
    <row r="26" x14ac:dyDescent="0.35"/>
    <row r="27" x14ac:dyDescent="0.35"/>
    <row r="28" x14ac:dyDescent="0.35"/>
    <row r="29" x14ac:dyDescent="0.35"/>
    <row r="30" x14ac:dyDescent="0.35"/>
    <row r="31" x14ac:dyDescent="0.35"/>
    <row r="32" x14ac:dyDescent="0.35"/>
    <row r="33" x14ac:dyDescent="0.35"/>
    <row r="34" x14ac:dyDescent="0.35"/>
    <row r="35" x14ac:dyDescent="0.35"/>
    <row r="36" x14ac:dyDescent="0.35"/>
    <row r="37" x14ac:dyDescent="0.35"/>
    <row r="38" x14ac:dyDescent="0.35"/>
    <row r="39" x14ac:dyDescent="0.35"/>
    <row r="40" x14ac:dyDescent="0.35"/>
    <row r="41" ht="4.5" customHeight="1"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140A238F-C14A-4082-B271-8345529778B7}">
  <ds:schemaRefs/>
</ds:datastoreItem>
</file>

<file path=customXml/itemProps2.xml><?xml version="1.0" encoding="utf-8"?>
<ds:datastoreItem xmlns:ds="http://schemas.openxmlformats.org/officeDocument/2006/customXml" ds:itemID="{3E502BAF-334B-4027-9549-364113742C63}">
  <ds:schemaRefs/>
</ds:datastoreItem>
</file>

<file path=customXml/itemProps3.xml><?xml version="1.0" encoding="utf-8"?>
<ds:datastoreItem xmlns:ds="http://schemas.openxmlformats.org/officeDocument/2006/customXml" ds:itemID="{997A0E0C-D4A9-43EF-B4DA-394564A028ED}">
  <ds:schemaRefs/>
</ds:datastoreItem>
</file>

<file path=customXml/itemProps4.xml><?xml version="1.0" encoding="utf-8"?>
<ds:datastoreItem xmlns:ds="http://schemas.openxmlformats.org/officeDocument/2006/customXml" ds:itemID="{C4547BB9-90A3-4D88-835A-03C2AA31D224}">
  <ds:schemaRefs/>
</ds:datastoreItem>
</file>

<file path=customXml/itemProps5.xml><?xml version="1.0" encoding="utf-8"?>
<ds:datastoreItem xmlns:ds="http://schemas.openxmlformats.org/officeDocument/2006/customXml" ds:itemID="{C96A065E-EEAC-41CC-A768-6D2871382847}">
  <ds:schemaRefs/>
</ds:datastoreItem>
</file>

<file path=customXml/itemProps6.xml><?xml version="1.0" encoding="utf-8"?>
<ds:datastoreItem xmlns:ds="http://schemas.openxmlformats.org/officeDocument/2006/customXml" ds:itemID="{2C8DBFE3-5E60-465B-AA17-96A604E664F6}">
  <ds:schemaRefs/>
</ds:datastoreItem>
</file>

<file path=customXml/itemProps7.xml><?xml version="1.0" encoding="utf-8"?>
<ds:datastoreItem xmlns:ds="http://schemas.openxmlformats.org/officeDocument/2006/customXml" ds:itemID="{E43E519B-E225-46F8-918F-E57D00BFC843}">
  <ds:schemaRefs/>
</ds:datastoreItem>
</file>

<file path=customXml/itemProps8.xml><?xml version="1.0" encoding="utf-8"?>
<ds:datastoreItem xmlns:ds="http://schemas.openxmlformats.org/officeDocument/2006/customXml" ds:itemID="{A6845583-446C-41DA-878A-E407DAB687C0}">
  <ds:schemaRefs/>
</ds:datastoreItem>
</file>

<file path=customXml/itemProps9.xml><?xml version="1.0" encoding="utf-8"?>
<ds:datastoreItem xmlns:ds="http://schemas.openxmlformats.org/officeDocument/2006/customXml" ds:itemID="{4909A101-2565-4FBC-8191-78F8FF5BD4CF}">
  <ds:schemaRefs/>
</ds:datastoreItem>
</file>

<file path=customXml/itemProps10.xml><?xml version="1.0" encoding="utf-8"?>
<ds:datastoreItem xmlns:ds="http://schemas.openxmlformats.org/officeDocument/2006/customXml" ds:itemID="{7A9F801F-FDE2-4D85-AB23-82D716EB98BD}">
  <ds:schemaRefs/>
</ds:datastoreItem>
</file>

<file path=customXml/itemProps11.xml><?xml version="1.0" encoding="utf-8"?>
<ds:datastoreItem xmlns:ds="http://schemas.openxmlformats.org/officeDocument/2006/customXml" ds:itemID="{749D6C44-4A76-46FD-A7BE-DD86EBDD6988}">
  <ds:schemaRefs/>
</ds:datastoreItem>
</file>

<file path=customXml/itemProps12.xml><?xml version="1.0" encoding="utf-8"?>
<ds:datastoreItem xmlns:ds="http://schemas.openxmlformats.org/officeDocument/2006/customXml" ds:itemID="{67B811E6-D579-4436-AB8A-AD2C1E19875D}">
  <ds:schemaRefs/>
</ds:datastoreItem>
</file>

<file path=customXml/itemProps13.xml><?xml version="1.0" encoding="utf-8"?>
<ds:datastoreItem xmlns:ds="http://schemas.openxmlformats.org/officeDocument/2006/customXml" ds:itemID="{ED7468BD-1B13-4EEC-9F05-1FF58D5D5F79}">
  <ds:schemaRefs/>
</ds:datastoreItem>
</file>

<file path=customXml/itemProps14.xml><?xml version="1.0" encoding="utf-8"?>
<ds:datastoreItem xmlns:ds="http://schemas.openxmlformats.org/officeDocument/2006/customXml" ds:itemID="{94082771-C37A-432C-AAA1-DD2BE961F585}">
  <ds:schemaRefs/>
</ds:datastoreItem>
</file>

<file path=customXml/itemProps15.xml><?xml version="1.0" encoding="utf-8"?>
<ds:datastoreItem xmlns:ds="http://schemas.openxmlformats.org/officeDocument/2006/customXml" ds:itemID="{1DBEFE35-9FC6-4C4C-92E7-8C5D7269D812}">
  <ds:schemaRefs/>
</ds:datastoreItem>
</file>

<file path=customXml/itemProps16.xml><?xml version="1.0" encoding="utf-8"?>
<ds:datastoreItem xmlns:ds="http://schemas.openxmlformats.org/officeDocument/2006/customXml" ds:itemID="{86DAB9DD-D3F4-41CF-BD49-C69BA7E65ECD}">
  <ds:schemaRefs/>
</ds:datastoreItem>
</file>

<file path=customXml/itemProps17.xml><?xml version="1.0" encoding="utf-8"?>
<ds:datastoreItem xmlns:ds="http://schemas.openxmlformats.org/officeDocument/2006/customXml" ds:itemID="{43143117-7593-4FB1-AFED-B154D3BE89ED}">
  <ds:schemaRefs/>
</ds:datastoreItem>
</file>

<file path=customXml/itemProps18.xml><?xml version="1.0" encoding="utf-8"?>
<ds:datastoreItem xmlns:ds="http://schemas.openxmlformats.org/officeDocument/2006/customXml" ds:itemID="{27C20BAF-F174-4968-BC23-E2E983B7BB2F}">
  <ds:schemaRefs/>
</ds:datastoreItem>
</file>

<file path=customXml/itemProps19.xml><?xml version="1.0" encoding="utf-8"?>
<ds:datastoreItem xmlns:ds="http://schemas.openxmlformats.org/officeDocument/2006/customXml" ds:itemID="{AA053D59-45AA-4C86-B059-49EECDA4F6B5}">
  <ds:schemaRefs/>
</ds:datastoreItem>
</file>

<file path=customXml/itemProps20.xml><?xml version="1.0" encoding="utf-8"?>
<ds:datastoreItem xmlns:ds="http://schemas.openxmlformats.org/officeDocument/2006/customXml" ds:itemID="{147A37B9-9FD2-4B87-AA4B-E995DA70F1C9}">
  <ds:schemaRefs/>
</ds:datastoreItem>
</file>

<file path=customXml/itemProps21.xml><?xml version="1.0" encoding="utf-8"?>
<ds:datastoreItem xmlns:ds="http://schemas.openxmlformats.org/officeDocument/2006/customXml" ds:itemID="{E5AEDBDA-C4DA-4C23-85A1-A29B6029B890}">
  <ds:schemaRefs/>
</ds:datastoreItem>
</file>

<file path=customXml/itemProps22.xml><?xml version="1.0" encoding="utf-8"?>
<ds:datastoreItem xmlns:ds="http://schemas.openxmlformats.org/officeDocument/2006/customXml" ds:itemID="{F8C6CFA9-EE98-4269-8AC8-3D5382E068D6}">
  <ds:schemaRefs/>
</ds:datastoreItem>
</file>

<file path=customXml/itemProps23.xml><?xml version="1.0" encoding="utf-8"?>
<ds:datastoreItem xmlns:ds="http://schemas.openxmlformats.org/officeDocument/2006/customXml" ds:itemID="{3E42829D-0D51-42BA-A724-2C974C737B3B}">
  <ds:schemaRefs/>
</ds:datastoreItem>
</file>

<file path=customXml/itemProps24.xml><?xml version="1.0" encoding="utf-8"?>
<ds:datastoreItem xmlns:ds="http://schemas.openxmlformats.org/officeDocument/2006/customXml" ds:itemID="{F225A12E-8318-4321-A1F2-361701F3F5D1}">
  <ds:schemaRefs/>
</ds:datastoreItem>
</file>

<file path=customXml/itemProps25.xml><?xml version="1.0" encoding="utf-8"?>
<ds:datastoreItem xmlns:ds="http://schemas.openxmlformats.org/officeDocument/2006/customXml" ds:itemID="{0F7EF2A6-3B01-4849-AE24-2752AEC5CB4F}">
  <ds:schemaRefs/>
</ds:datastoreItem>
</file>

<file path=customXml/itemProps26.xml><?xml version="1.0" encoding="utf-8"?>
<ds:datastoreItem xmlns:ds="http://schemas.openxmlformats.org/officeDocument/2006/customXml" ds:itemID="{7998C6B9-EDA6-42BE-867A-B4962EA5663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Working_Clean</vt:lpstr>
      <vt:lpstr>Total Users</vt:lpstr>
      <vt:lpstr>Retention Rate</vt:lpstr>
      <vt:lpstr>Churn Count</vt:lpstr>
      <vt:lpstr>Churn Rate</vt:lpstr>
      <vt:lpstr>Lost Revenue</vt:lpstr>
      <vt:lpstr>Churn by plan</vt:lpstr>
      <vt:lpstr>Revenue lost by plan</vt:lpstr>
      <vt:lpstr>Retention rate by plan</vt:lpstr>
      <vt:lpstr>Age group plan churn</vt:lpstr>
      <vt:lpstr>Genderplan churn</vt:lpstr>
      <vt:lpstr>churn by device</vt:lpstr>
      <vt:lpstr>churn by region</vt:lpstr>
      <vt:lpstr>avg watch btw churn &amp; active</vt:lpstr>
      <vt:lpstr>churn by favorite genre</vt:lpstr>
      <vt:lpstr>Remaining Revenue</vt:lpstr>
      <vt:lpstr>ARPU</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Suleiman Yusuf</dc:creator>
  <cp:lastModifiedBy>Suleiman Yusuf</cp:lastModifiedBy>
  <cp:lastPrinted>2026-03-10T13:51:08Z</cp:lastPrinted>
  <dcterms:created xsi:type="dcterms:W3CDTF">2026-03-02T09:31:11Z</dcterms:created>
  <dcterms:modified xsi:type="dcterms:W3CDTF">2026-03-12T11:48:01Z</dcterms:modified>
</cp:coreProperties>
</file>